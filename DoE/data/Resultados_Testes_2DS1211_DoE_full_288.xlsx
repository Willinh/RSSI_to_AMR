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summary_2DS_1211" sheetId="1" r:id="rId4"/>
  </sheets>
  <definedNames/>
  <calcPr/>
</workbook>
</file>

<file path=xl/sharedStrings.xml><?xml version="1.0" encoding="utf-8"?>
<sst xmlns="http://schemas.openxmlformats.org/spreadsheetml/2006/main" count="4551" uniqueCount="108">
  <si>
    <t>Modelo</t>
  </si>
  <si>
    <t>Ranking final</t>
  </si>
  <si>
    <t>Datasets usados</t>
  </si>
  <si>
    <t xml:space="preserve">Hiperparametros </t>
  </si>
  <si>
    <t>Tempos</t>
  </si>
  <si>
    <t>Métricas - Resultados</t>
  </si>
  <si>
    <t>Z-Score ERRO</t>
  </si>
  <si>
    <t>Agregadas no Horizonte</t>
  </si>
  <si>
    <t>Acurácia</t>
  </si>
  <si>
    <t>Custo</t>
  </si>
  <si>
    <t>Z-Score_Composite</t>
  </si>
  <si>
    <t>train_dataset</t>
  </si>
  <si>
    <t>exp_dataset</t>
  </si>
  <si>
    <t>ordem_tests</t>
  </si>
  <si>
    <t>group_msec</t>
  </si>
  <si>
    <t>seconds_ahead</t>
  </si>
  <si>
    <t>forecast_steps</t>
  </si>
  <si>
    <t>timesteps_orig</t>
  </si>
  <si>
    <t>batch_size</t>
  </si>
  <si>
    <t>Epochs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</si>
  <si>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</si>
  <si>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</si>
  <si>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</si>
  <si>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</si>
  <si>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</si>
  <si>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</si>
  <si>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</si>
  <si>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</si>
  <si>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</si>
  <si>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</si>
  <si>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</si>
  <si>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</si>
  <si>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</si>
  <si>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</si>
  <si>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</si>
  <si>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</si>
  <si>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</si>
  <si>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</si>
  <si>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</si>
  <si>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</si>
  <si>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</si>
  <si>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</si>
  <si>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</si>
  <si>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</si>
  <si>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</si>
  <si>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</si>
  <si>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</si>
  <si>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</si>
  <si>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</si>
  <si>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</si>
  <si>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</si>
  <si>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</si>
  <si>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</si>
  <si>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</si>
  <si>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</si>
  <si>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</si>
  <si>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</si>
  <si>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</si>
  <si>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</si>
  <si>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</si>
  <si>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</si>
  <si>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</si>
  <si>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</si>
  <si>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</si>
  <si>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</si>
  <si>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</si>
  <si>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</si>
  <si>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LSTM</t>
  </si>
  <si>
    <t>rssi_odom_dataset_12apr25_isolado.parquet</t>
  </si>
  <si>
    <t>rssi_odom_dataset_11apr25_isolado.parquet</t>
  </si>
  <si>
    <t>100</t>
  </si>
  <si>
    <t>5.0</t>
  </si>
  <si>
    <t>50</t>
  </si>
  <si>
    <t>60</t>
  </si>
  <si>
    <t>1024</t>
  </si>
  <si>
    <t>20</t>
  </si>
  <si>
    <t>16-64:16</t>
  </si>
  <si>
    <t>1</t>
  </si>
  <si>
    <t>elu</t>
  </si>
  <si>
    <t>Nadam</t>
  </si>
  <si>
    <t>0.2</t>
  </si>
  <si>
    <t>64</t>
  </si>
  <si>
    <t>3.0</t>
  </si>
  <si>
    <t>30</t>
  </si>
  <si>
    <t>32-96:32</t>
  </si>
  <si>
    <t>2</t>
  </si>
  <si>
    <t>tanh</t>
  </si>
  <si>
    <t>96</t>
  </si>
  <si>
    <t>GRU</t>
  </si>
  <si>
    <t>48</t>
  </si>
  <si>
    <t>512</t>
  </si>
  <si>
    <t>adam</t>
  </si>
  <si>
    <t>64-256:64</t>
  </si>
  <si>
    <t>128</t>
  </si>
  <si>
    <t>256</t>
  </si>
  <si>
    <t>120</t>
  </si>
  <si>
    <t>192</t>
  </si>
  <si>
    <t>40</t>
  </si>
  <si>
    <t>75</t>
  </si>
  <si>
    <t>2048</t>
  </si>
  <si>
    <t>16</t>
  </si>
  <si>
    <t>150</t>
  </si>
  <si>
    <t>rmsprop</t>
  </si>
  <si>
    <t>32</t>
  </si>
  <si>
    <t>relu</t>
  </si>
  <si>
    <t>125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</si>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</sst>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i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0" fillId="0" fontId="3" numFmtId="3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1" numFmtId="165" xfId="0" applyAlignment="1" applyBorder="1" applyFont="1" applyNumberFormat="1">
      <alignment horizontal="center" vertical="bottom"/>
    </xf>
    <xf borderId="3" fillId="0" fontId="2" numFmtId="0" xfId="0" applyBorder="1" applyFont="1"/>
    <xf borderId="4" fillId="0" fontId="4" numFmtId="164" xfId="0" applyAlignment="1" applyBorder="1" applyFont="1" applyNumberForma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7" fillId="0" fontId="1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4" xfId="0" applyFont="1" applyNumberFormat="1"/>
    <xf borderId="8" fillId="0" fontId="3" numFmtId="164" xfId="0" applyAlignment="1" applyBorder="1" applyFont="1" applyNumberFormat="1">
      <alignment horizontal="right" vertical="bottom"/>
    </xf>
    <xf borderId="9" fillId="0" fontId="3" numFmtId="164" xfId="0" applyAlignment="1" applyBorder="1" applyFont="1" applyNumberFormat="1">
      <alignment horizontal="right" vertical="bottom"/>
    </xf>
    <xf borderId="10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5" numFmtId="3" xfId="0" applyFont="1" applyNumberFormat="1"/>
    <xf borderId="0" fillId="0" fontId="5" numFmtId="165" xfId="0" applyFont="1" applyNumberFormat="1"/>
    <xf borderId="9" fillId="2" fontId="1" numFmtId="0" xfId="0" applyAlignment="1" applyBorder="1" applyFill="1" applyFont="1">
      <alignment horizontal="center" vertical="bottom"/>
    </xf>
    <xf borderId="9" fillId="0" fontId="3" numFmtId="164" xfId="0" applyAlignment="1" applyBorder="1" applyFont="1" applyNumberFormat="1">
      <alignment vertical="bottom"/>
    </xf>
    <xf borderId="0" fillId="0" fontId="3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6.88"/>
    <col customWidth="1" min="2" max="2" width="16.75"/>
    <col customWidth="1" min="3" max="3" width="34.5"/>
    <col customWidth="1" min="4" max="4" width="34.38"/>
    <col customWidth="1" min="5" max="5" width="10.88"/>
    <col customWidth="1" min="6" max="6" width="14.75"/>
    <col customWidth="1" min="7" max="7" width="13.5"/>
    <col customWidth="1" min="8" max="8" width="12.75"/>
    <col customWidth="1" min="9" max="9" width="12.88"/>
    <col customWidth="1" min="10" max="10" width="9.5"/>
    <col customWidth="1" min="11" max="11" width="7.0"/>
    <col customWidth="1" min="12" max="12" width="10.5"/>
    <col customWidth="1" min="13" max="13" width="10.13"/>
    <col customWidth="1" min="14" max="14" width="13.13"/>
    <col customWidth="1" min="15" max="15" width="12.75"/>
    <col customWidth="1" min="16" max="18" width="11.63"/>
    <col customWidth="1" min="19" max="20" width="10.88"/>
    <col customWidth="1" min="21" max="21" width="18.25"/>
    <col customWidth="1" min="22" max="22" width="9.75"/>
    <col customWidth="1" min="23" max="23" width="10.5"/>
    <col customWidth="1" min="24" max="24" width="8.0"/>
    <col customWidth="1" min="25" max="26" width="9.25"/>
    <col customWidth="1" min="27" max="27" width="9.88"/>
    <col customWidth="1" min="28" max="28" width="7.5"/>
    <col customWidth="1" min="29" max="29" width="9.63"/>
    <col customWidth="1" min="30" max="30" width="10.25"/>
    <col customWidth="1" min="31" max="31" width="7.88"/>
    <col customWidth="1" min="32" max="32" width="9.88"/>
    <col customWidth="1" min="33" max="33" width="10.5"/>
    <col customWidth="1" min="34" max="34" width="8.13"/>
    <col customWidth="1" min="35" max="35" width="10.13"/>
    <col customWidth="1" min="36" max="37" width="13.13"/>
    <col customWidth="1" min="38" max="38" width="13.75"/>
    <col customWidth="1" min="39" max="39" width="11.38"/>
    <col customWidth="1" min="40" max="41" width="13.5"/>
    <col customWidth="1" min="42" max="42" width="14.13"/>
    <col customWidth="1" min="43" max="43" width="11.75"/>
    <col customWidth="1" min="44" max="45" width="13.75"/>
    <col customWidth="1" min="46" max="46" width="14.38"/>
    <col customWidth="1" min="47" max="47" width="12.0"/>
    <col customWidth="1" min="48" max="48" width="12.5"/>
    <col customWidth="1" min="49" max="49" width="10.0"/>
    <col customWidth="1" min="50" max="50" width="9.13"/>
    <col customWidth="1" min="51" max="51" width="10.25"/>
    <col customWidth="1" min="52" max="52" width="13.63"/>
    <col customWidth="1" min="53" max="53" width="13.0"/>
    <col customWidth="1" min="54" max="54" width="8.0"/>
    <col customWidth="1" min="55" max="55" width="7.13"/>
    <col customWidth="1" min="56" max="56" width="8.88"/>
    <col customWidth="1" min="57" max="57" width="7.75"/>
    <col customWidth="1" min="58" max="58" width="7.88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M1" s="7"/>
      <c r="N1" s="7"/>
      <c r="O1" s="7"/>
      <c r="P1" s="7"/>
      <c r="Q1" s="7"/>
      <c r="R1" s="7"/>
      <c r="S1" s="8" t="s">
        <v>4</v>
      </c>
      <c r="T1" s="4"/>
      <c r="U1" s="3" t="s">
        <v>5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4"/>
      <c r="AV1" s="10" t="s">
        <v>6</v>
      </c>
      <c r="AW1" s="11"/>
      <c r="AX1" s="11"/>
      <c r="AY1" s="12"/>
      <c r="AZ1" s="13" t="s">
        <v>7</v>
      </c>
      <c r="BA1" s="12"/>
      <c r="BB1" s="13" t="s">
        <v>8</v>
      </c>
      <c r="BC1" s="11"/>
      <c r="BD1" s="12"/>
      <c r="BE1" s="14" t="s">
        <v>9</v>
      </c>
      <c r="BG1" s="15"/>
      <c r="BH1" s="15"/>
    </row>
    <row r="2">
      <c r="A2" s="1" t="s">
        <v>0</v>
      </c>
      <c r="B2" s="2" t="s">
        <v>10</v>
      </c>
      <c r="C2" s="1" t="s">
        <v>11</v>
      </c>
      <c r="D2" s="1" t="s">
        <v>12</v>
      </c>
      <c r="E2" s="16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7" t="s">
        <v>27</v>
      </c>
      <c r="T2" s="17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8" t="s">
        <v>56</v>
      </c>
      <c r="AW2" s="19" t="s">
        <v>57</v>
      </c>
      <c r="AX2" s="19" t="s">
        <v>58</v>
      </c>
      <c r="AY2" s="19" t="s">
        <v>59</v>
      </c>
      <c r="AZ2" s="20" t="s">
        <v>60</v>
      </c>
      <c r="BA2" s="19" t="s">
        <v>61</v>
      </c>
      <c r="BB2" s="20" t="s">
        <v>62</v>
      </c>
      <c r="BC2" s="19" t="s">
        <v>63</v>
      </c>
      <c r="BD2" s="19" t="s">
        <v>64</v>
      </c>
      <c r="BE2" s="19" t="s">
        <v>65</v>
      </c>
      <c r="BF2" s="19" t="s">
        <v>66</v>
      </c>
      <c r="BG2" s="19"/>
      <c r="BH2" s="19"/>
    </row>
    <row r="3">
      <c r="A3" s="21" t="s">
        <v>67</v>
      </c>
      <c r="B3" s="22">
        <f t="shared" ref="B3:B290" si="3">(((1*AV3)+(1*AW3)+(1*AX3)+(1*AY3)+(1*AZ3)+(1*BA3)+(1*BB3)+(1*BC3)+(1*BD3)+(1*BE3)+(1*BF3))/11)*-1</f>
        <v>0.1655047835</v>
      </c>
      <c r="C3" s="21" t="s">
        <v>68</v>
      </c>
      <c r="D3" s="21" t="s">
        <v>69</v>
      </c>
      <c r="E3" s="23">
        <v>136.0</v>
      </c>
      <c r="F3" s="24" t="s">
        <v>70</v>
      </c>
      <c r="G3" s="21" t="s">
        <v>71</v>
      </c>
      <c r="H3" s="24" t="s">
        <v>72</v>
      </c>
      <c r="I3" s="24" t="s">
        <v>73</v>
      </c>
      <c r="J3" s="24" t="s">
        <v>74</v>
      </c>
      <c r="K3" s="24" t="s">
        <v>75</v>
      </c>
      <c r="L3" s="21" t="s">
        <v>76</v>
      </c>
      <c r="M3" s="24" t="s">
        <v>77</v>
      </c>
      <c r="N3" s="21" t="s">
        <v>78</v>
      </c>
      <c r="O3" s="21" t="s">
        <v>79</v>
      </c>
      <c r="P3" s="21" t="s">
        <v>80</v>
      </c>
      <c r="Q3" s="24" t="s">
        <v>81</v>
      </c>
      <c r="S3" s="25">
        <v>67.7725713253021</v>
      </c>
      <c r="T3" s="25">
        <v>201.676644563674</v>
      </c>
      <c r="U3" s="25">
        <v>1.67544213627558</v>
      </c>
      <c r="V3" s="25">
        <v>4.81087231613997</v>
      </c>
      <c r="W3" s="25">
        <v>2.19337008189224</v>
      </c>
      <c r="X3" s="25">
        <v>0.815198288377471</v>
      </c>
      <c r="Y3" s="25">
        <v>0.0600033967439828</v>
      </c>
      <c r="Z3" s="25">
        <v>0.00591901640205915</v>
      </c>
      <c r="AA3" s="25">
        <v>0.0769351441284096</v>
      </c>
      <c r="AB3" s="25">
        <v>0.87496860800735</v>
      </c>
      <c r="AC3" s="25">
        <v>0.0601023889136961</v>
      </c>
      <c r="AD3" s="25">
        <v>0.0768943952661021</v>
      </c>
      <c r="AE3" s="25">
        <v>0.875827875603623</v>
      </c>
      <c r="AF3" s="25">
        <v>0.0611418162189083</v>
      </c>
      <c r="AG3" s="25">
        <v>0.0829975051345564</v>
      </c>
      <c r="AH3" s="25">
        <v>0.856770227372173</v>
      </c>
      <c r="AI3" s="25">
        <v>10.0</v>
      </c>
      <c r="AJ3" s="25">
        <v>1.67544213627558</v>
      </c>
      <c r="AK3" s="25">
        <v>4.81087231613997</v>
      </c>
      <c r="AL3" s="25">
        <v>2.19337008189224</v>
      </c>
      <c r="AM3" s="25">
        <v>0.815105250756664</v>
      </c>
      <c r="AN3" s="25">
        <v>1.40155431925134</v>
      </c>
      <c r="AO3" s="25">
        <v>3.21533161660169</v>
      </c>
      <c r="AP3" s="25">
        <v>1.79313457849702</v>
      </c>
      <c r="AQ3" s="25">
        <v>0.875827875603623</v>
      </c>
      <c r="AR3" s="25">
        <v>1.42579318654926</v>
      </c>
      <c r="AS3" s="25">
        <v>3.74598880542107</v>
      </c>
      <c r="AT3" s="25">
        <v>1.93545571001277</v>
      </c>
      <c r="AU3" s="25">
        <v>0.856770227372173</v>
      </c>
      <c r="AV3" s="26">
        <f t="shared" ref="AV3:AW3" si="1">(AC3-AC$289)/AC$290</f>
        <v>0.05558812418</v>
      </c>
      <c r="AW3" s="27">
        <f t="shared" si="1"/>
        <v>0.06899906829</v>
      </c>
      <c r="AX3" s="27">
        <f t="shared" ref="AX3:AX290" si="5">(AR3-AR$289)/AR$290</f>
        <v>-0.1644216206</v>
      </c>
      <c r="AY3" s="28">
        <f t="shared" ref="AY3:AY290" si="6">(AT3-AT$289)/AT$290</f>
        <v>-0.1233682851</v>
      </c>
      <c r="AZ3" s="29">
        <f t="shared" ref="AZ3:AZ290" si="7">(AJ3-AJ$289)/AJ$290</f>
        <v>0.005590724163</v>
      </c>
      <c r="BA3" s="28">
        <f t="shared" ref="BA3:BA290" si="8">(AL3-AL$289)/AL$290</f>
        <v>0.02550690942</v>
      </c>
      <c r="BB3" s="29">
        <f t="shared" ref="BB3:BB290" si="9">-((AQ3-AQ$289)/AQ$290)</f>
        <v>0.007322688367</v>
      </c>
      <c r="BC3" s="27">
        <f t="shared" ref="BC3:BC290" si="10">-((AU3-AU$289)/AU$290)</f>
        <v>-0.07997762147</v>
      </c>
      <c r="BD3" s="28">
        <f t="shared" ref="BD3:BD290" si="11">-((AM3-AM$289)/AM$290)</f>
        <v>0.02238128015</v>
      </c>
      <c r="BE3" s="30">
        <f t="shared" ref="BE3:BF3" si="2">((S3-S$289)/S$290)</f>
        <v>-0.8195784316</v>
      </c>
      <c r="BF3" s="30">
        <f t="shared" si="2"/>
        <v>-0.8185954539</v>
      </c>
    </row>
    <row r="4">
      <c r="A4" s="21" t="s">
        <v>67</v>
      </c>
      <c r="B4" s="22">
        <f t="shared" si="3"/>
        <v>0.1858114227</v>
      </c>
      <c r="C4" s="21" t="s">
        <v>68</v>
      </c>
      <c r="D4" s="21" t="s">
        <v>69</v>
      </c>
      <c r="E4" s="23">
        <v>71.0</v>
      </c>
      <c r="F4" s="24" t="s">
        <v>70</v>
      </c>
      <c r="G4" s="21" t="s">
        <v>82</v>
      </c>
      <c r="H4" s="24" t="s">
        <v>83</v>
      </c>
      <c r="I4" s="24" t="s">
        <v>73</v>
      </c>
      <c r="J4" s="24" t="s">
        <v>74</v>
      </c>
      <c r="K4" s="24" t="s">
        <v>75</v>
      </c>
      <c r="L4" s="21" t="s">
        <v>84</v>
      </c>
      <c r="M4" s="24" t="s">
        <v>85</v>
      </c>
      <c r="N4" s="21" t="s">
        <v>86</v>
      </c>
      <c r="O4" s="21" t="s">
        <v>79</v>
      </c>
      <c r="P4" s="21" t="s">
        <v>80</v>
      </c>
      <c r="Q4" s="24" t="s">
        <v>87</v>
      </c>
      <c r="R4" s="24" t="s">
        <v>87</v>
      </c>
      <c r="S4" s="25">
        <v>96.0089039802551</v>
      </c>
      <c r="T4" s="25">
        <v>166.353128910064</v>
      </c>
      <c r="U4" s="25">
        <v>1.4698996039693</v>
      </c>
      <c r="V4" s="25">
        <v>3.65974685894408</v>
      </c>
      <c r="W4" s="25">
        <v>1.91304648635209</v>
      </c>
      <c r="X4" s="25">
        <v>0.85945589162679</v>
      </c>
      <c r="Y4" s="25">
        <v>0.0621769985172936</v>
      </c>
      <c r="Z4" s="25">
        <v>0.00626606161290113</v>
      </c>
      <c r="AA4" s="25">
        <v>0.0791584588840708</v>
      </c>
      <c r="AB4" s="25">
        <v>0.868196634821765</v>
      </c>
      <c r="AC4" s="25">
        <v>0.0621657975634322</v>
      </c>
      <c r="AD4" s="25">
        <v>0.0790702922846188</v>
      </c>
      <c r="AE4" s="25">
        <v>0.869129704131295</v>
      </c>
      <c r="AF4" s="25">
        <v>0.0634478632406047</v>
      </c>
      <c r="AG4" s="25">
        <v>0.0834894353050165</v>
      </c>
      <c r="AH4" s="25">
        <v>0.854707875501511</v>
      </c>
      <c r="AI4" s="25">
        <v>10.0</v>
      </c>
      <c r="AJ4" s="25">
        <v>1.4698996039693</v>
      </c>
      <c r="AK4" s="25">
        <v>3.65974685894408</v>
      </c>
      <c r="AL4" s="25">
        <v>1.91304648635209</v>
      </c>
      <c r="AM4" s="25">
        <v>0.859442375694071</v>
      </c>
      <c r="AN4" s="25">
        <v>1.44967186262505</v>
      </c>
      <c r="AO4" s="25">
        <v>3.39987607820286</v>
      </c>
      <c r="AP4" s="25">
        <v>1.84387528813715</v>
      </c>
      <c r="AQ4" s="25">
        <v>0.869129704131295</v>
      </c>
      <c r="AR4" s="25">
        <v>1.47956892195799</v>
      </c>
      <c r="AS4" s="25">
        <v>3.7905257101472</v>
      </c>
      <c r="AT4" s="25">
        <v>1.94692724829337</v>
      </c>
      <c r="AU4" s="25">
        <v>0.854707875501511</v>
      </c>
      <c r="AV4" s="26">
        <f t="shared" ref="AV4:AW4" si="4">(AC4-AC$289)/AC$290</f>
        <v>0.09793888516</v>
      </c>
      <c r="AW4" s="27">
        <f t="shared" si="4"/>
        <v>0.1041601473</v>
      </c>
      <c r="AX4" s="27">
        <f t="shared" si="5"/>
        <v>-0.1416456571</v>
      </c>
      <c r="AY4" s="28">
        <f t="shared" si="6"/>
        <v>-0.1195502917</v>
      </c>
      <c r="AZ4" s="29">
        <f t="shared" si="7"/>
        <v>-0.09991260328</v>
      </c>
      <c r="BA4" s="28">
        <f t="shared" si="8"/>
        <v>-0.08564671958</v>
      </c>
      <c r="BB4" s="29">
        <f t="shared" si="9"/>
        <v>0.01464546236</v>
      </c>
      <c r="BC4" s="27">
        <f t="shared" si="10"/>
        <v>-0.07688284931</v>
      </c>
      <c r="BD4" s="28">
        <f t="shared" si="11"/>
        <v>-0.03560785373</v>
      </c>
      <c r="BE4" s="30">
        <f t="shared" ref="BE4:BF4" si="12">((S4-S$289)/S$290)</f>
        <v>-0.8121912185</v>
      </c>
      <c r="BF4" s="30">
        <f t="shared" si="12"/>
        <v>-0.889232951</v>
      </c>
    </row>
    <row r="5">
      <c r="A5" s="21" t="s">
        <v>88</v>
      </c>
      <c r="B5" s="22">
        <f t="shared" si="3"/>
        <v>0.1664717113</v>
      </c>
      <c r="C5" s="21" t="s">
        <v>68</v>
      </c>
      <c r="D5" s="21" t="s">
        <v>69</v>
      </c>
      <c r="E5" s="23">
        <v>27.0</v>
      </c>
      <c r="F5" s="24" t="s">
        <v>70</v>
      </c>
      <c r="G5" s="21" t="s">
        <v>82</v>
      </c>
      <c r="H5" s="24" t="s">
        <v>83</v>
      </c>
      <c r="I5" s="24" t="s">
        <v>73</v>
      </c>
      <c r="J5" s="24" t="s">
        <v>74</v>
      </c>
      <c r="K5" s="24" t="s">
        <v>75</v>
      </c>
      <c r="L5" s="21" t="s">
        <v>76</v>
      </c>
      <c r="M5" s="24" t="s">
        <v>85</v>
      </c>
      <c r="N5" s="21" t="s">
        <v>86</v>
      </c>
      <c r="O5" s="21" t="s">
        <v>79</v>
      </c>
      <c r="P5" s="21" t="s">
        <v>80</v>
      </c>
      <c r="Q5" s="24" t="s">
        <v>89</v>
      </c>
      <c r="R5" s="24" t="s">
        <v>81</v>
      </c>
      <c r="S5" s="25">
        <v>100.566982984542</v>
      </c>
      <c r="T5" s="25">
        <v>177.047588825225</v>
      </c>
      <c r="U5" s="25">
        <v>1.59842865570136</v>
      </c>
      <c r="V5" s="25">
        <v>4.36634326646955</v>
      </c>
      <c r="W5" s="25">
        <v>2.08957968655649</v>
      </c>
      <c r="X5" s="25">
        <v>0.83231502807965</v>
      </c>
      <c r="Y5" s="25">
        <v>0.0576100948929916</v>
      </c>
      <c r="Z5" s="25">
        <v>0.00521179629395796</v>
      </c>
      <c r="AA5" s="25">
        <v>0.0721927717569977</v>
      </c>
      <c r="AB5" s="25">
        <v>0.890372560532633</v>
      </c>
      <c r="AC5" s="25">
        <v>0.0576684237325908</v>
      </c>
      <c r="AD5" s="25">
        <v>0.0721755302235993</v>
      </c>
      <c r="AE5" s="25">
        <v>0.890957861048867</v>
      </c>
      <c r="AF5" s="25">
        <v>0.0742180831265088</v>
      </c>
      <c r="AG5" s="25">
        <v>0.0939984856092715</v>
      </c>
      <c r="AH5" s="25">
        <v>0.815829214435732</v>
      </c>
      <c r="AI5" s="25">
        <v>10.0</v>
      </c>
      <c r="AJ5" s="25">
        <v>1.59842865570136</v>
      </c>
      <c r="AK5" s="25">
        <v>4.36634326646955</v>
      </c>
      <c r="AL5" s="25">
        <v>2.08957968655649</v>
      </c>
      <c r="AM5" s="25">
        <v>0.832304566382981</v>
      </c>
      <c r="AN5" s="25">
        <v>1.34479560343084</v>
      </c>
      <c r="AO5" s="25">
        <v>2.83280294642233</v>
      </c>
      <c r="AP5" s="25">
        <v>1.68309326729754</v>
      </c>
      <c r="AQ5" s="25">
        <v>0.890957861048867</v>
      </c>
      <c r="AR5" s="25">
        <v>1.7307244662418</v>
      </c>
      <c r="AS5" s="25">
        <v>4.80483095796858</v>
      </c>
      <c r="AT5" s="25">
        <v>2.19199246302732</v>
      </c>
      <c r="AU5" s="25">
        <v>0.815829214435732</v>
      </c>
      <c r="AV5" s="26">
        <f t="shared" ref="AV5:AW5" si="13">(AC5-AC$289)/AC$290</f>
        <v>0.005631816392</v>
      </c>
      <c r="AW5" s="27">
        <f t="shared" si="13"/>
        <v>-0.00725471823</v>
      </c>
      <c r="AX5" s="27">
        <f t="shared" si="5"/>
        <v>-0.03527222573</v>
      </c>
      <c r="AY5" s="28">
        <f t="shared" si="6"/>
        <v>-0.03798691652</v>
      </c>
      <c r="AZ5" s="29">
        <f t="shared" si="7"/>
        <v>-0.03393967554</v>
      </c>
      <c r="BA5" s="28">
        <f t="shared" si="8"/>
        <v>-0.01564795332</v>
      </c>
      <c r="BB5" s="29">
        <f t="shared" si="9"/>
        <v>-0.009218163762</v>
      </c>
      <c r="BC5" s="27">
        <f t="shared" si="10"/>
        <v>-0.01854139956</v>
      </c>
      <c r="BD5" s="28">
        <f t="shared" si="11"/>
        <v>-0.0001139406834</v>
      </c>
      <c r="BE5" s="30">
        <f t="shared" ref="BE5:BF5" si="14">((S5-S$289)/S$290)</f>
        <v>-0.8109987301</v>
      </c>
      <c r="BF5" s="30">
        <f t="shared" si="14"/>
        <v>-0.8678469177</v>
      </c>
    </row>
    <row r="6">
      <c r="A6" s="21" t="s">
        <v>67</v>
      </c>
      <c r="B6" s="22">
        <f t="shared" si="3"/>
        <v>0.1478372367</v>
      </c>
      <c r="C6" s="21" t="s">
        <v>68</v>
      </c>
      <c r="D6" s="21" t="s">
        <v>69</v>
      </c>
      <c r="E6" s="23">
        <v>59.0</v>
      </c>
      <c r="F6" s="24" t="s">
        <v>70</v>
      </c>
      <c r="G6" s="21" t="s">
        <v>82</v>
      </c>
      <c r="H6" s="24" t="s">
        <v>83</v>
      </c>
      <c r="I6" s="24" t="s">
        <v>73</v>
      </c>
      <c r="J6" s="24" t="s">
        <v>90</v>
      </c>
      <c r="K6" s="24" t="s">
        <v>75</v>
      </c>
      <c r="L6" s="21" t="s">
        <v>84</v>
      </c>
      <c r="M6" s="24" t="s">
        <v>85</v>
      </c>
      <c r="N6" s="21" t="s">
        <v>78</v>
      </c>
      <c r="O6" s="21" t="s">
        <v>91</v>
      </c>
      <c r="P6" s="21" t="s">
        <v>80</v>
      </c>
      <c r="Q6" s="24" t="s">
        <v>87</v>
      </c>
      <c r="R6" s="24" t="s">
        <v>81</v>
      </c>
      <c r="S6" s="25">
        <v>91.6424522399902</v>
      </c>
      <c r="T6" s="25">
        <v>219.846939086914</v>
      </c>
      <c r="U6" s="25">
        <v>1.51430741487618</v>
      </c>
      <c r="V6" s="25">
        <v>3.86265160195448</v>
      </c>
      <c r="W6" s="25">
        <v>1.96536296951847</v>
      </c>
      <c r="X6" s="25">
        <v>0.851663464289051</v>
      </c>
      <c r="Y6" s="25">
        <v>0.0646880119554334</v>
      </c>
      <c r="Z6" s="25">
        <v>0.00673331312366938</v>
      </c>
      <c r="AA6" s="25">
        <v>0.0820567676896268</v>
      </c>
      <c r="AB6" s="25">
        <v>0.858368240958374</v>
      </c>
      <c r="AC6" s="25">
        <v>0.0646060610342847</v>
      </c>
      <c r="AD6" s="25">
        <v>0.0819157404997112</v>
      </c>
      <c r="AE6" s="25">
        <v>0.859541146559361</v>
      </c>
      <c r="AF6" s="25">
        <v>0.0698729031262726</v>
      </c>
      <c r="AG6" s="25">
        <v>0.0901707943973312</v>
      </c>
      <c r="AH6" s="25">
        <v>0.830522980193688</v>
      </c>
      <c r="AI6" s="25">
        <v>10.0</v>
      </c>
      <c r="AJ6" s="25">
        <v>1.51430741487618</v>
      </c>
      <c r="AK6" s="25">
        <v>3.86265160195448</v>
      </c>
      <c r="AL6" s="25">
        <v>1.96536296951847</v>
      </c>
      <c r="AM6" s="25">
        <v>0.851649539266533</v>
      </c>
      <c r="AN6" s="25">
        <v>1.5065774510634</v>
      </c>
      <c r="AO6" s="25">
        <v>3.64897697078428</v>
      </c>
      <c r="AP6" s="25">
        <v>1.91022955970854</v>
      </c>
      <c r="AQ6" s="25">
        <v>0.859541146559361</v>
      </c>
      <c r="AR6" s="25">
        <v>1.62939728262518</v>
      </c>
      <c r="AS6" s="25">
        <v>4.42148535629426</v>
      </c>
      <c r="AT6" s="25">
        <v>2.10273283045998</v>
      </c>
      <c r="AU6" s="25">
        <v>0.830522980193688</v>
      </c>
      <c r="AV6" s="26">
        <f t="shared" ref="AV6:AW6" si="15">(AC6-AC$289)/AC$290</f>
        <v>0.1480244632</v>
      </c>
      <c r="AW6" s="27">
        <f t="shared" si="15"/>
        <v>0.1501407377</v>
      </c>
      <c r="AX6" s="27">
        <f t="shared" si="5"/>
        <v>-0.07818794255</v>
      </c>
      <c r="AY6" s="28">
        <f t="shared" si="6"/>
        <v>-0.06769458803</v>
      </c>
      <c r="AZ6" s="29">
        <f t="shared" si="7"/>
        <v>-0.07711843137</v>
      </c>
      <c r="BA6" s="28">
        <f t="shared" si="8"/>
        <v>-0.06490224051</v>
      </c>
      <c r="BB6" s="29">
        <f t="shared" si="9"/>
        <v>0.0251281501</v>
      </c>
      <c r="BC6" s="27">
        <f t="shared" si="10"/>
        <v>-0.04059091395</v>
      </c>
      <c r="BD6" s="28">
        <f t="shared" si="11"/>
        <v>-0.02541549607</v>
      </c>
      <c r="BE6" s="30">
        <f t="shared" ref="BE6:BF6" si="16">((S6-S$289)/S$290)</f>
        <v>-0.8133335733</v>
      </c>
      <c r="BF6" s="30">
        <f t="shared" si="16"/>
        <v>-0.7822597692</v>
      </c>
    </row>
    <row r="7">
      <c r="A7" s="21" t="s">
        <v>67</v>
      </c>
      <c r="B7" s="22">
        <f t="shared" si="3"/>
        <v>0.2219204176</v>
      </c>
      <c r="C7" s="21" t="s">
        <v>68</v>
      </c>
      <c r="D7" s="21" t="s">
        <v>69</v>
      </c>
      <c r="E7" s="23">
        <v>137.0</v>
      </c>
      <c r="F7" s="24" t="s">
        <v>70</v>
      </c>
      <c r="G7" s="21" t="s">
        <v>71</v>
      </c>
      <c r="H7" s="24" t="s">
        <v>72</v>
      </c>
      <c r="I7" s="24" t="s">
        <v>73</v>
      </c>
      <c r="J7" s="24" t="s">
        <v>74</v>
      </c>
      <c r="K7" s="24" t="s">
        <v>75</v>
      </c>
      <c r="L7" s="21" t="s">
        <v>92</v>
      </c>
      <c r="M7" s="24" t="s">
        <v>77</v>
      </c>
      <c r="N7" s="21" t="s">
        <v>86</v>
      </c>
      <c r="O7" s="21" t="s">
        <v>91</v>
      </c>
      <c r="P7" s="21" t="s">
        <v>80</v>
      </c>
      <c r="Q7" s="24" t="s">
        <v>93</v>
      </c>
      <c r="S7" s="25">
        <v>153.522176265716</v>
      </c>
      <c r="T7" s="25">
        <v>202.937472343444</v>
      </c>
      <c r="U7" s="25">
        <v>1.47033885918034</v>
      </c>
      <c r="V7" s="25">
        <v>3.77279162357766</v>
      </c>
      <c r="W7" s="25">
        <v>1.94236753050952</v>
      </c>
      <c r="X7" s="25">
        <v>0.855086426655986</v>
      </c>
      <c r="Y7" s="25">
        <v>0.047136394679256</v>
      </c>
      <c r="Z7" s="25">
        <v>0.0039859514316007</v>
      </c>
      <c r="AA7" s="25">
        <v>0.0631343918288653</v>
      </c>
      <c r="AB7" s="25">
        <v>0.915802048506783</v>
      </c>
      <c r="AC7" s="25">
        <v>0.0471142960836506</v>
      </c>
      <c r="AD7" s="25">
        <v>0.0630095498647825</v>
      </c>
      <c r="AE7" s="25">
        <v>0.916622764016082</v>
      </c>
      <c r="AF7" s="25">
        <v>0.0679106049811344</v>
      </c>
      <c r="AG7" s="25">
        <v>0.0891015136863872</v>
      </c>
      <c r="AH7" s="25">
        <v>0.834928008512239</v>
      </c>
      <c r="AI7" s="25">
        <v>10.0</v>
      </c>
      <c r="AJ7" s="25">
        <v>1.47033885918034</v>
      </c>
      <c r="AK7" s="25">
        <v>3.77279162357766</v>
      </c>
      <c r="AL7" s="25">
        <v>1.94236753050952</v>
      </c>
      <c r="AM7" s="25">
        <v>0.85500148094796</v>
      </c>
      <c r="AN7" s="25">
        <v>1.09867921006179</v>
      </c>
      <c r="AO7" s="25">
        <v>2.15898265626976</v>
      </c>
      <c r="AP7" s="25">
        <v>1.46934769754124</v>
      </c>
      <c r="AQ7" s="25">
        <v>0.916622764016082</v>
      </c>
      <c r="AR7" s="25">
        <v>1.58363758004618</v>
      </c>
      <c r="AS7" s="25">
        <v>4.31724369072676</v>
      </c>
      <c r="AT7" s="25">
        <v>2.07779779832561</v>
      </c>
      <c r="AU7" s="25">
        <v>0.834928008512239</v>
      </c>
      <c r="AV7" s="26">
        <f t="shared" ref="AV7:AW7" si="17">(AC7-AC$289)/AC$290</f>
        <v>-0.2109880652</v>
      </c>
      <c r="AW7" s="27">
        <f t="shared" si="17"/>
        <v>-0.1553709926</v>
      </c>
      <c r="AX7" s="27">
        <f t="shared" si="5"/>
        <v>-0.09756882701</v>
      </c>
      <c r="AY7" s="28">
        <f t="shared" si="6"/>
        <v>-0.07599354381</v>
      </c>
      <c r="AZ7" s="29">
        <f t="shared" si="7"/>
        <v>-0.09968713711</v>
      </c>
      <c r="BA7" s="28">
        <f t="shared" si="8"/>
        <v>-0.07402036876</v>
      </c>
      <c r="BB7" s="29">
        <f t="shared" si="9"/>
        <v>-0.03727631137</v>
      </c>
      <c r="BC7" s="27">
        <f t="shared" si="10"/>
        <v>-0.04720111428</v>
      </c>
      <c r="BD7" s="28">
        <f t="shared" si="11"/>
        <v>-0.02979954658</v>
      </c>
      <c r="BE7" s="30">
        <f t="shared" ref="BE7:BF7" si="18">((S7-S$289)/S$290)</f>
        <v>-0.7971445479</v>
      </c>
      <c r="BF7" s="30">
        <f t="shared" si="18"/>
        <v>-0.8160741387</v>
      </c>
    </row>
    <row r="8">
      <c r="A8" s="21" t="s">
        <v>67</v>
      </c>
      <c r="B8" s="22">
        <f t="shared" si="3"/>
        <v>0.1393478082</v>
      </c>
      <c r="C8" s="21" t="s">
        <v>68</v>
      </c>
      <c r="D8" s="21" t="s">
        <v>69</v>
      </c>
      <c r="E8" s="23">
        <v>132.0</v>
      </c>
      <c r="F8" s="24" t="s">
        <v>70</v>
      </c>
      <c r="G8" s="21" t="s">
        <v>71</v>
      </c>
      <c r="H8" s="24" t="s">
        <v>72</v>
      </c>
      <c r="I8" s="24" t="s">
        <v>73</v>
      </c>
      <c r="J8" s="24" t="s">
        <v>74</v>
      </c>
      <c r="K8" s="24" t="s">
        <v>75</v>
      </c>
      <c r="L8" s="21" t="s">
        <v>84</v>
      </c>
      <c r="M8" s="24" t="s">
        <v>85</v>
      </c>
      <c r="N8" s="21" t="s">
        <v>86</v>
      </c>
      <c r="O8" s="21" t="s">
        <v>91</v>
      </c>
      <c r="P8" s="21" t="s">
        <v>80</v>
      </c>
      <c r="Q8" s="24" t="s">
        <v>87</v>
      </c>
      <c r="R8" s="24" t="s">
        <v>81</v>
      </c>
      <c r="S8" s="25">
        <v>106.712478637695</v>
      </c>
      <c r="T8" s="25">
        <v>219.788347721099</v>
      </c>
      <c r="U8" s="25">
        <v>1.59995655848248</v>
      </c>
      <c r="V8" s="25">
        <v>4.29425648029656</v>
      </c>
      <c r="W8" s="25">
        <v>2.07225878699948</v>
      </c>
      <c r="X8" s="25">
        <v>0.8350251466123</v>
      </c>
      <c r="Y8" s="25">
        <v>0.0603089525564398</v>
      </c>
      <c r="Z8" s="25">
        <v>0.00587094042341847</v>
      </c>
      <c r="AA8" s="25">
        <v>0.0766220622498407</v>
      </c>
      <c r="AB8" s="25">
        <v>0.875984149462644</v>
      </c>
      <c r="AC8" s="25">
        <v>0.0598985076026294</v>
      </c>
      <c r="AD8" s="25">
        <v>0.0762635533834381</v>
      </c>
      <c r="AE8" s="25">
        <v>0.877856935184719</v>
      </c>
      <c r="AF8" s="25">
        <v>0.0765177456958238</v>
      </c>
      <c r="AG8" s="25">
        <v>0.0992669419384418</v>
      </c>
      <c r="AH8" s="25">
        <v>0.795113891975149</v>
      </c>
      <c r="AI8" s="25">
        <v>10.0</v>
      </c>
      <c r="AJ8" s="25">
        <v>1.59995655848248</v>
      </c>
      <c r="AK8" s="25">
        <v>4.29425648029656</v>
      </c>
      <c r="AL8" s="25">
        <v>2.07225878699948</v>
      </c>
      <c r="AM8" s="25">
        <v>0.834960185401873</v>
      </c>
      <c r="AN8" s="25">
        <v>1.39679992034466</v>
      </c>
      <c r="AO8" s="25">
        <v>3.16279084342267</v>
      </c>
      <c r="AP8" s="25">
        <v>1.778423696261</v>
      </c>
      <c r="AQ8" s="25">
        <v>0.877856935184719</v>
      </c>
      <c r="AR8" s="25">
        <v>1.7843513197679</v>
      </c>
      <c r="AS8" s="25">
        <v>5.35853023408537</v>
      </c>
      <c r="AT8" s="25">
        <v>2.31484993770338</v>
      </c>
      <c r="AU8" s="25">
        <v>0.795113891975149</v>
      </c>
      <c r="AV8" s="26">
        <f t="shared" ref="AV8:AW8" si="19">(AC8-AC$289)/AC$290</f>
        <v>0.05140352959</v>
      </c>
      <c r="AW8" s="27">
        <f t="shared" si="19"/>
        <v>0.05880507422</v>
      </c>
      <c r="AX8" s="27">
        <f t="shared" si="5"/>
        <v>-0.01255931911</v>
      </c>
      <c r="AY8" s="28">
        <f t="shared" si="6"/>
        <v>0.002902894416</v>
      </c>
      <c r="AZ8" s="29">
        <f t="shared" si="7"/>
        <v>-0.03315541534</v>
      </c>
      <c r="BA8" s="28">
        <f t="shared" si="8"/>
        <v>-0.02251601891</v>
      </c>
      <c r="BB8" s="29">
        <f t="shared" si="9"/>
        <v>0.005104419578</v>
      </c>
      <c r="BC8" s="27">
        <f t="shared" si="10"/>
        <v>0.0125440831</v>
      </c>
      <c r="BD8" s="28">
        <f t="shared" si="11"/>
        <v>-0.003587261225</v>
      </c>
      <c r="BE8" s="30">
        <f t="shared" ref="BE8:BF8" si="20">((S8-S$289)/S$290)</f>
        <v>-0.8093909403</v>
      </c>
      <c r="BF8" s="30">
        <f t="shared" si="20"/>
        <v>-0.7823769361</v>
      </c>
    </row>
    <row r="9">
      <c r="A9" s="21" t="s">
        <v>88</v>
      </c>
      <c r="B9" s="22">
        <f t="shared" si="3"/>
        <v>0.2809511471</v>
      </c>
      <c r="C9" s="21" t="s">
        <v>68</v>
      </c>
      <c r="D9" s="21" t="s">
        <v>69</v>
      </c>
      <c r="E9" s="23">
        <v>35.0</v>
      </c>
      <c r="F9" s="24" t="s">
        <v>70</v>
      </c>
      <c r="G9" s="21" t="s">
        <v>82</v>
      </c>
      <c r="H9" s="24" t="s">
        <v>83</v>
      </c>
      <c r="I9" s="24" t="s">
        <v>73</v>
      </c>
      <c r="J9" s="24" t="s">
        <v>74</v>
      </c>
      <c r="K9" s="24" t="s">
        <v>75</v>
      </c>
      <c r="L9" s="21" t="s">
        <v>92</v>
      </c>
      <c r="M9" s="24" t="s">
        <v>85</v>
      </c>
      <c r="N9" s="21" t="s">
        <v>78</v>
      </c>
      <c r="O9" s="21" t="s">
        <v>79</v>
      </c>
      <c r="P9" s="21" t="s">
        <v>80</v>
      </c>
      <c r="Q9" s="24" t="s">
        <v>93</v>
      </c>
      <c r="R9" s="24" t="s">
        <v>94</v>
      </c>
      <c r="S9" s="25">
        <v>225.379953384399</v>
      </c>
      <c r="T9" s="25">
        <v>183.943115234375</v>
      </c>
      <c r="U9" s="25">
        <v>1.32718912784854</v>
      </c>
      <c r="V9" s="25">
        <v>3.08870013503544</v>
      </c>
      <c r="W9" s="25">
        <v>1.7574698105616</v>
      </c>
      <c r="X9" s="25">
        <v>0.881401596830772</v>
      </c>
      <c r="Y9" s="25">
        <v>0.0399019466178972</v>
      </c>
      <c r="Z9" s="25">
        <v>0.00269173852633374</v>
      </c>
      <c r="AA9" s="25">
        <v>0.0518819672558177</v>
      </c>
      <c r="AB9" s="25">
        <v>0.943380672283809</v>
      </c>
      <c r="AC9" s="25">
        <v>0.0398012312755342</v>
      </c>
      <c r="AD9" s="25">
        <v>0.0517663674122784</v>
      </c>
      <c r="AE9" s="25">
        <v>0.943906856774599</v>
      </c>
      <c r="AF9" s="25">
        <v>0.0648739640177899</v>
      </c>
      <c r="AG9" s="25">
        <v>0.0847159051891642</v>
      </c>
      <c r="AH9" s="25">
        <v>0.850407803812895</v>
      </c>
      <c r="AI9" s="25">
        <v>10.0</v>
      </c>
      <c r="AJ9" s="25">
        <v>1.32718912784853</v>
      </c>
      <c r="AK9" s="25">
        <v>3.08870013503544</v>
      </c>
      <c r="AL9" s="25">
        <v>1.7574698105616</v>
      </c>
      <c r="AM9" s="25">
        <v>0.881374212505167</v>
      </c>
      <c r="AN9" s="25">
        <v>0.928142601550302</v>
      </c>
      <c r="AO9" s="25">
        <v>1.45724233705849</v>
      </c>
      <c r="AP9" s="25">
        <v>1.20716292896132</v>
      </c>
      <c r="AQ9" s="25">
        <v>0.943906856774599</v>
      </c>
      <c r="AR9" s="25">
        <v>1.51282479980375</v>
      </c>
      <c r="AS9" s="25">
        <v>3.90271026486712</v>
      </c>
      <c r="AT9" s="25">
        <v>1.97552784461954</v>
      </c>
      <c r="AU9" s="25">
        <v>0.850407803812895</v>
      </c>
      <c r="AV9" s="26">
        <f t="shared" ref="AV9:AW9" si="21">(AC9-AC$289)/AC$290</f>
        <v>-0.3610862339</v>
      </c>
      <c r="AW9" s="27">
        <f t="shared" si="21"/>
        <v>-0.3370535003</v>
      </c>
      <c r="AX9" s="27">
        <f t="shared" si="5"/>
        <v>-0.1275605934</v>
      </c>
      <c r="AY9" s="28">
        <f t="shared" si="6"/>
        <v>-0.1100313513</v>
      </c>
      <c r="AZ9" s="29">
        <f t="shared" si="7"/>
        <v>-0.173164742</v>
      </c>
      <c r="BA9" s="28">
        <f t="shared" si="8"/>
        <v>-0.1473358259</v>
      </c>
      <c r="BB9" s="29">
        <f t="shared" si="9"/>
        <v>-0.06710463774</v>
      </c>
      <c r="BC9" s="27">
        <f t="shared" si="10"/>
        <v>-0.07043014725</v>
      </c>
      <c r="BD9" s="28">
        <f t="shared" si="11"/>
        <v>-0.06429280394</v>
      </c>
      <c r="BE9" s="30">
        <f t="shared" ref="BE9:BF9" si="22">((S9-S$289)/S$290)</f>
        <v>-0.7783450559</v>
      </c>
      <c r="BF9" s="30">
        <f t="shared" si="22"/>
        <v>-0.8540577261</v>
      </c>
    </row>
    <row r="10">
      <c r="A10" s="21" t="s">
        <v>88</v>
      </c>
      <c r="B10" s="22">
        <f t="shared" si="3"/>
        <v>0.2394713581</v>
      </c>
      <c r="C10" s="21" t="s">
        <v>68</v>
      </c>
      <c r="D10" s="21" t="s">
        <v>69</v>
      </c>
      <c r="E10" s="23">
        <v>13.0</v>
      </c>
      <c r="F10" s="24" t="s">
        <v>70</v>
      </c>
      <c r="G10" s="21" t="s">
        <v>82</v>
      </c>
      <c r="H10" s="24" t="s">
        <v>83</v>
      </c>
      <c r="I10" s="24" t="s">
        <v>73</v>
      </c>
      <c r="J10" s="24" t="s">
        <v>90</v>
      </c>
      <c r="K10" s="24" t="s">
        <v>75</v>
      </c>
      <c r="L10" s="21" t="s">
        <v>84</v>
      </c>
      <c r="M10" s="24" t="s">
        <v>85</v>
      </c>
      <c r="N10" s="21" t="s">
        <v>78</v>
      </c>
      <c r="O10" s="21" t="s">
        <v>79</v>
      </c>
      <c r="P10" s="21" t="s">
        <v>80</v>
      </c>
      <c r="Q10" s="24" t="s">
        <v>87</v>
      </c>
      <c r="R10" s="24" t="s">
        <v>87</v>
      </c>
      <c r="S10" s="25">
        <v>193.492553472518</v>
      </c>
      <c r="T10" s="25">
        <v>180.521181821823</v>
      </c>
      <c r="U10" s="25">
        <v>1.42345415483468</v>
      </c>
      <c r="V10" s="25">
        <v>3.47820891793533</v>
      </c>
      <c r="W10" s="25">
        <v>1.86499568844952</v>
      </c>
      <c r="X10" s="25">
        <v>0.866442513318547</v>
      </c>
      <c r="Y10" s="25">
        <v>0.0455620214669909</v>
      </c>
      <c r="Z10" s="25">
        <v>0.00344808932929503</v>
      </c>
      <c r="AA10" s="25">
        <v>0.058720433660652</v>
      </c>
      <c r="AB10" s="25">
        <v>0.927471224333233</v>
      </c>
      <c r="AC10" s="25">
        <v>0.0454231575493495</v>
      </c>
      <c r="AD10" s="25">
        <v>0.0585758306506595</v>
      </c>
      <c r="AE10" s="25">
        <v>0.928179023142486</v>
      </c>
      <c r="AF10" s="25">
        <v>0.0698379508225828</v>
      </c>
      <c r="AG10" s="25">
        <v>0.0898741056897521</v>
      </c>
      <c r="AH10" s="25">
        <v>0.831636404935714</v>
      </c>
      <c r="AI10" s="25">
        <v>10.0</v>
      </c>
      <c r="AJ10" s="25">
        <v>1.42345415483468</v>
      </c>
      <c r="AK10" s="25">
        <v>3.47820891793533</v>
      </c>
      <c r="AL10" s="25">
        <v>1.86499568844952</v>
      </c>
      <c r="AM10" s="25">
        <v>0.866414590629434</v>
      </c>
      <c r="AN10" s="25">
        <v>1.0592427989633</v>
      </c>
      <c r="AO10" s="25">
        <v>1.8658353258099</v>
      </c>
      <c r="AP10" s="25">
        <v>1.36595582864524</v>
      </c>
      <c r="AQ10" s="25">
        <v>0.928179023142486</v>
      </c>
      <c r="AR10" s="25">
        <v>1.62858221432108</v>
      </c>
      <c r="AS10" s="25">
        <v>4.39243722222965</v>
      </c>
      <c r="AT10" s="25">
        <v>2.09581421462629</v>
      </c>
      <c r="AU10" s="25">
        <v>0.831636404935714</v>
      </c>
      <c r="AV10" s="26">
        <f t="shared" ref="AV10:AW10" si="23">(AC10-AC$289)/AC$290</f>
        <v>-0.2456981086</v>
      </c>
      <c r="AW10" s="27">
        <f t="shared" si="23"/>
        <v>-0.2270170082</v>
      </c>
      <c r="AX10" s="27">
        <f t="shared" si="5"/>
        <v>-0.07853315338</v>
      </c>
      <c r="AY10" s="28">
        <f t="shared" si="6"/>
        <v>-0.0699972635</v>
      </c>
      <c r="AZ10" s="29">
        <f t="shared" si="7"/>
        <v>-0.1237526785</v>
      </c>
      <c r="BA10" s="28">
        <f t="shared" si="8"/>
        <v>-0.1046997734</v>
      </c>
      <c r="BB10" s="29">
        <f t="shared" si="9"/>
        <v>-0.04991018825</v>
      </c>
      <c r="BC10" s="27">
        <f t="shared" si="10"/>
        <v>-0.04226172287</v>
      </c>
      <c r="BD10" s="28">
        <f t="shared" si="11"/>
        <v>-0.04472690928</v>
      </c>
      <c r="BE10" s="30">
        <f t="shared" ref="BE10:BF10" si="24">((S10-S$289)/S$290)</f>
        <v>-0.7866874643</v>
      </c>
      <c r="BF10" s="30">
        <f t="shared" si="24"/>
        <v>-0.8609006693</v>
      </c>
    </row>
    <row r="11">
      <c r="A11" s="21" t="s">
        <v>67</v>
      </c>
      <c r="B11" s="22">
        <f t="shared" si="3"/>
        <v>0.2135221183</v>
      </c>
      <c r="C11" s="21" t="s">
        <v>68</v>
      </c>
      <c r="D11" s="21" t="s">
        <v>69</v>
      </c>
      <c r="E11" s="23">
        <v>46.0</v>
      </c>
      <c r="F11" s="24" t="s">
        <v>70</v>
      </c>
      <c r="G11" s="21" t="s">
        <v>82</v>
      </c>
      <c r="H11" s="24" t="s">
        <v>83</v>
      </c>
      <c r="I11" s="24" t="s">
        <v>95</v>
      </c>
      <c r="J11" s="24" t="s">
        <v>90</v>
      </c>
      <c r="K11" s="24" t="s">
        <v>75</v>
      </c>
      <c r="L11" s="21" t="s">
        <v>84</v>
      </c>
      <c r="M11" s="24" t="s">
        <v>77</v>
      </c>
      <c r="N11" s="21" t="s">
        <v>86</v>
      </c>
      <c r="O11" s="21" t="s">
        <v>79</v>
      </c>
      <c r="P11" s="21" t="s">
        <v>80</v>
      </c>
      <c r="Q11" s="24" t="s">
        <v>87</v>
      </c>
      <c r="S11" s="25">
        <v>175.035550832748</v>
      </c>
      <c r="T11" s="25">
        <v>210.989696502685</v>
      </c>
      <c r="U11" s="25">
        <v>1.50521691166301</v>
      </c>
      <c r="V11" s="25">
        <v>3.86803099007103</v>
      </c>
      <c r="W11" s="25">
        <v>1.96673104161983</v>
      </c>
      <c r="X11" s="25">
        <v>0.852493832697273</v>
      </c>
      <c r="Y11" s="25">
        <v>0.050227474891432</v>
      </c>
      <c r="Z11" s="25">
        <v>0.00423482159476933</v>
      </c>
      <c r="AA11" s="25">
        <v>0.0650755068729343</v>
      </c>
      <c r="AB11" s="25">
        <v>0.911360456497628</v>
      </c>
      <c r="AC11" s="25">
        <v>0.0500622133408619</v>
      </c>
      <c r="AD11" s="25">
        <v>0.0649071853641146</v>
      </c>
      <c r="AE11" s="25">
        <v>0.912261940285623</v>
      </c>
      <c r="AF11" s="25">
        <v>0.0659671550616902</v>
      </c>
      <c r="AG11" s="25">
        <v>0.0864085245159974</v>
      </c>
      <c r="AH11" s="25">
        <v>0.845647734036225</v>
      </c>
      <c r="AI11" s="25">
        <v>10.0</v>
      </c>
      <c r="AJ11" s="25">
        <v>1.50521691166301</v>
      </c>
      <c r="AK11" s="25">
        <v>3.86803099007103</v>
      </c>
      <c r="AL11" s="25">
        <v>1.96673104161983</v>
      </c>
      <c r="AM11" s="25">
        <v>0.852453777019318</v>
      </c>
      <c r="AN11" s="25">
        <v>1.16742300276815</v>
      </c>
      <c r="AO11" s="25">
        <v>2.29098345591694</v>
      </c>
      <c r="AP11" s="25">
        <v>1.51359950314372</v>
      </c>
      <c r="AQ11" s="25">
        <v>0.912261940285623</v>
      </c>
      <c r="AR11" s="25">
        <v>1.53831740761915</v>
      </c>
      <c r="AS11" s="25">
        <v>4.06022011151965</v>
      </c>
      <c r="AT11" s="25">
        <v>2.01499878697721</v>
      </c>
      <c r="AU11" s="25">
        <v>0.845647734036225</v>
      </c>
      <c r="AV11" s="26">
        <f t="shared" ref="AV11:AW11" si="25">(AC11-AC$289)/AC$290</f>
        <v>-0.1504830658</v>
      </c>
      <c r="AW11" s="27">
        <f t="shared" si="25"/>
        <v>-0.1247064386</v>
      </c>
      <c r="AX11" s="27">
        <f t="shared" si="5"/>
        <v>-0.1167635546</v>
      </c>
      <c r="AY11" s="28">
        <f t="shared" si="6"/>
        <v>-0.09689450818</v>
      </c>
      <c r="AZ11" s="29">
        <f t="shared" si="7"/>
        <v>-0.0817845135</v>
      </c>
      <c r="BA11" s="28">
        <f t="shared" si="8"/>
        <v>-0.06435977394</v>
      </c>
      <c r="BB11" s="29">
        <f t="shared" si="9"/>
        <v>-0.03250884211</v>
      </c>
      <c r="BC11" s="27">
        <f t="shared" si="10"/>
        <v>-0.06328717051</v>
      </c>
      <c r="BD11" s="28">
        <f t="shared" si="11"/>
        <v>-0.02646736966</v>
      </c>
      <c r="BE11" s="30">
        <f t="shared" ref="BE11:BF11" si="26">((S11-S$289)/S$290)</f>
        <v>-0.7915162008</v>
      </c>
      <c r="BF11" s="30">
        <f t="shared" si="26"/>
        <v>-0.7999718637</v>
      </c>
    </row>
    <row r="12">
      <c r="A12" s="21" t="s">
        <v>67</v>
      </c>
      <c r="B12" s="22">
        <f t="shared" si="3"/>
        <v>0.2254771205</v>
      </c>
      <c r="C12" s="21" t="s">
        <v>68</v>
      </c>
      <c r="D12" s="21" t="s">
        <v>69</v>
      </c>
      <c r="E12" s="23">
        <v>39.0</v>
      </c>
      <c r="F12" s="24" t="s">
        <v>70</v>
      </c>
      <c r="G12" s="21" t="s">
        <v>82</v>
      </c>
      <c r="H12" s="24" t="s">
        <v>83</v>
      </c>
      <c r="I12" s="24" t="s">
        <v>73</v>
      </c>
      <c r="J12" s="24" t="s">
        <v>74</v>
      </c>
      <c r="K12" s="24" t="s">
        <v>75</v>
      </c>
      <c r="L12" s="21" t="s">
        <v>92</v>
      </c>
      <c r="M12" s="24" t="s">
        <v>85</v>
      </c>
      <c r="N12" s="21" t="s">
        <v>86</v>
      </c>
      <c r="O12" s="21" t="s">
        <v>91</v>
      </c>
      <c r="P12" s="21" t="s">
        <v>80</v>
      </c>
      <c r="Q12" s="24" t="s">
        <v>96</v>
      </c>
      <c r="R12" s="24" t="s">
        <v>94</v>
      </c>
      <c r="S12" s="25">
        <v>192.014784574508</v>
      </c>
      <c r="T12" s="25">
        <v>182.167056560516</v>
      </c>
      <c r="U12" s="25">
        <v>1.40133393338557</v>
      </c>
      <c r="V12" s="25">
        <v>3.3783310745173</v>
      </c>
      <c r="W12" s="25">
        <v>1.83802368714804</v>
      </c>
      <c r="X12" s="25">
        <v>0.87027310231295</v>
      </c>
      <c r="Y12" s="25">
        <v>0.0513412018445892</v>
      </c>
      <c r="Z12" s="25">
        <v>0.00435929225853181</v>
      </c>
      <c r="AA12" s="25">
        <v>0.0660249366416342</v>
      </c>
      <c r="AB12" s="25">
        <v>0.90830454199701</v>
      </c>
      <c r="AC12" s="25">
        <v>0.0511708695771449</v>
      </c>
      <c r="AD12" s="25">
        <v>0.0658548226291837</v>
      </c>
      <c r="AE12" s="25">
        <v>0.909220128290651</v>
      </c>
      <c r="AF12" s="25">
        <v>0.0664671670954842</v>
      </c>
      <c r="AG12" s="25">
        <v>0.0864901942396241</v>
      </c>
      <c r="AH12" s="25">
        <v>0.844076070241222</v>
      </c>
      <c r="AI12" s="25">
        <v>10.0</v>
      </c>
      <c r="AJ12" s="25">
        <v>1.40133393338557</v>
      </c>
      <c r="AK12" s="25">
        <v>3.3783310745173</v>
      </c>
      <c r="AL12" s="25">
        <v>1.83802368714804</v>
      </c>
      <c r="AM12" s="25">
        <v>0.870250536921001</v>
      </c>
      <c r="AN12" s="25">
        <v>1.19327625027814</v>
      </c>
      <c r="AO12" s="25">
        <v>2.35836797157226</v>
      </c>
      <c r="AP12" s="25">
        <v>1.53569787769999</v>
      </c>
      <c r="AQ12" s="25">
        <v>0.909220128290651</v>
      </c>
      <c r="AR12" s="25">
        <v>1.54997741046276</v>
      </c>
      <c r="AS12" s="25">
        <v>4.06789883910038</v>
      </c>
      <c r="AT12" s="25">
        <v>2.01690327956012</v>
      </c>
      <c r="AU12" s="25">
        <v>0.844076070241222</v>
      </c>
      <c r="AV12" s="26">
        <f t="shared" ref="AV12:AW12" si="27">(AC12-AC$289)/AC$290</f>
        <v>-0.1277282735</v>
      </c>
      <c r="AW12" s="27">
        <f t="shared" si="27"/>
        <v>-0.1093932374</v>
      </c>
      <c r="AX12" s="27">
        <f t="shared" si="5"/>
        <v>-0.1118251228</v>
      </c>
      <c r="AY12" s="28">
        <f t="shared" si="6"/>
        <v>-0.09626064897</v>
      </c>
      <c r="AZ12" s="29">
        <f t="shared" si="7"/>
        <v>-0.1351068101</v>
      </c>
      <c r="BA12" s="28">
        <f t="shared" si="8"/>
        <v>-0.1153946841</v>
      </c>
      <c r="BB12" s="29">
        <f t="shared" si="9"/>
        <v>-0.02918338204</v>
      </c>
      <c r="BC12" s="27">
        <f t="shared" si="10"/>
        <v>-0.06092872652</v>
      </c>
      <c r="BD12" s="28">
        <f t="shared" si="11"/>
        <v>-0.04974399606</v>
      </c>
      <c r="BE12" s="30">
        <f t="shared" ref="BE12:BF12" si="28">((S12-S$289)/S$290)</f>
        <v>-0.7870740794</v>
      </c>
      <c r="BF12" s="30">
        <f t="shared" si="28"/>
        <v>-0.8576093641</v>
      </c>
    </row>
    <row r="13">
      <c r="A13" s="21" t="s">
        <v>88</v>
      </c>
      <c r="B13" s="22">
        <f t="shared" si="3"/>
        <v>0.1806475011</v>
      </c>
      <c r="C13" s="21" t="s">
        <v>68</v>
      </c>
      <c r="D13" s="21" t="s">
        <v>69</v>
      </c>
      <c r="E13" s="23">
        <v>23.0</v>
      </c>
      <c r="F13" s="24" t="s">
        <v>70</v>
      </c>
      <c r="G13" s="21" t="s">
        <v>82</v>
      </c>
      <c r="H13" s="24" t="s">
        <v>83</v>
      </c>
      <c r="I13" s="24" t="s">
        <v>95</v>
      </c>
      <c r="J13" s="24" t="s">
        <v>74</v>
      </c>
      <c r="K13" s="24" t="s">
        <v>75</v>
      </c>
      <c r="L13" s="21" t="s">
        <v>84</v>
      </c>
      <c r="M13" s="24" t="s">
        <v>85</v>
      </c>
      <c r="N13" s="21" t="s">
        <v>78</v>
      </c>
      <c r="O13" s="21" t="s">
        <v>91</v>
      </c>
      <c r="P13" s="21" t="s">
        <v>80</v>
      </c>
      <c r="Q13" s="24" t="s">
        <v>87</v>
      </c>
      <c r="R13" s="24" t="s">
        <v>81</v>
      </c>
      <c r="S13" s="25">
        <v>167.774762392044</v>
      </c>
      <c r="T13" s="25">
        <v>188.913302659988</v>
      </c>
      <c r="U13" s="25">
        <v>1.5130474509502</v>
      </c>
      <c r="V13" s="25">
        <v>4.0337157196557</v>
      </c>
      <c r="W13" s="25">
        <v>2.00841124266314</v>
      </c>
      <c r="X13" s="25">
        <v>0.846151106349527</v>
      </c>
      <c r="Y13" s="25">
        <v>0.0604664455246394</v>
      </c>
      <c r="Z13" s="25">
        <v>0.00570595344396899</v>
      </c>
      <c r="AA13" s="25">
        <v>0.0755377617087572</v>
      </c>
      <c r="AB13" s="25">
        <v>0.880568024602522</v>
      </c>
      <c r="AC13" s="25">
        <v>0.0605241787540653</v>
      </c>
      <c r="AD13" s="25">
        <v>0.0755151118535426</v>
      </c>
      <c r="AE13" s="25">
        <v>0.881239993579262</v>
      </c>
      <c r="AF13" s="25">
        <v>0.0642685813219824</v>
      </c>
      <c r="AG13" s="25">
        <v>0.0845386029596058</v>
      </c>
      <c r="AH13" s="25">
        <v>0.852255962153855</v>
      </c>
      <c r="AI13" s="25">
        <v>10.0</v>
      </c>
      <c r="AJ13" s="25">
        <v>1.5130474509502</v>
      </c>
      <c r="AK13" s="25">
        <v>4.0337157196557</v>
      </c>
      <c r="AL13" s="25">
        <v>2.00841124266314</v>
      </c>
      <c r="AM13" s="25">
        <v>0.846133725262094</v>
      </c>
      <c r="AN13" s="25">
        <v>1.41139022400106</v>
      </c>
      <c r="AO13" s="25">
        <v>3.10101694544218</v>
      </c>
      <c r="AP13" s="25">
        <v>1.7609704555847</v>
      </c>
      <c r="AQ13" s="25">
        <v>0.881239993579262</v>
      </c>
      <c r="AR13" s="25">
        <v>1.49870761166123</v>
      </c>
      <c r="AS13" s="25">
        <v>3.88639136636208</v>
      </c>
      <c r="AT13" s="25">
        <v>1.97139325512747</v>
      </c>
      <c r="AU13" s="25">
        <v>0.852255962153855</v>
      </c>
      <c r="AV13" s="26">
        <f t="shared" ref="AV13:AW13" si="29">(AC13-AC$289)/AC$290</f>
        <v>0.06424521725</v>
      </c>
      <c r="AW13" s="27">
        <f t="shared" si="29"/>
        <v>0.04671074642</v>
      </c>
      <c r="AX13" s="27">
        <f t="shared" si="5"/>
        <v>-0.1335397318</v>
      </c>
      <c r="AY13" s="28">
        <f t="shared" si="6"/>
        <v>-0.1114074384</v>
      </c>
      <c r="AZ13" s="29">
        <f t="shared" si="7"/>
        <v>-0.07776516071</v>
      </c>
      <c r="BA13" s="28">
        <f t="shared" si="8"/>
        <v>-0.04783278271</v>
      </c>
      <c r="BB13" s="29">
        <f t="shared" si="9"/>
        <v>0.001405891985</v>
      </c>
      <c r="BC13" s="27">
        <f t="shared" si="10"/>
        <v>-0.07320349988</v>
      </c>
      <c r="BD13" s="28">
        <f t="shared" si="11"/>
        <v>-0.01820128728</v>
      </c>
      <c r="BE13" s="30">
        <f t="shared" ref="BE13:BF13" si="30">((S13-S$289)/S$290)</f>
        <v>-0.7934157744</v>
      </c>
      <c r="BF13" s="30">
        <f t="shared" si="30"/>
        <v>-0.8441186928</v>
      </c>
    </row>
    <row r="14">
      <c r="A14" s="21" t="s">
        <v>88</v>
      </c>
      <c r="B14" s="22">
        <f t="shared" si="3"/>
        <v>0.2538135812</v>
      </c>
      <c r="C14" s="21" t="s">
        <v>68</v>
      </c>
      <c r="D14" s="21" t="s">
        <v>69</v>
      </c>
      <c r="E14" s="23">
        <v>21.0</v>
      </c>
      <c r="F14" s="24" t="s">
        <v>70</v>
      </c>
      <c r="G14" s="21" t="s">
        <v>82</v>
      </c>
      <c r="H14" s="24" t="s">
        <v>83</v>
      </c>
      <c r="I14" s="24" t="s">
        <v>73</v>
      </c>
      <c r="J14" s="24" t="s">
        <v>90</v>
      </c>
      <c r="K14" s="24" t="s">
        <v>75</v>
      </c>
      <c r="L14" s="21" t="s">
        <v>92</v>
      </c>
      <c r="M14" s="24" t="s">
        <v>77</v>
      </c>
      <c r="N14" s="21" t="s">
        <v>78</v>
      </c>
      <c r="O14" s="21" t="s">
        <v>79</v>
      </c>
      <c r="P14" s="21" t="s">
        <v>80</v>
      </c>
      <c r="Q14" s="24" t="s">
        <v>96</v>
      </c>
      <c r="S14" s="25">
        <v>222.649403095245</v>
      </c>
      <c r="T14" s="25">
        <v>174.394657373428</v>
      </c>
      <c r="U14" s="25">
        <v>1.44924254259812</v>
      </c>
      <c r="V14" s="25">
        <v>3.56577920005184</v>
      </c>
      <c r="W14" s="25">
        <v>1.88832709032409</v>
      </c>
      <c r="X14" s="25">
        <v>0.86307916136952</v>
      </c>
      <c r="Y14" s="25">
        <v>0.046053689725235</v>
      </c>
      <c r="Z14" s="25">
        <v>0.00345772849771675</v>
      </c>
      <c r="AA14" s="25">
        <v>0.0588024531607037</v>
      </c>
      <c r="AB14" s="25">
        <v>0.927268469410924</v>
      </c>
      <c r="AC14" s="25">
        <v>0.0458855703780273</v>
      </c>
      <c r="AD14" s="25">
        <v>0.058644565804284</v>
      </c>
      <c r="AE14" s="25">
        <v>0.928010369203237</v>
      </c>
      <c r="AF14" s="25">
        <v>0.0613104607579642</v>
      </c>
      <c r="AG14" s="25">
        <v>0.0817556774245688</v>
      </c>
      <c r="AH14" s="25">
        <v>0.860679549605768</v>
      </c>
      <c r="AI14" s="25">
        <v>10.0</v>
      </c>
      <c r="AJ14" s="25">
        <v>1.44924254259812</v>
      </c>
      <c r="AK14" s="25">
        <v>3.56577920005184</v>
      </c>
      <c r="AL14" s="25">
        <v>1.88832709032409</v>
      </c>
      <c r="AM14" s="25">
        <v>0.863051333199753</v>
      </c>
      <c r="AN14" s="25">
        <v>1.07002600923205</v>
      </c>
      <c r="AO14" s="25">
        <v>1.87021678219569</v>
      </c>
      <c r="AP14" s="25">
        <v>1.36755869424156</v>
      </c>
      <c r="AQ14" s="25">
        <v>0.928010369203237</v>
      </c>
      <c r="AR14" s="25">
        <v>1.42972588350863</v>
      </c>
      <c r="AS14" s="25">
        <v>3.63473072605607</v>
      </c>
      <c r="AT14" s="25">
        <v>1.90649697772015</v>
      </c>
      <c r="AU14" s="25">
        <v>0.860679549605768</v>
      </c>
      <c r="AV14" s="26">
        <f t="shared" ref="AV14:AW14" si="31">(AC14-AC$289)/AC$290</f>
        <v>-0.2362072425</v>
      </c>
      <c r="AW14" s="27">
        <f t="shared" si="31"/>
        <v>-0.2259062929</v>
      </c>
      <c r="AX14" s="27">
        <f t="shared" si="5"/>
        <v>-0.1627559816</v>
      </c>
      <c r="AY14" s="28">
        <f t="shared" si="6"/>
        <v>-0.1330064214</v>
      </c>
      <c r="AZ14" s="29">
        <f t="shared" si="7"/>
        <v>-0.1105157066</v>
      </c>
      <c r="BA14" s="28">
        <f t="shared" si="8"/>
        <v>-0.09544842952</v>
      </c>
      <c r="BB14" s="29">
        <f t="shared" si="9"/>
        <v>-0.04972580738</v>
      </c>
      <c r="BC14" s="27">
        <f t="shared" si="10"/>
        <v>-0.08584396358</v>
      </c>
      <c r="BD14" s="28">
        <f t="shared" si="11"/>
        <v>-0.04032805876</v>
      </c>
      <c r="BE14" s="30">
        <f t="shared" ref="BE14:BF14" si="32">((S14-S$289)/S$290)</f>
        <v>-0.7790594248</v>
      </c>
      <c r="BF14" s="30">
        <f t="shared" si="32"/>
        <v>-0.8731520646</v>
      </c>
    </row>
    <row r="15">
      <c r="A15" s="21" t="s">
        <v>67</v>
      </c>
      <c r="B15" s="22">
        <f t="shared" si="3"/>
        <v>0.1336918994</v>
      </c>
      <c r="C15" s="21" t="s">
        <v>68</v>
      </c>
      <c r="D15" s="21" t="s">
        <v>69</v>
      </c>
      <c r="E15" s="23">
        <v>114.0</v>
      </c>
      <c r="F15" s="24" t="s">
        <v>70</v>
      </c>
      <c r="G15" s="21" t="s">
        <v>71</v>
      </c>
      <c r="H15" s="24" t="s">
        <v>72</v>
      </c>
      <c r="I15" s="24" t="s">
        <v>73</v>
      </c>
      <c r="J15" s="24" t="s">
        <v>90</v>
      </c>
      <c r="K15" s="24" t="s">
        <v>75</v>
      </c>
      <c r="L15" s="21" t="s">
        <v>84</v>
      </c>
      <c r="M15" s="24" t="s">
        <v>85</v>
      </c>
      <c r="N15" s="21" t="s">
        <v>78</v>
      </c>
      <c r="O15" s="21" t="s">
        <v>79</v>
      </c>
      <c r="P15" s="21" t="s">
        <v>80</v>
      </c>
      <c r="Q15" s="24" t="s">
        <v>87</v>
      </c>
      <c r="R15" s="24" t="s">
        <v>81</v>
      </c>
      <c r="S15" s="25">
        <v>132.618633031845</v>
      </c>
      <c r="T15" s="25">
        <v>171.245202779769</v>
      </c>
      <c r="U15" s="25">
        <v>1.65115667632571</v>
      </c>
      <c r="V15" s="25">
        <v>4.58090277205936</v>
      </c>
      <c r="W15" s="25">
        <v>2.14030436435086</v>
      </c>
      <c r="X15" s="25">
        <v>0.824020749660206</v>
      </c>
      <c r="Y15" s="25">
        <v>0.0591634189497075</v>
      </c>
      <c r="Z15" s="25">
        <v>0.00598767006771706</v>
      </c>
      <c r="AA15" s="25">
        <v>0.0773800366226138</v>
      </c>
      <c r="AB15" s="25">
        <v>0.873518390133377</v>
      </c>
      <c r="AC15" s="25">
        <v>0.0587737020357533</v>
      </c>
      <c r="AD15" s="25">
        <v>0.0770203969294144</v>
      </c>
      <c r="AE15" s="25">
        <v>0.875420597203344</v>
      </c>
      <c r="AF15" s="25">
        <v>0.0812081219193316</v>
      </c>
      <c r="AG15" s="25">
        <v>0.102589097348185</v>
      </c>
      <c r="AH15" s="25">
        <v>0.781170612927307</v>
      </c>
      <c r="AI15" s="25">
        <v>10.0</v>
      </c>
      <c r="AJ15" s="25">
        <v>1.65115667632571</v>
      </c>
      <c r="AK15" s="25">
        <v>4.58090277205936</v>
      </c>
      <c r="AL15" s="25">
        <v>2.14030436435086</v>
      </c>
      <c r="AM15" s="25">
        <v>0.823943598231349</v>
      </c>
      <c r="AN15" s="25">
        <v>1.37057007941708</v>
      </c>
      <c r="AO15" s="25">
        <v>3.22587774459571</v>
      </c>
      <c r="AP15" s="25">
        <v>1.79607286728454</v>
      </c>
      <c r="AQ15" s="25">
        <v>0.875420597203344</v>
      </c>
      <c r="AR15" s="25">
        <v>1.89372828753554</v>
      </c>
      <c r="AS15" s="25">
        <v>5.72319860062532</v>
      </c>
      <c r="AT15" s="25">
        <v>2.39232075621671</v>
      </c>
      <c r="AU15" s="25">
        <v>0.781170612927307</v>
      </c>
      <c r="AV15" s="26">
        <f t="shared" ref="AV15:AW15" si="33">(AC15-AC$289)/AC$290</f>
        <v>0.02831727777</v>
      </c>
      <c r="AW15" s="27">
        <f t="shared" si="33"/>
        <v>0.07103517312</v>
      </c>
      <c r="AX15" s="27">
        <f t="shared" si="5"/>
        <v>0.03376577164</v>
      </c>
      <c r="AY15" s="28">
        <f t="shared" si="6"/>
        <v>0.02868697577</v>
      </c>
      <c r="AZ15" s="29">
        <f t="shared" si="7"/>
        <v>-0.006874806958</v>
      </c>
      <c r="BA15" s="28">
        <f t="shared" si="8"/>
        <v>0.004465344696</v>
      </c>
      <c r="BB15" s="29">
        <f t="shared" si="9"/>
        <v>0.007767945359</v>
      </c>
      <c r="BC15" s="27">
        <f t="shared" si="10"/>
        <v>0.0334674146</v>
      </c>
      <c r="BD15" s="28">
        <f t="shared" si="11"/>
        <v>0.01082148425</v>
      </c>
      <c r="BE15" s="30">
        <f t="shared" ref="BE15:BF15" si="34">((S15-S$289)/S$290)</f>
        <v>-0.8026133505</v>
      </c>
      <c r="BF15" s="30">
        <f t="shared" si="34"/>
        <v>-0.8794501237</v>
      </c>
    </row>
    <row r="16">
      <c r="A16" s="21" t="s">
        <v>67</v>
      </c>
      <c r="B16" s="22">
        <f t="shared" si="3"/>
        <v>0.1462834019</v>
      </c>
      <c r="C16" s="21" t="s">
        <v>68</v>
      </c>
      <c r="D16" s="21" t="s">
        <v>69</v>
      </c>
      <c r="E16" s="23">
        <v>193.0</v>
      </c>
      <c r="F16" s="24" t="s">
        <v>97</v>
      </c>
      <c r="G16" s="21" t="s">
        <v>82</v>
      </c>
      <c r="H16" s="24" t="s">
        <v>98</v>
      </c>
      <c r="I16" s="24" t="s">
        <v>73</v>
      </c>
      <c r="J16" s="24" t="s">
        <v>99</v>
      </c>
      <c r="K16" s="24" t="s">
        <v>75</v>
      </c>
      <c r="L16" s="21" t="s">
        <v>76</v>
      </c>
      <c r="M16" s="24" t="s">
        <v>77</v>
      </c>
      <c r="N16" s="21" t="s">
        <v>86</v>
      </c>
      <c r="O16" s="21" t="s">
        <v>79</v>
      </c>
      <c r="P16" s="21" t="s">
        <v>80</v>
      </c>
      <c r="Q16" s="24" t="s">
        <v>81</v>
      </c>
      <c r="S16" s="25">
        <v>97.6075150966644</v>
      </c>
      <c r="T16" s="25">
        <v>408.461284875869</v>
      </c>
      <c r="U16" s="25">
        <v>1.72877120463917</v>
      </c>
      <c r="V16" s="25">
        <v>5.01355329394619</v>
      </c>
      <c r="W16" s="25">
        <v>2.23909653520034</v>
      </c>
      <c r="X16" s="25">
        <v>0.814272379381114</v>
      </c>
      <c r="Y16" s="25">
        <v>0.0492671592216758</v>
      </c>
      <c r="Z16" s="25">
        <v>0.0042246437875434</v>
      </c>
      <c r="AA16" s="25">
        <v>0.0649972598464228</v>
      </c>
      <c r="AB16" s="25">
        <v>0.905350731487151</v>
      </c>
      <c r="AC16" s="25">
        <v>0.0493959503992856</v>
      </c>
      <c r="AD16" s="25">
        <v>0.0650451872969611</v>
      </c>
      <c r="AE16" s="25">
        <v>0.905656442603843</v>
      </c>
      <c r="AF16" s="25">
        <v>0.0667510183223674</v>
      </c>
      <c r="AG16" s="25">
        <v>0.0867262310775593</v>
      </c>
      <c r="AH16" s="25">
        <v>0.833093072590002</v>
      </c>
      <c r="AI16" s="25">
        <v>10.0</v>
      </c>
      <c r="AJ16" s="25">
        <v>1.72877120463917</v>
      </c>
      <c r="AK16" s="25">
        <v>5.01355329394619</v>
      </c>
      <c r="AL16" s="25">
        <v>2.23909653520034</v>
      </c>
      <c r="AM16" s="25">
        <v>0.81424792785595</v>
      </c>
      <c r="AN16" s="25">
        <v>1.21020078478254</v>
      </c>
      <c r="AO16" s="25">
        <v>2.53958355339567</v>
      </c>
      <c r="AP16" s="25">
        <v>1.59360708877554</v>
      </c>
      <c r="AQ16" s="25">
        <v>0.905656442603843</v>
      </c>
      <c r="AR16" s="25">
        <v>1.63539994889807</v>
      </c>
      <c r="AS16" s="25">
        <v>4.51474385394016</v>
      </c>
      <c r="AT16" s="25">
        <v>2.1247926614002</v>
      </c>
      <c r="AU16" s="25">
        <v>0.833093072590002</v>
      </c>
      <c r="AV16" s="26">
        <f t="shared" ref="AV16:AW16" si="35">(AC16-AC$289)/AC$290</f>
        <v>-0.1641578861</v>
      </c>
      <c r="AW16" s="27">
        <f t="shared" si="35"/>
        <v>-0.1224764172</v>
      </c>
      <c r="AX16" s="27">
        <f t="shared" si="5"/>
        <v>-0.07564559689</v>
      </c>
      <c r="AY16" s="28">
        <f t="shared" si="6"/>
        <v>-0.06035256575</v>
      </c>
      <c r="AZ16" s="29">
        <f t="shared" si="7"/>
        <v>0.03296410571</v>
      </c>
      <c r="BA16" s="28">
        <f t="shared" si="8"/>
        <v>0.04363831651</v>
      </c>
      <c r="BB16" s="29">
        <f t="shared" si="9"/>
        <v>-0.02528738372</v>
      </c>
      <c r="BC16" s="27">
        <f t="shared" si="10"/>
        <v>-0.04444760325</v>
      </c>
      <c r="BD16" s="28">
        <f t="shared" si="11"/>
        <v>0.02350258453</v>
      </c>
      <c r="BE16" s="30">
        <f t="shared" ref="BE16:BF16" si="36">((S16-S$289)/S$290)</f>
        <v>-0.8117729885</v>
      </c>
      <c r="BF16" s="30">
        <f t="shared" si="36"/>
        <v>-0.4050819867</v>
      </c>
    </row>
    <row r="17">
      <c r="A17" s="21" t="s">
        <v>88</v>
      </c>
      <c r="B17" s="22">
        <f t="shared" si="3"/>
        <v>0.1945831804</v>
      </c>
      <c r="C17" s="21" t="s">
        <v>68</v>
      </c>
      <c r="D17" s="21" t="s">
        <v>69</v>
      </c>
      <c r="E17" s="23">
        <v>14.0</v>
      </c>
      <c r="F17" s="24" t="s">
        <v>70</v>
      </c>
      <c r="G17" s="21" t="s">
        <v>82</v>
      </c>
      <c r="H17" s="24" t="s">
        <v>83</v>
      </c>
      <c r="I17" s="24" t="s">
        <v>95</v>
      </c>
      <c r="J17" s="24" t="s">
        <v>90</v>
      </c>
      <c r="K17" s="24" t="s">
        <v>75</v>
      </c>
      <c r="L17" s="21" t="s">
        <v>76</v>
      </c>
      <c r="M17" s="24" t="s">
        <v>85</v>
      </c>
      <c r="N17" s="21" t="s">
        <v>78</v>
      </c>
      <c r="O17" s="21" t="s">
        <v>91</v>
      </c>
      <c r="P17" s="21" t="s">
        <v>80</v>
      </c>
      <c r="Q17" s="24" t="s">
        <v>81</v>
      </c>
      <c r="R17" s="24" t="s">
        <v>89</v>
      </c>
      <c r="S17" s="25">
        <v>189.771192073822</v>
      </c>
      <c r="T17" s="25">
        <v>185.871985673904</v>
      </c>
      <c r="U17" s="25">
        <v>1.55571353345714</v>
      </c>
      <c r="V17" s="25">
        <v>4.10989361580352</v>
      </c>
      <c r="W17" s="25">
        <v>2.02728725537441</v>
      </c>
      <c r="X17" s="25">
        <v>0.843297961157635</v>
      </c>
      <c r="Y17" s="25">
        <v>0.0558083495177673</v>
      </c>
      <c r="Z17" s="25">
        <v>0.00497199054716082</v>
      </c>
      <c r="AA17" s="25">
        <v>0.0705123432255717</v>
      </c>
      <c r="AB17" s="25">
        <v>0.895930687388863</v>
      </c>
      <c r="AC17" s="25">
        <v>0.0556730789557218</v>
      </c>
      <c r="AD17" s="25">
        <v>0.0703535682321707</v>
      </c>
      <c r="AE17" s="25">
        <v>0.896919923870233</v>
      </c>
      <c r="AF17" s="25">
        <v>0.0645965219007166</v>
      </c>
      <c r="AG17" s="25">
        <v>0.0853617175097799</v>
      </c>
      <c r="AH17" s="25">
        <v>0.849364920775046</v>
      </c>
      <c r="AI17" s="25">
        <v>10.0</v>
      </c>
      <c r="AJ17" s="25">
        <v>1.55571353345714</v>
      </c>
      <c r="AK17" s="25">
        <v>4.10989361580352</v>
      </c>
      <c r="AL17" s="25">
        <v>2.02728725537441</v>
      </c>
      <c r="AM17" s="25">
        <v>0.84322791585155</v>
      </c>
      <c r="AN17" s="25">
        <v>1.29826527175911</v>
      </c>
      <c r="AO17" s="25">
        <v>2.69158846020455</v>
      </c>
      <c r="AP17" s="25">
        <v>1.64060612585853</v>
      </c>
      <c r="AQ17" s="25">
        <v>0.896919923870233</v>
      </c>
      <c r="AR17" s="25">
        <v>1.5063550037681</v>
      </c>
      <c r="AS17" s="25">
        <v>3.96243990556677</v>
      </c>
      <c r="AT17" s="25">
        <v>1.99058782915167</v>
      </c>
      <c r="AU17" s="25">
        <v>0.849364920775046</v>
      </c>
      <c r="AV17" s="26">
        <f t="shared" ref="AV17:AW17" si="37">(AC17-AC$289)/AC$290</f>
        <v>-0.03532195673</v>
      </c>
      <c r="AW17" s="27">
        <f t="shared" si="37"/>
        <v>-0.03669643769</v>
      </c>
      <c r="AX17" s="27">
        <f t="shared" si="5"/>
        <v>-0.1303007854</v>
      </c>
      <c r="AY17" s="28">
        <f t="shared" si="6"/>
        <v>-0.1050190399</v>
      </c>
      <c r="AZ17" s="29">
        <f t="shared" si="7"/>
        <v>-0.05586500398</v>
      </c>
      <c r="BA17" s="28">
        <f t="shared" si="8"/>
        <v>-0.04034808522</v>
      </c>
      <c r="BB17" s="29">
        <f t="shared" si="9"/>
        <v>-0.01573618719</v>
      </c>
      <c r="BC17" s="27">
        <f t="shared" si="10"/>
        <v>-0.06886519345</v>
      </c>
      <c r="BD17" s="28">
        <f t="shared" si="11"/>
        <v>-0.01440073929</v>
      </c>
      <c r="BE17" s="30">
        <f t="shared" ref="BE17:BF17" si="38">((S17-S$289)/S$290)</f>
        <v>-0.78766105</v>
      </c>
      <c r="BF17" s="30">
        <f t="shared" si="38"/>
        <v>-0.8502005059</v>
      </c>
    </row>
    <row r="18">
      <c r="A18" s="21" t="s">
        <v>67</v>
      </c>
      <c r="B18" s="22">
        <f t="shared" si="3"/>
        <v>0.1891761277</v>
      </c>
      <c r="C18" s="21" t="s">
        <v>68</v>
      </c>
      <c r="D18" s="21" t="s">
        <v>69</v>
      </c>
      <c r="E18" s="23">
        <v>41.0</v>
      </c>
      <c r="F18" s="24" t="s">
        <v>70</v>
      </c>
      <c r="G18" s="21" t="s">
        <v>82</v>
      </c>
      <c r="H18" s="24" t="s">
        <v>83</v>
      </c>
      <c r="I18" s="24" t="s">
        <v>95</v>
      </c>
      <c r="J18" s="24" t="s">
        <v>74</v>
      </c>
      <c r="K18" s="24" t="s">
        <v>75</v>
      </c>
      <c r="L18" s="21" t="s">
        <v>84</v>
      </c>
      <c r="M18" s="24" t="s">
        <v>85</v>
      </c>
      <c r="N18" s="21" t="s">
        <v>78</v>
      </c>
      <c r="O18" s="21" t="s">
        <v>91</v>
      </c>
      <c r="P18" s="21" t="s">
        <v>80</v>
      </c>
      <c r="Q18" s="24" t="s">
        <v>87</v>
      </c>
      <c r="R18" s="24" t="s">
        <v>87</v>
      </c>
      <c r="S18" s="25">
        <v>186.843781471252</v>
      </c>
      <c r="T18" s="25">
        <v>177.701164484024</v>
      </c>
      <c r="U18" s="25">
        <v>1.49367990351188</v>
      </c>
      <c r="V18" s="25">
        <v>3.76285500410506</v>
      </c>
      <c r="W18" s="25">
        <v>1.93980798124584</v>
      </c>
      <c r="X18" s="25">
        <v>0.856490431956869</v>
      </c>
      <c r="Y18" s="25">
        <v>0.0571406271313078</v>
      </c>
      <c r="Z18" s="25">
        <v>0.00540466209480186</v>
      </c>
      <c r="AA18" s="25">
        <v>0.073516406976959</v>
      </c>
      <c r="AB18" s="25">
        <v>0.886874388885819</v>
      </c>
      <c r="AC18" s="25">
        <v>0.0570406750830047</v>
      </c>
      <c r="AD18" s="25">
        <v>0.0733732978211231</v>
      </c>
      <c r="AE18" s="25">
        <v>0.887881171617605</v>
      </c>
      <c r="AF18" s="25">
        <v>0.0680909074451325</v>
      </c>
      <c r="AG18" s="25">
        <v>0.0883400712971892</v>
      </c>
      <c r="AH18" s="25">
        <v>0.838669930193701</v>
      </c>
      <c r="AI18" s="25">
        <v>10.0</v>
      </c>
      <c r="AJ18" s="25">
        <v>1.49367990351188</v>
      </c>
      <c r="AK18" s="25">
        <v>3.76285500410506</v>
      </c>
      <c r="AL18" s="25">
        <v>1.93980798124584</v>
      </c>
      <c r="AM18" s="25">
        <v>0.856465719921891</v>
      </c>
      <c r="AN18" s="25">
        <v>1.33015685367174</v>
      </c>
      <c r="AO18" s="25">
        <v>2.92760498416594</v>
      </c>
      <c r="AP18" s="25">
        <v>1.71102454224536</v>
      </c>
      <c r="AQ18" s="25">
        <v>0.887881171617604</v>
      </c>
      <c r="AR18" s="25">
        <v>1.58784213333859</v>
      </c>
      <c r="AS18" s="25">
        <v>4.24377050722493</v>
      </c>
      <c r="AT18" s="25">
        <v>2.06004138483306</v>
      </c>
      <c r="AU18" s="25">
        <v>0.838669930193701</v>
      </c>
      <c r="AV18" s="26">
        <f t="shared" ref="AV18:AW18" si="39">(AC18-AC$289)/AC$290</f>
        <v>-0.007252511206</v>
      </c>
      <c r="AW18" s="27">
        <f t="shared" si="39"/>
        <v>0.01210042625</v>
      </c>
      <c r="AX18" s="27">
        <f t="shared" si="5"/>
        <v>-0.09578804704</v>
      </c>
      <c r="AY18" s="28">
        <f t="shared" si="6"/>
        <v>-0.08190328917</v>
      </c>
      <c r="AZ18" s="29">
        <f t="shared" si="7"/>
        <v>-0.08770636693</v>
      </c>
      <c r="BA18" s="28">
        <f t="shared" si="8"/>
        <v>-0.07503527865</v>
      </c>
      <c r="BB18" s="29">
        <f t="shared" si="9"/>
        <v>-0.005854573948</v>
      </c>
      <c r="BC18" s="27">
        <f t="shared" si="10"/>
        <v>-0.05281625456</v>
      </c>
      <c r="BD18" s="28">
        <f t="shared" si="11"/>
        <v>-0.03171464482</v>
      </c>
      <c r="BE18" s="30">
        <f t="shared" ref="BE18:BF18" si="40">((S18-S$289)/S$290)</f>
        <v>-0.7884269216</v>
      </c>
      <c r="BF18" s="30">
        <f t="shared" si="40"/>
        <v>-0.8665399428</v>
      </c>
    </row>
    <row r="19">
      <c r="A19" s="21" t="s">
        <v>67</v>
      </c>
      <c r="B19" s="22">
        <f t="shared" si="3"/>
        <v>0.1554176085</v>
      </c>
      <c r="C19" s="21" t="s">
        <v>68</v>
      </c>
      <c r="D19" s="21" t="s">
        <v>69</v>
      </c>
      <c r="E19" s="23">
        <v>47.0</v>
      </c>
      <c r="F19" s="24" t="s">
        <v>70</v>
      </c>
      <c r="G19" s="21" t="s">
        <v>82</v>
      </c>
      <c r="H19" s="24" t="s">
        <v>83</v>
      </c>
      <c r="I19" s="24" t="s">
        <v>95</v>
      </c>
      <c r="J19" s="24" t="s">
        <v>74</v>
      </c>
      <c r="K19" s="24" t="s">
        <v>75</v>
      </c>
      <c r="L19" s="21" t="s">
        <v>76</v>
      </c>
      <c r="M19" s="24" t="s">
        <v>85</v>
      </c>
      <c r="N19" s="21" t="s">
        <v>86</v>
      </c>
      <c r="O19" s="21" t="s">
        <v>91</v>
      </c>
      <c r="P19" s="21" t="s">
        <v>80</v>
      </c>
      <c r="Q19" s="24" t="s">
        <v>100</v>
      </c>
      <c r="R19" s="24" t="s">
        <v>81</v>
      </c>
      <c r="S19" s="25">
        <v>151.940746545791</v>
      </c>
      <c r="T19" s="25">
        <v>228.370100975036</v>
      </c>
      <c r="U19" s="25">
        <v>1.61760531490386</v>
      </c>
      <c r="V19" s="25">
        <v>4.51023777833589</v>
      </c>
      <c r="W19" s="25">
        <v>2.12373204014439</v>
      </c>
      <c r="X19" s="25">
        <v>0.828030886370219</v>
      </c>
      <c r="Y19" s="25">
        <v>0.0488352260122888</v>
      </c>
      <c r="Z19" s="25">
        <v>0.00446027006930388</v>
      </c>
      <c r="AA19" s="25">
        <v>0.0667852533820445</v>
      </c>
      <c r="AB19" s="25">
        <v>0.906641568247239</v>
      </c>
      <c r="AC19" s="25">
        <v>0.0489290630293548</v>
      </c>
      <c r="AD19" s="25">
        <v>0.0667851852288119</v>
      </c>
      <c r="AE19" s="25">
        <v>0.907111330549043</v>
      </c>
      <c r="AF19" s="25">
        <v>0.0837402550094825</v>
      </c>
      <c r="AG19" s="25">
        <v>0.106083818774631</v>
      </c>
      <c r="AH19" s="25">
        <v>0.76735264424247</v>
      </c>
      <c r="AI19" s="25">
        <v>10.0</v>
      </c>
      <c r="AJ19" s="25">
        <v>1.61760531490386</v>
      </c>
      <c r="AK19" s="25">
        <v>4.51023777833589</v>
      </c>
      <c r="AL19" s="25">
        <v>2.12373204014439</v>
      </c>
      <c r="AM19" s="25">
        <v>0.827956769052147</v>
      </c>
      <c r="AN19" s="25">
        <v>1.14099856703176</v>
      </c>
      <c r="AO19" s="25">
        <v>2.42547425424099</v>
      </c>
      <c r="AP19" s="25">
        <v>1.55739341665521</v>
      </c>
      <c r="AQ19" s="25">
        <v>0.907111330549043</v>
      </c>
      <c r="AR19" s="25">
        <v>1.95277622445725</v>
      </c>
      <c r="AS19" s="25">
        <v>6.11976420845213</v>
      </c>
      <c r="AT19" s="25">
        <v>2.47381571836952</v>
      </c>
      <c r="AU19" s="25">
        <v>0.76735264424247</v>
      </c>
      <c r="AV19" s="26">
        <f t="shared" ref="AV19:AW19" si="41">(AC19-AC$289)/AC$290</f>
        <v>-0.1737405906</v>
      </c>
      <c r="AW19" s="27">
        <f t="shared" si="41"/>
        <v>-0.09435918356</v>
      </c>
      <c r="AX19" s="27">
        <f t="shared" si="5"/>
        <v>0.0587747026</v>
      </c>
      <c r="AY19" s="28">
        <f t="shared" si="6"/>
        <v>0.05581038526</v>
      </c>
      <c r="AZ19" s="29">
        <f t="shared" si="7"/>
        <v>-0.02409645072</v>
      </c>
      <c r="BA19" s="28">
        <f t="shared" si="8"/>
        <v>-0.002105896562</v>
      </c>
      <c r="BB19" s="29">
        <f t="shared" si="9"/>
        <v>-0.02687793953</v>
      </c>
      <c r="BC19" s="27">
        <f t="shared" si="10"/>
        <v>0.05420270495</v>
      </c>
      <c r="BD19" s="28">
        <f t="shared" si="11"/>
        <v>0.005572603084</v>
      </c>
      <c r="BE19" s="30">
        <f t="shared" ref="BE19:BF19" si="42">((S19-S$289)/S$290)</f>
        <v>-0.7975582829</v>
      </c>
      <c r="BF19" s="30">
        <f t="shared" si="42"/>
        <v>-0.7652157459</v>
      </c>
    </row>
    <row r="20">
      <c r="A20" s="21" t="s">
        <v>88</v>
      </c>
      <c r="B20" s="22">
        <f t="shared" si="3"/>
        <v>0.1340664832</v>
      </c>
      <c r="C20" s="21" t="s">
        <v>68</v>
      </c>
      <c r="D20" s="21" t="s">
        <v>69</v>
      </c>
      <c r="E20" s="23">
        <v>89.0</v>
      </c>
      <c r="F20" s="24" t="s">
        <v>70</v>
      </c>
      <c r="G20" s="21" t="s">
        <v>71</v>
      </c>
      <c r="H20" s="24" t="s">
        <v>72</v>
      </c>
      <c r="I20" s="24" t="s">
        <v>95</v>
      </c>
      <c r="J20" s="24" t="s">
        <v>90</v>
      </c>
      <c r="K20" s="24" t="s">
        <v>75</v>
      </c>
      <c r="L20" s="21" t="s">
        <v>76</v>
      </c>
      <c r="M20" s="24" t="s">
        <v>85</v>
      </c>
      <c r="N20" s="21" t="s">
        <v>86</v>
      </c>
      <c r="O20" s="21" t="s">
        <v>91</v>
      </c>
      <c r="P20" s="21" t="s">
        <v>80</v>
      </c>
      <c r="Q20" s="24" t="s">
        <v>100</v>
      </c>
      <c r="R20" s="24" t="s">
        <v>81</v>
      </c>
      <c r="S20" s="25">
        <v>160.016909837722</v>
      </c>
      <c r="T20" s="25">
        <v>227.126080989837</v>
      </c>
      <c r="U20" s="25">
        <v>1.66464822103783</v>
      </c>
      <c r="V20" s="25">
        <v>4.61890760271374</v>
      </c>
      <c r="W20" s="25">
        <v>2.14916439639078</v>
      </c>
      <c r="X20" s="25">
        <v>0.823866338883732</v>
      </c>
      <c r="Y20" s="25">
        <v>0.0650123976703872</v>
      </c>
      <c r="Z20" s="25">
        <v>0.00642395776775796</v>
      </c>
      <c r="AA20" s="25">
        <v>0.0801495961796312</v>
      </c>
      <c r="AB20" s="25">
        <v>0.864942776218572</v>
      </c>
      <c r="AC20" s="25">
        <v>0.0651418521999178</v>
      </c>
      <c r="AD20" s="25">
        <v>0.0801428379109133</v>
      </c>
      <c r="AE20" s="25">
        <v>0.865785207937423</v>
      </c>
      <c r="AF20" s="25">
        <v>0.0670520122278811</v>
      </c>
      <c r="AG20" s="25">
        <v>0.0892336052489043</v>
      </c>
      <c r="AH20" s="25">
        <v>0.835748280095283</v>
      </c>
      <c r="AI20" s="25">
        <v>10.0</v>
      </c>
      <c r="AJ20" s="25">
        <v>1.66464822103783</v>
      </c>
      <c r="AK20" s="25">
        <v>4.61890760271374</v>
      </c>
      <c r="AL20" s="25">
        <v>2.14916439639078</v>
      </c>
      <c r="AM20" s="25">
        <v>0.823789605948907</v>
      </c>
      <c r="AN20" s="25">
        <v>1.51907180338421</v>
      </c>
      <c r="AO20" s="25">
        <v>3.49273658648049</v>
      </c>
      <c r="AP20" s="25">
        <v>1.86888645628365</v>
      </c>
      <c r="AQ20" s="25">
        <v>0.865785207937423</v>
      </c>
      <c r="AR20" s="25">
        <v>1.56361567403628</v>
      </c>
      <c r="AS20" s="25">
        <v>4.33005366780585</v>
      </c>
      <c r="AT20" s="25">
        <v>2.08087810017931</v>
      </c>
      <c r="AU20" s="25">
        <v>0.835748280095283</v>
      </c>
      <c r="AV20" s="26">
        <f t="shared" ref="AV20:AW20" si="43">(AC20-AC$289)/AC$290</f>
        <v>0.1590213947</v>
      </c>
      <c r="AW20" s="27">
        <f t="shared" si="43"/>
        <v>0.1214917863</v>
      </c>
      <c r="AX20" s="27">
        <f t="shared" si="5"/>
        <v>-0.1060488263</v>
      </c>
      <c r="AY20" s="28">
        <f t="shared" si="6"/>
        <v>-0.07496834806</v>
      </c>
      <c r="AZ20" s="29">
        <f t="shared" si="7"/>
        <v>0.00005029435035</v>
      </c>
      <c r="BA20" s="28">
        <f t="shared" si="8"/>
        <v>0.007978515652</v>
      </c>
      <c r="BB20" s="29">
        <f t="shared" si="9"/>
        <v>0.01830183183</v>
      </c>
      <c r="BC20" s="27">
        <f t="shared" si="10"/>
        <v>-0.04843201658</v>
      </c>
      <c r="BD20" s="28">
        <f t="shared" si="11"/>
        <v>0.01102289287</v>
      </c>
      <c r="BE20" s="30">
        <f t="shared" ref="BE20:BF20" si="44">((S20-S$289)/S$290)</f>
        <v>-0.7954453903</v>
      </c>
      <c r="BF20" s="30">
        <f t="shared" si="44"/>
        <v>-0.7677034501</v>
      </c>
    </row>
    <row r="21">
      <c r="A21" s="21" t="s">
        <v>67</v>
      </c>
      <c r="B21" s="22">
        <f t="shared" si="3"/>
        <v>0.03806637516</v>
      </c>
      <c r="C21" s="21" t="s">
        <v>68</v>
      </c>
      <c r="D21" s="21" t="s">
        <v>69</v>
      </c>
      <c r="E21" s="23">
        <v>38.0</v>
      </c>
      <c r="F21" s="24" t="s">
        <v>70</v>
      </c>
      <c r="G21" s="21" t="s">
        <v>82</v>
      </c>
      <c r="H21" s="24" t="s">
        <v>83</v>
      </c>
      <c r="I21" s="24" t="s">
        <v>73</v>
      </c>
      <c r="J21" s="24" t="s">
        <v>99</v>
      </c>
      <c r="K21" s="24" t="s">
        <v>75</v>
      </c>
      <c r="L21" s="21" t="s">
        <v>84</v>
      </c>
      <c r="M21" s="24" t="s">
        <v>85</v>
      </c>
      <c r="N21" s="21" t="s">
        <v>78</v>
      </c>
      <c r="O21" s="21" t="s">
        <v>79</v>
      </c>
      <c r="P21" s="21" t="s">
        <v>80</v>
      </c>
      <c r="Q21" s="24" t="s">
        <v>87</v>
      </c>
      <c r="R21" s="24" t="s">
        <v>81</v>
      </c>
      <c r="S21" s="25">
        <v>112.17418551445</v>
      </c>
      <c r="T21" s="25">
        <v>170.197525501251</v>
      </c>
      <c r="U21" s="25">
        <v>1.62487493030369</v>
      </c>
      <c r="V21" s="25">
        <v>4.36347382143718</v>
      </c>
      <c r="W21" s="25">
        <v>2.08889296552915</v>
      </c>
      <c r="X21" s="25">
        <v>0.832426092590625</v>
      </c>
      <c r="Y21" s="25">
        <v>0.0890321505952138</v>
      </c>
      <c r="Z21" s="25">
        <v>0.0119833724533546</v>
      </c>
      <c r="AA21" s="25">
        <v>0.109468591172786</v>
      </c>
      <c r="AB21" s="25">
        <v>0.747935958324382</v>
      </c>
      <c r="AC21" s="25">
        <v>0.0893025838977685</v>
      </c>
      <c r="AD21" s="25">
        <v>0.109636349639236</v>
      </c>
      <c r="AE21" s="25">
        <v>0.748392530275046</v>
      </c>
      <c r="AF21" s="25">
        <v>0.0729042570851512</v>
      </c>
      <c r="AG21" s="25">
        <v>0.0949096703689786</v>
      </c>
      <c r="AH21" s="25">
        <v>0.812241348698452</v>
      </c>
      <c r="AI21" s="25">
        <v>10.0</v>
      </c>
      <c r="AJ21" s="25">
        <v>1.62487493030369</v>
      </c>
      <c r="AK21" s="25">
        <v>4.36347382143718</v>
      </c>
      <c r="AL21" s="25">
        <v>2.08889296552915</v>
      </c>
      <c r="AM21" s="25">
        <v>0.832414771375942</v>
      </c>
      <c r="AN21" s="25">
        <v>2.08248664394937</v>
      </c>
      <c r="AO21" s="25">
        <v>6.53650403811445</v>
      </c>
      <c r="AP21" s="25">
        <v>2.55665876450387</v>
      </c>
      <c r="AQ21" s="25">
        <v>0.748392530275046</v>
      </c>
      <c r="AR21" s="25">
        <v>1.70008677286069</v>
      </c>
      <c r="AS21" s="25">
        <v>4.89843477420198</v>
      </c>
      <c r="AT21" s="25">
        <v>2.21324078540993</v>
      </c>
      <c r="AU21" s="25">
        <v>0.812241348698452</v>
      </c>
      <c r="AV21" s="26">
        <f t="shared" ref="AV21:AW21" si="45">(AC21-AC$289)/AC$290</f>
        <v>0.6549121981</v>
      </c>
      <c r="AW21" s="27">
        <f t="shared" si="45"/>
        <v>0.5980877318</v>
      </c>
      <c r="AX21" s="27">
        <f t="shared" si="5"/>
        <v>-0.04824839389</v>
      </c>
      <c r="AY21" s="28">
        <f t="shared" si="6"/>
        <v>-0.03091498307</v>
      </c>
      <c r="AZ21" s="29">
        <f t="shared" si="7"/>
        <v>-0.02036501565</v>
      </c>
      <c r="BA21" s="28">
        <f t="shared" si="8"/>
        <v>-0.01592025124</v>
      </c>
      <c r="BB21" s="29">
        <f t="shared" si="9"/>
        <v>0.1466413421</v>
      </c>
      <c r="BC21" s="27">
        <f t="shared" si="10"/>
        <v>-0.01315743615</v>
      </c>
      <c r="BD21" s="28">
        <f t="shared" si="11"/>
        <v>-0.0002580793054</v>
      </c>
      <c r="BE21" s="30">
        <f t="shared" ref="BE21:BF21" si="46">((S21-S$289)/S$290)</f>
        <v>-0.807962044</v>
      </c>
      <c r="BF21" s="30">
        <f t="shared" si="46"/>
        <v>-0.8815451955</v>
      </c>
    </row>
    <row r="22">
      <c r="A22" s="21" t="s">
        <v>67</v>
      </c>
      <c r="B22" s="22">
        <f t="shared" si="3"/>
        <v>0.1591729225</v>
      </c>
      <c r="C22" s="21" t="s">
        <v>68</v>
      </c>
      <c r="D22" s="21" t="s">
        <v>69</v>
      </c>
      <c r="E22" s="23">
        <v>50.0</v>
      </c>
      <c r="F22" s="24" t="s">
        <v>70</v>
      </c>
      <c r="G22" s="21" t="s">
        <v>82</v>
      </c>
      <c r="H22" s="24" t="s">
        <v>83</v>
      </c>
      <c r="I22" s="24" t="s">
        <v>73</v>
      </c>
      <c r="J22" s="24" t="s">
        <v>74</v>
      </c>
      <c r="K22" s="24" t="s">
        <v>101</v>
      </c>
      <c r="L22" s="21" t="s">
        <v>84</v>
      </c>
      <c r="M22" s="24" t="s">
        <v>77</v>
      </c>
      <c r="N22" s="21" t="s">
        <v>86</v>
      </c>
      <c r="O22" s="21" t="s">
        <v>91</v>
      </c>
      <c r="P22" s="21" t="s">
        <v>80</v>
      </c>
      <c r="Q22" s="24" t="s">
        <v>81</v>
      </c>
      <c r="S22" s="25">
        <v>184.411238908767</v>
      </c>
      <c r="T22" s="25">
        <v>193.231339693069</v>
      </c>
      <c r="U22" s="25">
        <v>1.62909773291115</v>
      </c>
      <c r="V22" s="25">
        <v>4.41610211221418</v>
      </c>
      <c r="W22" s="25">
        <v>2.10145238161947</v>
      </c>
      <c r="X22" s="25">
        <v>0.830422646889469</v>
      </c>
      <c r="Y22" s="25">
        <v>0.0553971694106576</v>
      </c>
      <c r="Z22" s="25">
        <v>0.00490077976491144</v>
      </c>
      <c r="AA22" s="25">
        <v>0.0700055695277986</v>
      </c>
      <c r="AB22" s="25">
        <v>0.896914632361289</v>
      </c>
      <c r="AC22" s="25">
        <v>0.0552172229069423</v>
      </c>
      <c r="AD22" s="25">
        <v>0.0698295327291067</v>
      </c>
      <c r="AE22" s="25">
        <v>0.897931280175016</v>
      </c>
      <c r="AF22" s="25">
        <v>0.0768768090003879</v>
      </c>
      <c r="AG22" s="25">
        <v>0.0992587226453816</v>
      </c>
      <c r="AH22" s="25">
        <v>0.794639746920898</v>
      </c>
      <c r="AI22" s="25">
        <v>10.0</v>
      </c>
      <c r="AJ22" s="25">
        <v>1.62909773291115</v>
      </c>
      <c r="AK22" s="25">
        <v>4.41610211221418</v>
      </c>
      <c r="AL22" s="25">
        <v>2.10145238161947</v>
      </c>
      <c r="AM22" s="25">
        <v>0.830393509302906</v>
      </c>
      <c r="AN22" s="25">
        <v>1.28763496195495</v>
      </c>
      <c r="AO22" s="25">
        <v>2.65164066881839</v>
      </c>
      <c r="AP22" s="25">
        <v>1.62838590905792</v>
      </c>
      <c r="AQ22" s="25">
        <v>0.897931280175016</v>
      </c>
      <c r="AR22" s="25">
        <v>1.79272447655073</v>
      </c>
      <c r="AS22" s="25">
        <v>5.35764289926647</v>
      </c>
      <c r="AT22" s="25">
        <v>2.31465826835549</v>
      </c>
      <c r="AU22" s="25">
        <v>0.794639746920898</v>
      </c>
      <c r="AV22" s="26">
        <f t="shared" ref="AV22:AW22" si="47">(AC22-AC$289)/AC$290</f>
        <v>-0.04467824714</v>
      </c>
      <c r="AW22" s="27">
        <f t="shared" si="47"/>
        <v>-0.0451645102</v>
      </c>
      <c r="AX22" s="27">
        <f t="shared" si="5"/>
        <v>-0.009012985215</v>
      </c>
      <c r="AY22" s="28">
        <f t="shared" si="6"/>
        <v>0.002839102421</v>
      </c>
      <c r="AZ22" s="29">
        <f t="shared" si="7"/>
        <v>-0.01819748506</v>
      </c>
      <c r="BA22" s="28">
        <f t="shared" si="8"/>
        <v>-0.01094020426</v>
      </c>
      <c r="BB22" s="29">
        <f t="shared" si="9"/>
        <v>-0.01684185217</v>
      </c>
      <c r="BC22" s="27">
        <f t="shared" si="10"/>
        <v>0.01325558676</v>
      </c>
      <c r="BD22" s="28">
        <f t="shared" si="11"/>
        <v>0.002385557086</v>
      </c>
      <c r="BE22" s="30">
        <f t="shared" ref="BE22:BF22" si="48">((S22-S$289)/S$290)</f>
        <v>-0.7890633254</v>
      </c>
      <c r="BF22" s="30">
        <f t="shared" si="48"/>
        <v>-0.8354837842</v>
      </c>
    </row>
    <row r="23">
      <c r="A23" s="21" t="s">
        <v>67</v>
      </c>
      <c r="B23" s="22">
        <f t="shared" si="3"/>
        <v>0.1484890965</v>
      </c>
      <c r="C23" s="21" t="s">
        <v>68</v>
      </c>
      <c r="D23" s="21" t="s">
        <v>69</v>
      </c>
      <c r="E23" s="23">
        <v>51.0</v>
      </c>
      <c r="F23" s="24" t="s">
        <v>70</v>
      </c>
      <c r="G23" s="21" t="s">
        <v>82</v>
      </c>
      <c r="H23" s="24" t="s">
        <v>83</v>
      </c>
      <c r="I23" s="24" t="s">
        <v>73</v>
      </c>
      <c r="J23" s="24" t="s">
        <v>99</v>
      </c>
      <c r="K23" s="24" t="s">
        <v>101</v>
      </c>
      <c r="L23" s="21" t="s">
        <v>84</v>
      </c>
      <c r="M23" s="24" t="s">
        <v>77</v>
      </c>
      <c r="N23" s="21" t="s">
        <v>86</v>
      </c>
      <c r="O23" s="21" t="s">
        <v>102</v>
      </c>
      <c r="P23" s="21" t="s">
        <v>80</v>
      </c>
      <c r="Q23" s="24" t="s">
        <v>87</v>
      </c>
      <c r="S23" s="25">
        <v>183.531901121139</v>
      </c>
      <c r="T23" s="25">
        <v>186.22927904129</v>
      </c>
      <c r="U23" s="25">
        <v>1.66941954455521</v>
      </c>
      <c r="V23" s="25">
        <v>4.58335140660207</v>
      </c>
      <c r="W23" s="25">
        <v>2.14087631744621</v>
      </c>
      <c r="X23" s="25">
        <v>0.824003408390153</v>
      </c>
      <c r="Y23" s="25">
        <v>0.0576488304982389</v>
      </c>
      <c r="Z23" s="25">
        <v>0.00538909025422695</v>
      </c>
      <c r="AA23" s="25">
        <v>0.0734104233350207</v>
      </c>
      <c r="AB23" s="25">
        <v>0.886643273776001</v>
      </c>
      <c r="AC23" s="25">
        <v>0.0574748035799918</v>
      </c>
      <c r="AD23" s="25">
        <v>0.0732301580767955</v>
      </c>
      <c r="AE23" s="25">
        <v>0.887747934982413</v>
      </c>
      <c r="AF23" s="25">
        <v>0.0766888543910667</v>
      </c>
      <c r="AG23" s="25">
        <v>0.0975672971301636</v>
      </c>
      <c r="AH23" s="25">
        <v>0.801579026971495</v>
      </c>
      <c r="AI23" s="25">
        <v>10.0</v>
      </c>
      <c r="AJ23" s="25">
        <v>1.66941954455521</v>
      </c>
      <c r="AK23" s="25">
        <v>4.58335140660207</v>
      </c>
      <c r="AL23" s="25">
        <v>2.14087631744621</v>
      </c>
      <c r="AM23" s="25">
        <v>0.823970069542706</v>
      </c>
      <c r="AN23" s="25">
        <v>1.34028048903899</v>
      </c>
      <c r="AO23" s="25">
        <v>2.91619353382565</v>
      </c>
      <c r="AP23" s="25">
        <v>1.70768660292972</v>
      </c>
      <c r="AQ23" s="25">
        <v>0.887747934982413</v>
      </c>
      <c r="AR23" s="25">
        <v>1.78834147948059</v>
      </c>
      <c r="AS23" s="25">
        <v>5.1766040471436</v>
      </c>
      <c r="AT23" s="25">
        <v>2.27521516502145</v>
      </c>
      <c r="AU23" s="25">
        <v>0.801579026971495</v>
      </c>
      <c r="AV23" s="26">
        <f t="shared" ref="AV23:AW23" si="49">(AC23-AC$289)/AC$290</f>
        <v>0.001657828591</v>
      </c>
      <c r="AW23" s="27">
        <f t="shared" si="49"/>
        <v>0.009787381183</v>
      </c>
      <c r="AX23" s="27">
        <f t="shared" si="5"/>
        <v>-0.01086934256</v>
      </c>
      <c r="AY23" s="28">
        <f t="shared" si="6"/>
        <v>-0.01028847522</v>
      </c>
      <c r="AZ23" s="29">
        <f t="shared" si="7"/>
        <v>0.002499376308</v>
      </c>
      <c r="BA23" s="28">
        <f t="shared" si="8"/>
        <v>0.00469213496</v>
      </c>
      <c r="BB23" s="29">
        <f t="shared" si="9"/>
        <v>-0.005708913036</v>
      </c>
      <c r="BC23" s="27">
        <f t="shared" si="10"/>
        <v>0.002842479747</v>
      </c>
      <c r="BD23" s="28">
        <f t="shared" si="11"/>
        <v>0.01078686206</v>
      </c>
      <c r="BE23" s="30">
        <f t="shared" ref="BE23:BF23" si="50">((S23-S$289)/S$290)</f>
        <v>-0.7892933785</v>
      </c>
      <c r="BF23" s="30">
        <f t="shared" si="50"/>
        <v>-0.8494860156</v>
      </c>
    </row>
    <row r="24">
      <c r="A24" s="21" t="s">
        <v>88</v>
      </c>
      <c r="B24" s="22">
        <f t="shared" si="3"/>
        <v>0.1939901352</v>
      </c>
      <c r="C24" s="21" t="s">
        <v>68</v>
      </c>
      <c r="D24" s="21" t="s">
        <v>69</v>
      </c>
      <c r="E24" s="23">
        <v>22.0</v>
      </c>
      <c r="F24" s="24" t="s">
        <v>70</v>
      </c>
      <c r="G24" s="21" t="s">
        <v>82</v>
      </c>
      <c r="H24" s="24" t="s">
        <v>83</v>
      </c>
      <c r="I24" s="24" t="s">
        <v>73</v>
      </c>
      <c r="J24" s="24" t="s">
        <v>99</v>
      </c>
      <c r="K24" s="24" t="s">
        <v>101</v>
      </c>
      <c r="L24" s="21" t="s">
        <v>84</v>
      </c>
      <c r="M24" s="24" t="s">
        <v>77</v>
      </c>
      <c r="N24" s="21" t="s">
        <v>78</v>
      </c>
      <c r="O24" s="21" t="s">
        <v>102</v>
      </c>
      <c r="P24" s="21" t="s">
        <v>80</v>
      </c>
      <c r="Q24" s="24" t="s">
        <v>81</v>
      </c>
      <c r="S24" s="25">
        <v>224.472973585128</v>
      </c>
      <c r="T24" s="25">
        <v>171.749109506607</v>
      </c>
      <c r="U24" s="25">
        <v>1.53867830676559</v>
      </c>
      <c r="V24" s="25">
        <v>4.01286593808908</v>
      </c>
      <c r="W24" s="25">
        <v>2.00321390223038</v>
      </c>
      <c r="X24" s="25">
        <v>0.845917544110699</v>
      </c>
      <c r="Y24" s="25">
        <v>0.0494657500972259</v>
      </c>
      <c r="Z24" s="25">
        <v>0.00396460503108179</v>
      </c>
      <c r="AA24" s="25">
        <v>0.0629651096328894</v>
      </c>
      <c r="AB24" s="25">
        <v>0.916606583691537</v>
      </c>
      <c r="AC24" s="25">
        <v>0.0495042253406282</v>
      </c>
      <c r="AD24" s="25">
        <v>0.0629338631703408</v>
      </c>
      <c r="AE24" s="25">
        <v>0.917094531275431</v>
      </c>
      <c r="AF24" s="25">
        <v>0.0774413618540889</v>
      </c>
      <c r="AG24" s="25">
        <v>0.0991993026876778</v>
      </c>
      <c r="AH24" s="25">
        <v>0.794885545875243</v>
      </c>
      <c r="AI24" s="25">
        <v>10.0</v>
      </c>
      <c r="AJ24" s="25">
        <v>1.53867830676559</v>
      </c>
      <c r="AK24" s="25">
        <v>4.01286593808908</v>
      </c>
      <c r="AL24" s="25">
        <v>2.00321390223038</v>
      </c>
      <c r="AM24" s="25">
        <v>0.845880350566454</v>
      </c>
      <c r="AN24" s="25">
        <v>1.15441103259605</v>
      </c>
      <c r="AO24" s="25">
        <v>2.15379905728678</v>
      </c>
      <c r="AP24" s="25">
        <v>1.46758272587502</v>
      </c>
      <c r="AQ24" s="25">
        <v>0.917094531275431</v>
      </c>
      <c r="AR24" s="25">
        <v>1.80588953545857</v>
      </c>
      <c r="AS24" s="25">
        <v>5.35123025123626</v>
      </c>
      <c r="AT24" s="25">
        <v>2.31327262795293</v>
      </c>
      <c r="AU24" s="25">
        <v>0.794885545875243</v>
      </c>
      <c r="AV24" s="26">
        <f t="shared" ref="AV24:AW24" si="51">(AC24-AC$289)/AC$290</f>
        <v>-0.1619355798</v>
      </c>
      <c r="AW24" s="27">
        <f t="shared" si="51"/>
        <v>-0.1565940403</v>
      </c>
      <c r="AX24" s="27">
        <f t="shared" si="5"/>
        <v>-0.003437107944</v>
      </c>
      <c r="AY24" s="28">
        <f t="shared" si="6"/>
        <v>0.002377929227</v>
      </c>
      <c r="AZ24" s="29">
        <f t="shared" si="7"/>
        <v>-0.06460904872</v>
      </c>
      <c r="BA24" s="28">
        <f t="shared" si="8"/>
        <v>-0.04989362689</v>
      </c>
      <c r="BB24" s="29">
        <f t="shared" si="9"/>
        <v>-0.03779207079</v>
      </c>
      <c r="BC24" s="27">
        <f t="shared" si="10"/>
        <v>0.01288674002</v>
      </c>
      <c r="BD24" s="28">
        <f t="shared" si="11"/>
        <v>-0.01786989504</v>
      </c>
      <c r="BE24" s="30">
        <f t="shared" ref="BE24:BF24" si="52">((S24-S$289)/S$290)</f>
        <v>-0.7785823408</v>
      </c>
      <c r="BF24" s="30">
        <f t="shared" si="52"/>
        <v>-0.8784424463</v>
      </c>
    </row>
    <row r="25">
      <c r="A25" s="21" t="s">
        <v>67</v>
      </c>
      <c r="B25" s="22">
        <f t="shared" si="3"/>
        <v>0.109049873</v>
      </c>
      <c r="C25" s="21" t="s">
        <v>68</v>
      </c>
      <c r="D25" s="21" t="s">
        <v>69</v>
      </c>
      <c r="E25" s="23">
        <v>42.0</v>
      </c>
      <c r="F25" s="24" t="s">
        <v>70</v>
      </c>
      <c r="G25" s="21" t="s">
        <v>82</v>
      </c>
      <c r="H25" s="24" t="s">
        <v>83</v>
      </c>
      <c r="I25" s="24" t="s">
        <v>73</v>
      </c>
      <c r="J25" s="24" t="s">
        <v>74</v>
      </c>
      <c r="K25" s="24" t="s">
        <v>101</v>
      </c>
      <c r="L25" s="21" t="s">
        <v>92</v>
      </c>
      <c r="M25" s="24" t="s">
        <v>77</v>
      </c>
      <c r="N25" s="21" t="s">
        <v>86</v>
      </c>
      <c r="O25" s="21" t="s">
        <v>91</v>
      </c>
      <c r="P25" s="21" t="s">
        <v>80</v>
      </c>
      <c r="Q25" s="24" t="s">
        <v>81</v>
      </c>
      <c r="S25" s="25">
        <v>164.274256467819</v>
      </c>
      <c r="T25" s="25">
        <v>165.487349748611</v>
      </c>
      <c r="U25" s="25">
        <v>1.76168816685673</v>
      </c>
      <c r="V25" s="25">
        <v>5.09595593384773</v>
      </c>
      <c r="W25" s="25">
        <v>2.2574224092641</v>
      </c>
      <c r="X25" s="25">
        <v>0.804313936797121</v>
      </c>
      <c r="Y25" s="25">
        <v>0.0630170027090371</v>
      </c>
      <c r="Z25" s="25">
        <v>0.00637085079230362</v>
      </c>
      <c r="AA25" s="25">
        <v>0.0798176095376429</v>
      </c>
      <c r="AB25" s="25">
        <v>0.865992448630701</v>
      </c>
      <c r="AC25" s="25">
        <v>0.062947590366429</v>
      </c>
      <c r="AD25" s="25">
        <v>0.0796853000776764</v>
      </c>
      <c r="AE25" s="25">
        <v>0.867085971648228</v>
      </c>
      <c r="AF25" s="25">
        <v>0.0812773210830663</v>
      </c>
      <c r="AG25" s="25">
        <v>0.103016450896019</v>
      </c>
      <c r="AH25" s="25">
        <v>0.778796398280407</v>
      </c>
      <c r="AI25" s="25">
        <v>10.0</v>
      </c>
      <c r="AJ25" s="25">
        <v>1.76168816685673</v>
      </c>
      <c r="AK25" s="25">
        <v>5.09595593384773</v>
      </c>
      <c r="AL25" s="25">
        <v>2.2574224092641</v>
      </c>
      <c r="AM25" s="25">
        <v>0.804282785876617</v>
      </c>
      <c r="AN25" s="25">
        <v>1.4679028364616</v>
      </c>
      <c r="AO25" s="25">
        <v>3.45297015225002</v>
      </c>
      <c r="AP25" s="25">
        <v>1.85821692820026</v>
      </c>
      <c r="AQ25" s="25">
        <v>0.867085971648228</v>
      </c>
      <c r="AR25" s="25">
        <v>1.89534197358985</v>
      </c>
      <c r="AS25" s="25">
        <v>5.77097996460227</v>
      </c>
      <c r="AT25" s="25">
        <v>2.40228640353357</v>
      </c>
      <c r="AU25" s="25">
        <v>0.778796398280407</v>
      </c>
      <c r="AV25" s="26">
        <f t="shared" ref="AV25:AW25" si="53">(AC25-AC$289)/AC$290</f>
        <v>0.1139849166</v>
      </c>
      <c r="AW25" s="27">
        <f t="shared" si="53"/>
        <v>0.1140982728</v>
      </c>
      <c r="AX25" s="27">
        <f t="shared" si="5"/>
        <v>0.03444922588</v>
      </c>
      <c r="AY25" s="28">
        <f t="shared" si="6"/>
        <v>0.03200377384</v>
      </c>
      <c r="AZ25" s="29">
        <f t="shared" si="7"/>
        <v>0.04986011747</v>
      </c>
      <c r="BA25" s="28">
        <f t="shared" si="8"/>
        <v>0.05090487358</v>
      </c>
      <c r="BB25" s="29">
        <f t="shared" si="9"/>
        <v>0.01687977229</v>
      </c>
      <c r="BC25" s="27">
        <f t="shared" si="10"/>
        <v>0.0370301691</v>
      </c>
      <c r="BD25" s="28">
        <f t="shared" si="11"/>
        <v>0.03653613042</v>
      </c>
      <c r="BE25" s="30">
        <f t="shared" ref="BE25:BF25" si="54">((S25-S$289)/S$290)</f>
        <v>-0.7943315797</v>
      </c>
      <c r="BF25" s="30">
        <f t="shared" si="54"/>
        <v>-0.8909642757</v>
      </c>
    </row>
    <row r="26">
      <c r="A26" s="21" t="s">
        <v>67</v>
      </c>
      <c r="B26" s="22">
        <f t="shared" si="3"/>
        <v>0.1543380945</v>
      </c>
      <c r="C26" s="21" t="s">
        <v>68</v>
      </c>
      <c r="D26" s="21" t="s">
        <v>69</v>
      </c>
      <c r="E26" s="23">
        <v>186.0</v>
      </c>
      <c r="F26" s="24" t="s">
        <v>97</v>
      </c>
      <c r="G26" s="21" t="s">
        <v>82</v>
      </c>
      <c r="H26" s="24" t="s">
        <v>98</v>
      </c>
      <c r="I26" s="24" t="s">
        <v>73</v>
      </c>
      <c r="J26" s="24" t="s">
        <v>99</v>
      </c>
      <c r="K26" s="24" t="s">
        <v>75</v>
      </c>
      <c r="L26" s="21" t="s">
        <v>84</v>
      </c>
      <c r="M26" s="24" t="s">
        <v>77</v>
      </c>
      <c r="N26" s="21" t="s">
        <v>86</v>
      </c>
      <c r="O26" s="21" t="s">
        <v>91</v>
      </c>
      <c r="P26" s="21" t="s">
        <v>80</v>
      </c>
      <c r="Q26" s="24" t="s">
        <v>87</v>
      </c>
      <c r="S26" s="25">
        <v>153.364921092987</v>
      </c>
      <c r="T26" s="25">
        <v>418.251967668533</v>
      </c>
      <c r="U26" s="25">
        <v>1.67622342287304</v>
      </c>
      <c r="V26" s="25">
        <v>4.6229553332212</v>
      </c>
      <c r="W26" s="25">
        <v>2.15010588883924</v>
      </c>
      <c r="X26" s="25">
        <v>0.828744159851858</v>
      </c>
      <c r="Y26" s="25">
        <v>0.0510497232535627</v>
      </c>
      <c r="Z26" s="25">
        <v>0.00422696327474396</v>
      </c>
      <c r="AA26" s="25">
        <v>0.0650151003594085</v>
      </c>
      <c r="AB26" s="25">
        <v>0.905298765504243</v>
      </c>
      <c r="AC26" s="25">
        <v>0.0510220173080921</v>
      </c>
      <c r="AD26" s="25">
        <v>0.0649304961969595</v>
      </c>
      <c r="AE26" s="25">
        <v>0.905988852342523</v>
      </c>
      <c r="AF26" s="25">
        <v>0.0643077941947913</v>
      </c>
      <c r="AG26" s="25">
        <v>0.0832963728355192</v>
      </c>
      <c r="AH26" s="25">
        <v>0.846033727306898</v>
      </c>
      <c r="AI26" s="25">
        <v>10.0</v>
      </c>
      <c r="AJ26" s="25">
        <v>1.67622342287305</v>
      </c>
      <c r="AK26" s="25">
        <v>4.62295533322121</v>
      </c>
      <c r="AL26" s="25">
        <v>2.15010588883924</v>
      </c>
      <c r="AM26" s="25">
        <v>0.82871957627096</v>
      </c>
      <c r="AN26" s="25">
        <v>1.25003942404819</v>
      </c>
      <c r="AO26" s="25">
        <v>2.53063559416411</v>
      </c>
      <c r="AP26" s="25">
        <v>1.5907971568255</v>
      </c>
      <c r="AQ26" s="25">
        <v>0.905988852342523</v>
      </c>
      <c r="AR26" s="25">
        <v>1.57554095777233</v>
      </c>
      <c r="AS26" s="25">
        <v>4.16470600796417</v>
      </c>
      <c r="AT26" s="25">
        <v>2.04076113447021</v>
      </c>
      <c r="AU26" s="25">
        <v>0.846033727306898</v>
      </c>
      <c r="AV26" s="26">
        <f t="shared" ref="AV26:AW26" si="55">(AC26-AC$289)/AC$290</f>
        <v>-0.1307834157</v>
      </c>
      <c r="AW26" s="27">
        <f t="shared" si="55"/>
        <v>-0.1243297507</v>
      </c>
      <c r="AX26" s="27">
        <f t="shared" si="5"/>
        <v>-0.1009980386</v>
      </c>
      <c r="AY26" s="28">
        <f t="shared" si="6"/>
        <v>-0.0883202027</v>
      </c>
      <c r="AZ26" s="29">
        <f t="shared" si="7"/>
        <v>0.005991752285</v>
      </c>
      <c r="BA26" s="28">
        <f t="shared" si="8"/>
        <v>0.008351835287</v>
      </c>
      <c r="BB26" s="29">
        <f t="shared" si="9"/>
        <v>-0.02565079057</v>
      </c>
      <c r="BC26" s="27">
        <f t="shared" si="10"/>
        <v>-0.06386639331</v>
      </c>
      <c r="BD26" s="28">
        <f t="shared" si="11"/>
        <v>0.00457491706</v>
      </c>
      <c r="BE26" s="30">
        <f t="shared" ref="BE26:BF26" si="56">((S26-S$289)/S$290)</f>
        <v>-0.7971856892</v>
      </c>
      <c r="BF26" s="30">
        <f t="shared" si="56"/>
        <v>-0.3855032637</v>
      </c>
    </row>
    <row r="27">
      <c r="A27" s="21" t="s">
        <v>88</v>
      </c>
      <c r="B27" s="22">
        <f t="shared" si="3"/>
        <v>0.1492802448</v>
      </c>
      <c r="C27" s="21" t="s">
        <v>68</v>
      </c>
      <c r="D27" s="21" t="s">
        <v>69</v>
      </c>
      <c r="E27" s="23">
        <v>96.0</v>
      </c>
      <c r="F27" s="24" t="s">
        <v>70</v>
      </c>
      <c r="G27" s="21" t="s">
        <v>71</v>
      </c>
      <c r="H27" s="24" t="s">
        <v>72</v>
      </c>
      <c r="I27" s="24" t="s">
        <v>73</v>
      </c>
      <c r="J27" s="24" t="s">
        <v>74</v>
      </c>
      <c r="K27" s="24" t="s">
        <v>101</v>
      </c>
      <c r="L27" s="21" t="s">
        <v>76</v>
      </c>
      <c r="M27" s="24" t="s">
        <v>77</v>
      </c>
      <c r="N27" s="21" t="s">
        <v>78</v>
      </c>
      <c r="O27" s="21" t="s">
        <v>102</v>
      </c>
      <c r="P27" s="21" t="s">
        <v>80</v>
      </c>
      <c r="Q27" s="24" t="s">
        <v>100</v>
      </c>
      <c r="S27" s="25">
        <v>184.724747657775</v>
      </c>
      <c r="T27" s="25">
        <v>209.539878129959</v>
      </c>
      <c r="U27" s="25">
        <v>1.65678011162965</v>
      </c>
      <c r="V27" s="25">
        <v>4.58118581640816</v>
      </c>
      <c r="W27" s="25">
        <v>2.14037048578234</v>
      </c>
      <c r="X27" s="25">
        <v>0.824012008562622</v>
      </c>
      <c r="Y27" s="25">
        <v>0.0532306888367132</v>
      </c>
      <c r="Z27" s="25">
        <v>0.0046925836631049</v>
      </c>
      <c r="AA27" s="25">
        <v>0.0685024354538209</v>
      </c>
      <c r="AB27" s="25">
        <v>0.900875377328594</v>
      </c>
      <c r="AC27" s="25">
        <v>0.0529659334149402</v>
      </c>
      <c r="AD27" s="25">
        <v>0.0682183520244938</v>
      </c>
      <c r="AE27" s="25">
        <v>0.902267909763243</v>
      </c>
      <c r="AF27" s="25">
        <v>0.0817105914861816</v>
      </c>
      <c r="AG27" s="25">
        <v>0.104082180792605</v>
      </c>
      <c r="AH27" s="25">
        <v>0.774754567473308</v>
      </c>
      <c r="AI27" s="25">
        <v>10.0</v>
      </c>
      <c r="AJ27" s="25">
        <v>1.65678011162965</v>
      </c>
      <c r="AK27" s="25">
        <v>4.58118581640817</v>
      </c>
      <c r="AL27" s="25">
        <v>2.14037048578234</v>
      </c>
      <c r="AM27" s="25">
        <v>0.823932720076524</v>
      </c>
      <c r="AN27" s="25">
        <v>1.23513614171784</v>
      </c>
      <c r="AO27" s="25">
        <v>2.5306894057132</v>
      </c>
      <c r="AP27" s="25">
        <v>1.59081407012674</v>
      </c>
      <c r="AQ27" s="25">
        <v>0.902267909763243</v>
      </c>
      <c r="AR27" s="25">
        <v>1.90544559868473</v>
      </c>
      <c r="AS27" s="25">
        <v>5.89100194210102</v>
      </c>
      <c r="AT27" s="25">
        <v>2.42713863264977</v>
      </c>
      <c r="AU27" s="25">
        <v>0.774754567473308</v>
      </c>
      <c r="AV27" s="26">
        <f t="shared" ref="AV27:AW27" si="57">(AC27-AC$289)/AC$290</f>
        <v>-0.09088519852</v>
      </c>
      <c r="AW27" s="27">
        <f t="shared" si="57"/>
        <v>-0.07120014131</v>
      </c>
      <c r="AX27" s="27">
        <f t="shared" si="5"/>
        <v>0.03872847551</v>
      </c>
      <c r="AY27" s="28">
        <f t="shared" si="6"/>
        <v>0.04027517086</v>
      </c>
      <c r="AZ27" s="29">
        <f t="shared" si="7"/>
        <v>-0.003988342879</v>
      </c>
      <c r="BA27" s="28">
        <f t="shared" si="8"/>
        <v>0.004491563099</v>
      </c>
      <c r="BB27" s="29">
        <f t="shared" si="9"/>
        <v>-0.02158287119</v>
      </c>
      <c r="BC27" s="27">
        <f t="shared" si="10"/>
        <v>0.04309535402</v>
      </c>
      <c r="BD27" s="28">
        <f t="shared" si="11"/>
        <v>0.01083571194</v>
      </c>
      <c r="BE27" s="30">
        <f t="shared" ref="BE27:BF27" si="58">((S27-S$289)/S$290)</f>
        <v>-0.788981305</v>
      </c>
      <c r="BF27" s="30">
        <f t="shared" si="58"/>
        <v>-0.8028711092</v>
      </c>
    </row>
    <row r="28">
      <c r="A28" s="21" t="s">
        <v>67</v>
      </c>
      <c r="B28" s="22">
        <f t="shared" si="3"/>
        <v>0.1246224389</v>
      </c>
      <c r="C28" s="21" t="s">
        <v>68</v>
      </c>
      <c r="D28" s="21" t="s">
        <v>69</v>
      </c>
      <c r="E28" s="23">
        <v>40.0</v>
      </c>
      <c r="F28" s="24" t="s">
        <v>70</v>
      </c>
      <c r="G28" s="21" t="s">
        <v>82</v>
      </c>
      <c r="H28" s="24" t="s">
        <v>83</v>
      </c>
      <c r="I28" s="24" t="s">
        <v>73</v>
      </c>
      <c r="J28" s="24" t="s">
        <v>90</v>
      </c>
      <c r="K28" s="24" t="s">
        <v>101</v>
      </c>
      <c r="L28" s="21" t="s">
        <v>84</v>
      </c>
      <c r="M28" s="24" t="s">
        <v>77</v>
      </c>
      <c r="N28" s="21" t="s">
        <v>78</v>
      </c>
      <c r="O28" s="21" t="s">
        <v>79</v>
      </c>
      <c r="P28" s="21" t="s">
        <v>80</v>
      </c>
      <c r="Q28" s="24" t="s">
        <v>103</v>
      </c>
      <c r="S28" s="25">
        <v>184.804960012435</v>
      </c>
      <c r="T28" s="25">
        <v>165.56397652626</v>
      </c>
      <c r="U28" s="25">
        <v>1.69993253093433</v>
      </c>
      <c r="V28" s="25">
        <v>4.73731208378728</v>
      </c>
      <c r="W28" s="25">
        <v>2.17653671776684</v>
      </c>
      <c r="X28" s="25">
        <v>0.818082223930237</v>
      </c>
      <c r="Y28" s="25">
        <v>0.063913465228713</v>
      </c>
      <c r="Z28" s="25">
        <v>0.00659779865882024</v>
      </c>
      <c r="AA28" s="25">
        <v>0.0812268345980578</v>
      </c>
      <c r="AB28" s="25">
        <v>0.861218717637484</v>
      </c>
      <c r="AC28" s="25">
        <v>0.0637775923747842</v>
      </c>
      <c r="AD28" s="25">
        <v>0.0810530236675237</v>
      </c>
      <c r="AE28" s="25">
        <v>0.86248412472214</v>
      </c>
      <c r="AF28" s="25">
        <v>0.0759037900203153</v>
      </c>
      <c r="AG28" s="25">
        <v>0.0968700786075771</v>
      </c>
      <c r="AH28" s="25">
        <v>0.804404737657752</v>
      </c>
      <c r="AI28" s="25">
        <v>10.0</v>
      </c>
      <c r="AJ28" s="25">
        <v>1.69993253093433</v>
      </c>
      <c r="AK28" s="25">
        <v>4.73731208378727</v>
      </c>
      <c r="AL28" s="25">
        <v>2.17653671776684</v>
      </c>
      <c r="AM28" s="25">
        <v>0.818056997448991</v>
      </c>
      <c r="AN28" s="25">
        <v>1.48725802218422</v>
      </c>
      <c r="AO28" s="25">
        <v>3.57252141616138</v>
      </c>
      <c r="AP28" s="25">
        <v>1.89011148246905</v>
      </c>
      <c r="AQ28" s="25">
        <v>0.86248412472214</v>
      </c>
      <c r="AR28" s="25">
        <v>1.77003421450154</v>
      </c>
      <c r="AS28" s="25">
        <v>5.10288409127769</v>
      </c>
      <c r="AT28" s="25">
        <v>2.25895641641836</v>
      </c>
      <c r="AU28" s="25">
        <v>0.804404737657752</v>
      </c>
      <c r="AV28" s="26">
        <f t="shared" ref="AV28:AW28" si="59">(AC28-AC$289)/AC$290</f>
        <v>0.1310204256</v>
      </c>
      <c r="AW28" s="27">
        <f t="shared" si="59"/>
        <v>0.1361997955</v>
      </c>
      <c r="AX28" s="27">
        <f t="shared" si="5"/>
        <v>-0.01862312956</v>
      </c>
      <c r="AY28" s="28">
        <f t="shared" si="6"/>
        <v>-0.01569976304</v>
      </c>
      <c r="AZ28" s="29">
        <f t="shared" si="7"/>
        <v>0.01816144662</v>
      </c>
      <c r="BA28" s="28">
        <f t="shared" si="8"/>
        <v>0.01883216088</v>
      </c>
      <c r="BB28" s="29">
        <f t="shared" si="9"/>
        <v>0.02191074009</v>
      </c>
      <c r="BC28" s="27">
        <f t="shared" si="10"/>
        <v>-0.001397791227</v>
      </c>
      <c r="BD28" s="28">
        <f t="shared" si="11"/>
        <v>0.01852065016</v>
      </c>
      <c r="BE28" s="30">
        <f t="shared" ref="BE28:BF28" si="60">((S28-S$289)/S$290)</f>
        <v>-0.7889603198</v>
      </c>
      <c r="BF28" s="30">
        <f t="shared" si="60"/>
        <v>-0.8908110428</v>
      </c>
    </row>
    <row r="29">
      <c r="A29" s="21" t="s">
        <v>88</v>
      </c>
      <c r="B29" s="22">
        <f t="shared" si="3"/>
        <v>0.1621741102</v>
      </c>
      <c r="C29" s="21" t="s">
        <v>68</v>
      </c>
      <c r="D29" s="21" t="s">
        <v>69</v>
      </c>
      <c r="E29" s="23">
        <v>7.0</v>
      </c>
      <c r="F29" s="24" t="s">
        <v>70</v>
      </c>
      <c r="G29" s="21" t="s">
        <v>82</v>
      </c>
      <c r="H29" s="24" t="s">
        <v>83</v>
      </c>
      <c r="I29" s="24" t="s">
        <v>73</v>
      </c>
      <c r="J29" s="24" t="s">
        <v>74</v>
      </c>
      <c r="K29" s="24" t="s">
        <v>101</v>
      </c>
      <c r="L29" s="21" t="s">
        <v>76</v>
      </c>
      <c r="M29" s="24" t="s">
        <v>77</v>
      </c>
      <c r="N29" s="21" t="s">
        <v>78</v>
      </c>
      <c r="O29" s="21" t="s">
        <v>79</v>
      </c>
      <c r="P29" s="21" t="s">
        <v>80</v>
      </c>
      <c r="Q29" s="24" t="s">
        <v>81</v>
      </c>
      <c r="S29" s="25">
        <v>213.591570615768</v>
      </c>
      <c r="T29" s="25">
        <v>170.962309837341</v>
      </c>
      <c r="U29" s="25">
        <v>1.57610712809267</v>
      </c>
      <c r="V29" s="25">
        <v>4.18483721090501</v>
      </c>
      <c r="W29" s="25">
        <v>2.04568746657572</v>
      </c>
      <c r="X29" s="25">
        <v>0.839300538573048</v>
      </c>
      <c r="Y29" s="25">
        <v>0.0585961328328728</v>
      </c>
      <c r="Z29" s="25">
        <v>0.00566462995653797</v>
      </c>
      <c r="AA29" s="25">
        <v>0.0752637359990717</v>
      </c>
      <c r="AB29" s="25">
        <v>0.880847438648873</v>
      </c>
      <c r="AC29" s="25">
        <v>0.0584386919921877</v>
      </c>
      <c r="AD29" s="25">
        <v>0.07508335768658</v>
      </c>
      <c r="AE29" s="25">
        <v>0.881994630935636</v>
      </c>
      <c r="AF29" s="25">
        <v>0.073346539436291</v>
      </c>
      <c r="AG29" s="25">
        <v>0.0942814616900046</v>
      </c>
      <c r="AH29" s="25">
        <v>0.81471867797374</v>
      </c>
      <c r="AI29" s="25">
        <v>10.0</v>
      </c>
      <c r="AJ29" s="25">
        <v>1.57610712809267</v>
      </c>
      <c r="AK29" s="25">
        <v>4.18483721090501</v>
      </c>
      <c r="AL29" s="25">
        <v>2.04568746657572</v>
      </c>
      <c r="AM29" s="25">
        <v>0.839275556713895</v>
      </c>
      <c r="AN29" s="25">
        <v>1.36275783131783</v>
      </c>
      <c r="AO29" s="25">
        <v>3.06565847290462</v>
      </c>
      <c r="AP29" s="25">
        <v>1.75090218827455</v>
      </c>
      <c r="AQ29" s="25">
        <v>0.881994630935636</v>
      </c>
      <c r="AR29" s="25">
        <v>1.71040055157686</v>
      </c>
      <c r="AS29" s="25">
        <v>4.83380373970583</v>
      </c>
      <c r="AT29" s="25">
        <v>2.19859130802107</v>
      </c>
      <c r="AU29" s="25">
        <v>0.81471867797374</v>
      </c>
      <c r="AV29" s="26">
        <f t="shared" ref="AV29:AW29" si="61">(AC29-AC$289)/AC$290</f>
        <v>0.02144131053</v>
      </c>
      <c r="AW29" s="27">
        <f t="shared" si="61"/>
        <v>0.03973388021</v>
      </c>
      <c r="AX29" s="27">
        <f t="shared" si="5"/>
        <v>-0.04388013661</v>
      </c>
      <c r="AY29" s="28">
        <f t="shared" si="6"/>
        <v>-0.03579066818</v>
      </c>
      <c r="AZ29" s="29">
        <f t="shared" si="7"/>
        <v>-0.045397136</v>
      </c>
      <c r="BA29" s="28">
        <f t="shared" si="8"/>
        <v>-0.03305205205</v>
      </c>
      <c r="BB29" s="29">
        <f t="shared" si="9"/>
        <v>0.0005808849178</v>
      </c>
      <c r="BC29" s="27">
        <f t="shared" si="10"/>
        <v>-0.0168749248</v>
      </c>
      <c r="BD29" s="28">
        <f t="shared" si="11"/>
        <v>-0.009231394559</v>
      </c>
      <c r="BE29" s="30">
        <f t="shared" ref="BE29:BF29" si="62">((S29-S$289)/S$290)</f>
        <v>-0.7814291425</v>
      </c>
      <c r="BF29" s="30">
        <f t="shared" si="62"/>
        <v>-0.8800158332</v>
      </c>
    </row>
    <row r="30">
      <c r="A30" s="21" t="s">
        <v>88</v>
      </c>
      <c r="B30" s="22">
        <f t="shared" si="3"/>
        <v>0.05542151981</v>
      </c>
      <c r="C30" s="21" t="s">
        <v>68</v>
      </c>
      <c r="D30" s="21" t="s">
        <v>69</v>
      </c>
      <c r="E30" s="23">
        <v>10.0</v>
      </c>
      <c r="F30" s="24" t="s">
        <v>70</v>
      </c>
      <c r="G30" s="21" t="s">
        <v>82</v>
      </c>
      <c r="H30" s="24" t="s">
        <v>83</v>
      </c>
      <c r="I30" s="24" t="s">
        <v>73</v>
      </c>
      <c r="J30" s="24" t="s">
        <v>90</v>
      </c>
      <c r="K30" s="24" t="s">
        <v>75</v>
      </c>
      <c r="L30" s="21" t="s">
        <v>76</v>
      </c>
      <c r="M30" s="24" t="s">
        <v>85</v>
      </c>
      <c r="N30" s="21" t="s">
        <v>104</v>
      </c>
      <c r="O30" s="21" t="s">
        <v>79</v>
      </c>
      <c r="P30" s="21" t="s">
        <v>80</v>
      </c>
      <c r="Q30" s="24" t="s">
        <v>81</v>
      </c>
      <c r="R30" s="24" t="s">
        <v>81</v>
      </c>
      <c r="S30" s="25">
        <v>117.132243394851</v>
      </c>
      <c r="T30" s="25">
        <v>177.480114221572</v>
      </c>
      <c r="U30" s="25">
        <v>1.82589776666365</v>
      </c>
      <c r="V30" s="25">
        <v>5.48716562786821</v>
      </c>
      <c r="W30" s="25">
        <v>2.34246998441137</v>
      </c>
      <c r="X30" s="25">
        <v>0.789284358743733</v>
      </c>
      <c r="Y30" s="25">
        <v>0.0638634870957794</v>
      </c>
      <c r="Z30" s="25">
        <v>0.00688008153628306</v>
      </c>
      <c r="AA30" s="25">
        <v>0.0829462569154453</v>
      </c>
      <c r="AB30" s="25">
        <v>0.855281043308654</v>
      </c>
      <c r="AC30" s="25">
        <v>0.063801819028303</v>
      </c>
      <c r="AD30" s="25">
        <v>0.0828078959966412</v>
      </c>
      <c r="AE30" s="25">
        <v>0.856464972730851</v>
      </c>
      <c r="AF30" s="25">
        <v>0.0970653715728065</v>
      </c>
      <c r="AG30" s="25">
        <v>0.120399873357461</v>
      </c>
      <c r="AH30" s="25">
        <v>0.697844094247842</v>
      </c>
      <c r="AI30" s="25">
        <v>10.0</v>
      </c>
      <c r="AJ30" s="25">
        <v>1.82589776666365</v>
      </c>
      <c r="AK30" s="25">
        <v>5.48716562786821</v>
      </c>
      <c r="AL30" s="25">
        <v>2.34246998441137</v>
      </c>
      <c r="AM30" s="25">
        <v>0.789257838164022</v>
      </c>
      <c r="AN30" s="25">
        <v>1.48782297428503</v>
      </c>
      <c r="AO30" s="25">
        <v>3.72889281220973</v>
      </c>
      <c r="AP30" s="25">
        <v>1.93103413025501</v>
      </c>
      <c r="AQ30" s="25">
        <v>0.856464972730851</v>
      </c>
      <c r="AR30" s="25">
        <v>2.26351053987142</v>
      </c>
      <c r="AS30" s="25">
        <v>7.88294433149596</v>
      </c>
      <c r="AT30" s="25">
        <v>2.80765815787748</v>
      </c>
      <c r="AU30" s="25">
        <v>0.697844094247842</v>
      </c>
      <c r="AV30" s="26">
        <f t="shared" ref="AV30:AW30" si="63">(AC30-AC$289)/AC$290</f>
        <v>0.1315176695</v>
      </c>
      <c r="AW30" s="27">
        <f t="shared" si="63"/>
        <v>0.1645573897</v>
      </c>
      <c r="AX30" s="27">
        <f t="shared" si="5"/>
        <v>0.1903818924</v>
      </c>
      <c r="AY30" s="28">
        <f t="shared" si="6"/>
        <v>0.1669208754</v>
      </c>
      <c r="AZ30" s="29">
        <f t="shared" si="7"/>
        <v>0.08281838824</v>
      </c>
      <c r="BA30" s="28">
        <f t="shared" si="8"/>
        <v>0.08462785219</v>
      </c>
      <c r="BB30" s="29">
        <f t="shared" si="9"/>
        <v>0.02849117623</v>
      </c>
      <c r="BC30" s="27">
        <f t="shared" si="10"/>
        <v>0.1585074692</v>
      </c>
      <c r="BD30" s="28">
        <f t="shared" si="11"/>
        <v>0.05618746563</v>
      </c>
      <c r="BE30" s="30">
        <f t="shared" ref="BE30:BF30" si="64">((S30-S$289)/S$290)</f>
        <v>-0.8066649127</v>
      </c>
      <c r="BF30" s="30">
        <f t="shared" si="64"/>
        <v>-0.8669819837</v>
      </c>
    </row>
    <row r="31">
      <c r="A31" s="21" t="s">
        <v>67</v>
      </c>
      <c r="B31" s="22">
        <f t="shared" si="3"/>
        <v>0.1206939468</v>
      </c>
      <c r="C31" s="21" t="s">
        <v>68</v>
      </c>
      <c r="D31" s="21" t="s">
        <v>69</v>
      </c>
      <c r="E31" s="23">
        <v>57.0</v>
      </c>
      <c r="F31" s="24" t="s">
        <v>70</v>
      </c>
      <c r="G31" s="21" t="s">
        <v>82</v>
      </c>
      <c r="H31" s="24" t="s">
        <v>83</v>
      </c>
      <c r="I31" s="24" t="s">
        <v>95</v>
      </c>
      <c r="J31" s="24" t="s">
        <v>90</v>
      </c>
      <c r="K31" s="24" t="s">
        <v>75</v>
      </c>
      <c r="L31" s="21" t="s">
        <v>76</v>
      </c>
      <c r="M31" s="24" t="s">
        <v>85</v>
      </c>
      <c r="N31" s="21" t="s">
        <v>86</v>
      </c>
      <c r="O31" s="21" t="s">
        <v>79</v>
      </c>
      <c r="P31" s="21" t="s">
        <v>80</v>
      </c>
      <c r="Q31" s="24" t="s">
        <v>81</v>
      </c>
      <c r="R31" s="24" t="s">
        <v>103</v>
      </c>
      <c r="S31" s="25">
        <v>171.61719751358</v>
      </c>
      <c r="T31" s="25">
        <v>221.90511393547</v>
      </c>
      <c r="U31" s="25">
        <v>1.66445637665674</v>
      </c>
      <c r="V31" s="25">
        <v>4.62415531612758</v>
      </c>
      <c r="W31" s="25">
        <v>2.15038492278186</v>
      </c>
      <c r="X31" s="25">
        <v>0.823659328521021</v>
      </c>
      <c r="Y31" s="25">
        <v>0.0584686954520331</v>
      </c>
      <c r="Z31" s="25">
        <v>0.00584215716279292</v>
      </c>
      <c r="AA31" s="25">
        <v>0.0764340052777095</v>
      </c>
      <c r="AB31" s="25">
        <v>0.877717128717134</v>
      </c>
      <c r="AC31" s="25">
        <v>0.0582828365459437</v>
      </c>
      <c r="AD31" s="25">
        <v>0.076240178454328</v>
      </c>
      <c r="AE31" s="25">
        <v>0.878948470621358</v>
      </c>
      <c r="AF31" s="25">
        <v>0.0828779459816316</v>
      </c>
      <c r="AG31" s="25">
        <v>0.104853386303054</v>
      </c>
      <c r="AH31" s="25">
        <v>0.77271815168928</v>
      </c>
      <c r="AI31" s="25">
        <v>10.0</v>
      </c>
      <c r="AJ31" s="25">
        <v>1.66445637665674</v>
      </c>
      <c r="AK31" s="25">
        <v>4.62415531612758</v>
      </c>
      <c r="AL31" s="25">
        <v>2.15038492278186</v>
      </c>
      <c r="AM31" s="25">
        <v>0.823611379246437</v>
      </c>
      <c r="AN31" s="25">
        <v>1.35912336889777</v>
      </c>
      <c r="AO31" s="25">
        <v>3.16085233731776</v>
      </c>
      <c r="AP31" s="25">
        <v>1.77787860590023</v>
      </c>
      <c r="AQ31" s="25">
        <v>0.878948470621358</v>
      </c>
      <c r="AR31" s="25">
        <v>1.93266765698833</v>
      </c>
      <c r="AS31" s="25">
        <v>5.97862509975151</v>
      </c>
      <c r="AT31" s="25">
        <v>2.44512271670595</v>
      </c>
      <c r="AU31" s="25">
        <v>0.77271815168928</v>
      </c>
      <c r="AV31" s="26">
        <f t="shared" ref="AV31:AW31" si="65">(AC31-AC$289)/AC$290</f>
        <v>0.01824243048</v>
      </c>
      <c r="AW31" s="27">
        <f t="shared" si="65"/>
        <v>0.05842735058</v>
      </c>
      <c r="AX31" s="27">
        <f t="shared" si="5"/>
        <v>0.05025799902</v>
      </c>
      <c r="AY31" s="28">
        <f t="shared" si="6"/>
        <v>0.04626069025</v>
      </c>
      <c r="AZ31" s="29">
        <f t="shared" si="7"/>
        <v>-0.00004817782633</v>
      </c>
      <c r="BA31" s="28">
        <f t="shared" si="8"/>
        <v>0.008462477544</v>
      </c>
      <c r="BB31" s="29">
        <f t="shared" si="9"/>
        <v>0.003911098784</v>
      </c>
      <c r="BC31" s="27">
        <f t="shared" si="10"/>
        <v>0.0461512064</v>
      </c>
      <c r="BD31" s="28">
        <f t="shared" si="11"/>
        <v>0.01125599802</v>
      </c>
      <c r="BE31" s="30">
        <f t="shared" ref="BE31:BF31" si="66">((S31-S$289)/S$290)</f>
        <v>-0.7924105133</v>
      </c>
      <c r="BF31" s="30">
        <f t="shared" si="66"/>
        <v>-0.7781439751</v>
      </c>
    </row>
    <row r="32">
      <c r="A32" s="21" t="s">
        <v>67</v>
      </c>
      <c r="B32" s="22">
        <f t="shared" si="3"/>
        <v>0.1601860351</v>
      </c>
      <c r="C32" s="21" t="s">
        <v>68</v>
      </c>
      <c r="D32" s="21" t="s">
        <v>69</v>
      </c>
      <c r="E32" s="23">
        <v>112.0</v>
      </c>
      <c r="F32" s="24" t="s">
        <v>70</v>
      </c>
      <c r="G32" s="21" t="s">
        <v>71</v>
      </c>
      <c r="H32" s="24" t="s">
        <v>72</v>
      </c>
      <c r="I32" s="24" t="s">
        <v>73</v>
      </c>
      <c r="J32" s="24" t="s">
        <v>90</v>
      </c>
      <c r="K32" s="24" t="s">
        <v>75</v>
      </c>
      <c r="L32" s="21" t="s">
        <v>92</v>
      </c>
      <c r="M32" s="24" t="s">
        <v>77</v>
      </c>
      <c r="N32" s="21" t="s">
        <v>86</v>
      </c>
      <c r="O32" s="21" t="s">
        <v>91</v>
      </c>
      <c r="P32" s="21" t="s">
        <v>80</v>
      </c>
      <c r="Q32" s="24" t="s">
        <v>93</v>
      </c>
      <c r="S32" s="25">
        <v>225.274601221084</v>
      </c>
      <c r="T32" s="25">
        <v>165.577974081039</v>
      </c>
      <c r="U32" s="25">
        <v>1.65646131006067</v>
      </c>
      <c r="V32" s="25">
        <v>4.64065700042154</v>
      </c>
      <c r="W32" s="25">
        <v>2.15421841985011</v>
      </c>
      <c r="X32" s="25">
        <v>0.821697837602872</v>
      </c>
      <c r="Y32" s="25">
        <v>0.0592075355049279</v>
      </c>
      <c r="Z32" s="25">
        <v>0.00572703647363908</v>
      </c>
      <c r="AA32" s="25">
        <v>0.0756771859521684</v>
      </c>
      <c r="AB32" s="25">
        <v>0.87902393004982</v>
      </c>
      <c r="AC32" s="25">
        <v>0.0594650788577021</v>
      </c>
      <c r="AD32" s="25">
        <v>0.0757935982147331</v>
      </c>
      <c r="AE32" s="25">
        <v>0.879357649485269</v>
      </c>
      <c r="AF32" s="25">
        <v>0.0681710497640569</v>
      </c>
      <c r="AG32" s="25">
        <v>0.0897358326892284</v>
      </c>
      <c r="AH32" s="25">
        <v>0.832569327744258</v>
      </c>
      <c r="AI32" s="25">
        <v>10.0</v>
      </c>
      <c r="AJ32" s="25">
        <v>1.65646131006066</v>
      </c>
      <c r="AK32" s="25">
        <v>4.64065700042154</v>
      </c>
      <c r="AL32" s="25">
        <v>2.15421841985011</v>
      </c>
      <c r="AM32" s="25">
        <v>0.821647082684223</v>
      </c>
      <c r="AN32" s="25">
        <v>1.3866926028067</v>
      </c>
      <c r="AO32" s="25">
        <v>3.12393112219697</v>
      </c>
      <c r="AP32" s="25">
        <v>1.76746460281301</v>
      </c>
      <c r="AQ32" s="25">
        <v>0.879357649485269</v>
      </c>
      <c r="AR32" s="25">
        <v>1.58971100769239</v>
      </c>
      <c r="AS32" s="25">
        <v>4.37893192488585</v>
      </c>
      <c r="AT32" s="25">
        <v>2.09258976507242</v>
      </c>
      <c r="AU32" s="25">
        <v>0.832569327744258</v>
      </c>
      <c r="AV32" s="26">
        <f t="shared" ref="AV32:AW32" si="67">(AC32-AC$289)/AC$290</f>
        <v>0.04250755197</v>
      </c>
      <c r="AW32" s="27">
        <f t="shared" si="67"/>
        <v>0.05121090469</v>
      </c>
      <c r="AX32" s="27">
        <f t="shared" si="5"/>
        <v>-0.09499651135</v>
      </c>
      <c r="AY32" s="28">
        <f t="shared" si="6"/>
        <v>-0.07107043494</v>
      </c>
      <c r="AZ32" s="29">
        <f t="shared" si="7"/>
        <v>-0.004151981159</v>
      </c>
      <c r="BA32" s="28">
        <f t="shared" si="8"/>
        <v>0.00998253193</v>
      </c>
      <c r="BB32" s="29">
        <f t="shared" si="9"/>
        <v>0.003463764111</v>
      </c>
      <c r="BC32" s="27">
        <f t="shared" si="10"/>
        <v>-0.04366166997</v>
      </c>
      <c r="BD32" s="28">
        <f t="shared" si="11"/>
        <v>0.01382512844</v>
      </c>
      <c r="BE32" s="30">
        <f t="shared" ref="BE32:BF32" si="68">((S32-S$289)/S$290)</f>
        <v>-0.7783726183</v>
      </c>
      <c r="BF32" s="30">
        <f t="shared" si="68"/>
        <v>-0.8907830515</v>
      </c>
    </row>
    <row r="33">
      <c r="A33" s="21" t="s">
        <v>88</v>
      </c>
      <c r="B33" s="22">
        <f t="shared" si="3"/>
        <v>0.1296188262</v>
      </c>
      <c r="C33" s="21" t="s">
        <v>68</v>
      </c>
      <c r="D33" s="21" t="s">
        <v>69</v>
      </c>
      <c r="E33" s="23">
        <v>3.0</v>
      </c>
      <c r="F33" s="24" t="s">
        <v>70</v>
      </c>
      <c r="G33" s="21" t="s">
        <v>82</v>
      </c>
      <c r="H33" s="24" t="s">
        <v>83</v>
      </c>
      <c r="I33" s="24" t="s">
        <v>73</v>
      </c>
      <c r="J33" s="24" t="s">
        <v>99</v>
      </c>
      <c r="K33" s="24" t="s">
        <v>101</v>
      </c>
      <c r="L33" s="21" t="s">
        <v>76</v>
      </c>
      <c r="M33" s="24" t="s">
        <v>77</v>
      </c>
      <c r="N33" s="21" t="s">
        <v>86</v>
      </c>
      <c r="O33" s="21" t="s">
        <v>79</v>
      </c>
      <c r="P33" s="21" t="s">
        <v>80</v>
      </c>
      <c r="Q33" s="24" t="s">
        <v>103</v>
      </c>
      <c r="S33" s="25">
        <v>210.472465038299</v>
      </c>
      <c r="T33" s="25">
        <v>170.498815774917</v>
      </c>
      <c r="U33" s="25">
        <v>1.5743958429038</v>
      </c>
      <c r="V33" s="25">
        <v>4.16405394215142</v>
      </c>
      <c r="W33" s="25">
        <v>2.04060136777162</v>
      </c>
      <c r="X33" s="25">
        <v>0.840093783414012</v>
      </c>
      <c r="Y33" s="25">
        <v>0.0703911181354199</v>
      </c>
      <c r="Z33" s="25">
        <v>0.00763348162025169</v>
      </c>
      <c r="AA33" s="25">
        <v>0.0873697981012414</v>
      </c>
      <c r="AB33" s="25">
        <v>0.839433662205956</v>
      </c>
      <c r="AC33" s="25">
        <v>0.0704721784849702</v>
      </c>
      <c r="AD33" s="25">
        <v>0.0873542708540998</v>
      </c>
      <c r="AE33" s="25">
        <v>0.840271401183515</v>
      </c>
      <c r="AF33" s="25">
        <v>0.0683071209341305</v>
      </c>
      <c r="AG33" s="25">
        <v>0.0885451274897526</v>
      </c>
      <c r="AH33" s="25">
        <v>0.836578812463329</v>
      </c>
      <c r="AI33" s="25">
        <v>10.0</v>
      </c>
      <c r="AJ33" s="25">
        <v>1.5743958429038</v>
      </c>
      <c r="AK33" s="25">
        <v>4.16405394215142</v>
      </c>
      <c r="AL33" s="25">
        <v>2.04060136777162</v>
      </c>
      <c r="AM33" s="25">
        <v>0.840073766807082</v>
      </c>
      <c r="AN33" s="25">
        <v>1.64337205105925</v>
      </c>
      <c r="AO33" s="25">
        <v>4.14958519438092</v>
      </c>
      <c r="AP33" s="25">
        <v>2.03705306616713</v>
      </c>
      <c r="AQ33" s="25">
        <v>0.840271401183515</v>
      </c>
      <c r="AR33" s="25">
        <v>1.59288411178342</v>
      </c>
      <c r="AS33" s="25">
        <v>4.26349477013106</v>
      </c>
      <c r="AT33" s="25">
        <v>2.06482318132354</v>
      </c>
      <c r="AU33" s="25">
        <v>0.836578812463329</v>
      </c>
      <c r="AV33" s="26">
        <f t="shared" ref="AV33:AW33" si="69">(AC33-AC$289)/AC$290</f>
        <v>0.2684245294</v>
      </c>
      <c r="AW33" s="27">
        <f t="shared" si="69"/>
        <v>0.2380238471</v>
      </c>
      <c r="AX33" s="27">
        <f t="shared" si="5"/>
        <v>-0.09365258732</v>
      </c>
      <c r="AY33" s="28">
        <f t="shared" si="6"/>
        <v>-0.08031179663</v>
      </c>
      <c r="AZ33" s="29">
        <f t="shared" si="7"/>
        <v>-0.04627552491</v>
      </c>
      <c r="BA33" s="28">
        <f t="shared" si="8"/>
        <v>-0.03506878682</v>
      </c>
      <c r="BB33" s="29">
        <f t="shared" si="9"/>
        <v>0.04619479355</v>
      </c>
      <c r="BC33" s="27">
        <f t="shared" si="10"/>
        <v>-0.04967831625</v>
      </c>
      <c r="BD33" s="28">
        <f t="shared" si="11"/>
        <v>-0.01027538449</v>
      </c>
      <c r="BE33" s="30">
        <f t="shared" ref="BE33:BF33" si="70">((S33-S$289)/S$290)</f>
        <v>-0.7822451656</v>
      </c>
      <c r="BF33" s="30">
        <f t="shared" si="70"/>
        <v>-0.8809426963</v>
      </c>
    </row>
    <row r="34">
      <c r="A34" s="21" t="s">
        <v>88</v>
      </c>
      <c r="B34" s="22">
        <f t="shared" si="3"/>
        <v>0.1293551121</v>
      </c>
      <c r="C34" s="21" t="s">
        <v>68</v>
      </c>
      <c r="D34" s="21" t="s">
        <v>69</v>
      </c>
      <c r="E34" s="23">
        <v>84.0</v>
      </c>
      <c r="F34" s="24" t="s">
        <v>70</v>
      </c>
      <c r="G34" s="21" t="s">
        <v>71</v>
      </c>
      <c r="H34" s="24" t="s">
        <v>72</v>
      </c>
      <c r="I34" s="24" t="s">
        <v>95</v>
      </c>
      <c r="J34" s="24" t="s">
        <v>74</v>
      </c>
      <c r="K34" s="24" t="s">
        <v>75</v>
      </c>
      <c r="L34" s="21" t="s">
        <v>84</v>
      </c>
      <c r="M34" s="24" t="s">
        <v>85</v>
      </c>
      <c r="N34" s="21" t="s">
        <v>104</v>
      </c>
      <c r="O34" s="21" t="s">
        <v>79</v>
      </c>
      <c r="P34" s="21" t="s">
        <v>80</v>
      </c>
      <c r="Q34" s="24" t="s">
        <v>81</v>
      </c>
      <c r="R34" s="24" t="s">
        <v>87</v>
      </c>
      <c r="S34" s="25">
        <v>181.796606063842</v>
      </c>
      <c r="T34" s="25">
        <v>176.287599086761</v>
      </c>
      <c r="U34" s="25">
        <v>1.84986633913657</v>
      </c>
      <c r="V34" s="25">
        <v>5.56010174890447</v>
      </c>
      <c r="W34" s="25">
        <v>2.3579867999852</v>
      </c>
      <c r="X34" s="25">
        <v>0.788024506586318</v>
      </c>
      <c r="Y34" s="25">
        <v>0.0461821017100745</v>
      </c>
      <c r="Z34" s="25">
        <v>0.00352649782094863</v>
      </c>
      <c r="AA34" s="25">
        <v>0.0593843230234093</v>
      </c>
      <c r="AB34" s="25">
        <v>0.925858945125848</v>
      </c>
      <c r="AC34" s="25">
        <v>0.0459598181664522</v>
      </c>
      <c r="AD34" s="25">
        <v>0.0591426797415785</v>
      </c>
      <c r="AE34" s="25">
        <v>0.926907478245875</v>
      </c>
      <c r="AF34" s="25">
        <v>0.095983936476198</v>
      </c>
      <c r="AG34" s="25">
        <v>0.11993624780716</v>
      </c>
      <c r="AH34" s="25">
        <v>0.703275120734894</v>
      </c>
      <c r="AI34" s="25">
        <v>10.0</v>
      </c>
      <c r="AJ34" s="25">
        <v>1.84986633913657</v>
      </c>
      <c r="AK34" s="25">
        <v>5.56010174890447</v>
      </c>
      <c r="AL34" s="25">
        <v>2.3579867999852</v>
      </c>
      <c r="AM34" s="25">
        <v>0.787883238979928</v>
      </c>
      <c r="AN34" s="25">
        <v>1.07175742640934</v>
      </c>
      <c r="AO34" s="25">
        <v>1.90212212085924</v>
      </c>
      <c r="AP34" s="25">
        <v>1.37917443452931</v>
      </c>
      <c r="AQ34" s="25">
        <v>0.926907478245875</v>
      </c>
      <c r="AR34" s="25">
        <v>2.2382920742158</v>
      </c>
      <c r="AS34" s="25">
        <v>7.82235128214462</v>
      </c>
      <c r="AT34" s="25">
        <v>2.79684666761419</v>
      </c>
      <c r="AU34" s="25">
        <v>0.703275120734894</v>
      </c>
      <c r="AV34" s="26">
        <f t="shared" ref="AV34:AW34" si="71">(AC34-AC$289)/AC$290</f>
        <v>-0.2346833319</v>
      </c>
      <c r="AW34" s="27">
        <f t="shared" si="71"/>
        <v>-0.217857096</v>
      </c>
      <c r="AX34" s="27">
        <f t="shared" si="5"/>
        <v>0.1797009627</v>
      </c>
      <c r="AY34" s="28">
        <f t="shared" si="6"/>
        <v>0.1633225613</v>
      </c>
      <c r="AZ34" s="29">
        <f t="shared" si="7"/>
        <v>0.09512126357</v>
      </c>
      <c r="BA34" s="28">
        <f t="shared" si="8"/>
        <v>0.09078056423</v>
      </c>
      <c r="BB34" s="29">
        <f t="shared" si="9"/>
        <v>-0.04852007217</v>
      </c>
      <c r="BC34" s="27">
        <f t="shared" si="10"/>
        <v>0.1503576526</v>
      </c>
      <c r="BD34" s="28">
        <f t="shared" si="11"/>
        <v>0.05798532276</v>
      </c>
      <c r="BE34" s="30">
        <f t="shared" ref="BE34:BF34" si="72">((S34-S$289)/S$290)</f>
        <v>-0.7897473679</v>
      </c>
      <c r="BF34" s="30">
        <f t="shared" si="72"/>
        <v>-0.8693666921</v>
      </c>
    </row>
    <row r="35">
      <c r="A35" s="21" t="s">
        <v>88</v>
      </c>
      <c r="B35" s="22">
        <f t="shared" si="3"/>
        <v>0.2304726981</v>
      </c>
      <c r="C35" s="21" t="s">
        <v>68</v>
      </c>
      <c r="D35" s="21" t="s">
        <v>69</v>
      </c>
      <c r="E35" s="23">
        <v>85.0</v>
      </c>
      <c r="F35" s="24" t="s">
        <v>70</v>
      </c>
      <c r="G35" s="21" t="s">
        <v>71</v>
      </c>
      <c r="H35" s="24" t="s">
        <v>72</v>
      </c>
      <c r="I35" s="24" t="s">
        <v>73</v>
      </c>
      <c r="J35" s="24" t="s">
        <v>74</v>
      </c>
      <c r="K35" s="24" t="s">
        <v>75</v>
      </c>
      <c r="L35" s="21" t="s">
        <v>92</v>
      </c>
      <c r="M35" s="24" t="s">
        <v>85</v>
      </c>
      <c r="N35" s="21" t="s">
        <v>86</v>
      </c>
      <c r="O35" s="21" t="s">
        <v>91</v>
      </c>
      <c r="P35" s="21" t="s">
        <v>80</v>
      </c>
      <c r="Q35" s="24" t="s">
        <v>94</v>
      </c>
      <c r="R35" s="24" t="s">
        <v>96</v>
      </c>
      <c r="S35" s="25">
        <v>278.642135620117</v>
      </c>
      <c r="T35" s="25">
        <v>173.652332544326</v>
      </c>
      <c r="U35" s="25">
        <v>1.5120932435487</v>
      </c>
      <c r="V35" s="25">
        <v>3.91190077485201</v>
      </c>
      <c r="W35" s="25">
        <v>1.97785256651046</v>
      </c>
      <c r="X35" s="25">
        <v>0.849735778323096</v>
      </c>
      <c r="Y35" s="25">
        <v>0.04396027877887</v>
      </c>
      <c r="Z35" s="25">
        <v>0.00317980051169187</v>
      </c>
      <c r="AA35" s="25">
        <v>0.0563897199114507</v>
      </c>
      <c r="AB35" s="25">
        <v>0.932830920337125</v>
      </c>
      <c r="AC35" s="25">
        <v>0.0439572893609882</v>
      </c>
      <c r="AD35" s="25">
        <v>0.0562991811177903</v>
      </c>
      <c r="AE35" s="25">
        <v>0.933436079116553</v>
      </c>
      <c r="AF35" s="25">
        <v>0.0714497382051438</v>
      </c>
      <c r="AG35" s="25">
        <v>0.0925209357443022</v>
      </c>
      <c r="AH35" s="25">
        <v>0.822015058670955</v>
      </c>
      <c r="AI35" s="25">
        <v>10.0</v>
      </c>
      <c r="AJ35" s="25">
        <v>1.5120932435487</v>
      </c>
      <c r="AK35" s="25">
        <v>3.91190077485201</v>
      </c>
      <c r="AL35" s="25">
        <v>1.97785256651046</v>
      </c>
      <c r="AM35" s="25">
        <v>0.849655142497855</v>
      </c>
      <c r="AN35" s="25">
        <v>1.02505956718194</v>
      </c>
      <c r="AO35" s="25">
        <v>1.72361615283569</v>
      </c>
      <c r="AP35" s="25">
        <v>1.31286562634402</v>
      </c>
      <c r="AQ35" s="25">
        <v>0.933436079116553</v>
      </c>
      <c r="AR35" s="25">
        <v>1.66616820064496</v>
      </c>
      <c r="AS35" s="25">
        <v>4.65496513413159</v>
      </c>
      <c r="AT35" s="25">
        <v>2.15753682103726</v>
      </c>
      <c r="AU35" s="25">
        <v>0.822015058670955</v>
      </c>
      <c r="AV35" s="26">
        <f t="shared" ref="AV35:AW35" si="73">(AC35-AC$289)/AC$290</f>
        <v>-0.2757845548</v>
      </c>
      <c r="AW35" s="27">
        <f t="shared" si="73"/>
        <v>-0.2638061823</v>
      </c>
      <c r="AX35" s="27">
        <f t="shared" si="5"/>
        <v>-0.06261413256</v>
      </c>
      <c r="AY35" s="28">
        <f t="shared" si="6"/>
        <v>-0.0494545516</v>
      </c>
      <c r="AZ35" s="29">
        <f t="shared" si="7"/>
        <v>-0.07825494769</v>
      </c>
      <c r="BA35" s="28">
        <f t="shared" si="8"/>
        <v>-0.05994987812</v>
      </c>
      <c r="BB35" s="29">
        <f t="shared" si="9"/>
        <v>-0.05565746315</v>
      </c>
      <c r="BC35" s="27">
        <f t="shared" si="10"/>
        <v>-0.02782389825</v>
      </c>
      <c r="BD35" s="28">
        <f t="shared" si="11"/>
        <v>-0.02280699718</v>
      </c>
      <c r="BE35" s="30">
        <f t="shared" ref="BE35:BF35" si="74">((S35-S$289)/S$290)</f>
        <v>-0.7644105591</v>
      </c>
      <c r="BF35" s="30">
        <f t="shared" si="74"/>
        <v>-0.8746365139</v>
      </c>
    </row>
    <row r="36">
      <c r="A36" s="21" t="s">
        <v>67</v>
      </c>
      <c r="B36" s="22">
        <f t="shared" si="3"/>
        <v>-0.03875319522</v>
      </c>
      <c r="C36" s="21" t="s">
        <v>68</v>
      </c>
      <c r="D36" s="21" t="s">
        <v>69</v>
      </c>
      <c r="E36" s="23">
        <v>122.0</v>
      </c>
      <c r="F36" s="24" t="s">
        <v>70</v>
      </c>
      <c r="G36" s="21" t="s">
        <v>71</v>
      </c>
      <c r="H36" s="24" t="s">
        <v>72</v>
      </c>
      <c r="I36" s="24" t="s">
        <v>73</v>
      </c>
      <c r="J36" s="24" t="s">
        <v>90</v>
      </c>
      <c r="K36" s="24" t="s">
        <v>75</v>
      </c>
      <c r="L36" s="21" t="s">
        <v>76</v>
      </c>
      <c r="M36" s="24" t="s">
        <v>77</v>
      </c>
      <c r="N36" s="21" t="s">
        <v>78</v>
      </c>
      <c r="O36" s="21" t="s">
        <v>91</v>
      </c>
      <c r="P36" s="21" t="s">
        <v>80</v>
      </c>
      <c r="Q36" s="24" t="s">
        <v>81</v>
      </c>
      <c r="S36" s="25">
        <v>94.8081889152526</v>
      </c>
      <c r="T36" s="25">
        <v>163.442662239074</v>
      </c>
      <c r="U36" s="25">
        <v>1.98481273196336</v>
      </c>
      <c r="V36" s="25">
        <v>6.27119465726479</v>
      </c>
      <c r="W36" s="25">
        <v>2.50423534382549</v>
      </c>
      <c r="X36" s="25">
        <v>0.759077318460763</v>
      </c>
      <c r="Y36" s="25">
        <v>0.0963438110793406</v>
      </c>
      <c r="Z36" s="25">
        <v>0.0133031870888362</v>
      </c>
      <c r="AA36" s="25">
        <v>0.115339442901534</v>
      </c>
      <c r="AB36" s="25">
        <v>0.71898776981304</v>
      </c>
      <c r="AC36" s="25">
        <v>0.0965881603333878</v>
      </c>
      <c r="AD36" s="25">
        <v>0.115402919374035</v>
      </c>
      <c r="AE36" s="25">
        <v>0.720315543841478</v>
      </c>
      <c r="AF36" s="25">
        <v>0.0791051365297394</v>
      </c>
      <c r="AG36" s="25">
        <v>0.100937506682826</v>
      </c>
      <c r="AH36" s="25">
        <v>0.788159802696588</v>
      </c>
      <c r="AI36" s="25">
        <v>10.0</v>
      </c>
      <c r="AJ36" s="25">
        <v>1.98481273196336</v>
      </c>
      <c r="AK36" s="25">
        <v>6.27119465726478</v>
      </c>
      <c r="AL36" s="25">
        <v>2.50423534382549</v>
      </c>
      <c r="AM36" s="25">
        <v>0.758981139507468</v>
      </c>
      <c r="AN36" s="25">
        <v>2.25238223888553</v>
      </c>
      <c r="AO36" s="25">
        <v>7.24219126418348</v>
      </c>
      <c r="AP36" s="25">
        <v>2.69113196706952</v>
      </c>
      <c r="AQ36" s="25">
        <v>0.720315543841478</v>
      </c>
      <c r="AR36" s="25">
        <v>1.84468783657546</v>
      </c>
      <c r="AS36" s="25">
        <v>5.54040541346638</v>
      </c>
      <c r="AT36" s="25">
        <v>2.3538065794509</v>
      </c>
      <c r="AU36" s="25">
        <v>0.788159802696588</v>
      </c>
      <c r="AV36" s="26">
        <f t="shared" ref="AV36:AW36" si="75">(AC36-AC$289)/AC$290</f>
        <v>0.8044461774</v>
      </c>
      <c r="AW36" s="27">
        <f t="shared" si="75"/>
        <v>0.691271744</v>
      </c>
      <c r="AX36" s="27">
        <f t="shared" si="5"/>
        <v>0.01299537191</v>
      </c>
      <c r="AY36" s="28">
        <f t="shared" si="6"/>
        <v>0.01586856639</v>
      </c>
      <c r="AZ36" s="29">
        <f t="shared" si="7"/>
        <v>0.1643881608</v>
      </c>
      <c r="BA36" s="28">
        <f t="shared" si="8"/>
        <v>0.1487708891</v>
      </c>
      <c r="BB36" s="29">
        <f t="shared" si="9"/>
        <v>0.1773364992</v>
      </c>
      <c r="BC36" s="27">
        <f t="shared" si="10"/>
        <v>0.02297941289</v>
      </c>
      <c r="BD36" s="28">
        <f t="shared" si="11"/>
        <v>0.09578677511</v>
      </c>
      <c r="BE36" s="30">
        <f t="shared" ref="BE36:BF36" si="76">((S36-S$289)/S$290)</f>
        <v>-0.8125053506</v>
      </c>
      <c r="BF36" s="30">
        <f t="shared" si="76"/>
        <v>-0.8950530988</v>
      </c>
    </row>
    <row r="37">
      <c r="A37" s="21" t="s">
        <v>67</v>
      </c>
      <c r="B37" s="22">
        <f t="shared" si="3"/>
        <v>0.04825734404</v>
      </c>
      <c r="C37" s="21" t="s">
        <v>68</v>
      </c>
      <c r="D37" s="21" t="s">
        <v>69</v>
      </c>
      <c r="E37" s="23">
        <v>69.0</v>
      </c>
      <c r="F37" s="24" t="s">
        <v>70</v>
      </c>
      <c r="G37" s="21" t="s">
        <v>82</v>
      </c>
      <c r="H37" s="24" t="s">
        <v>83</v>
      </c>
      <c r="I37" s="24" t="s">
        <v>73</v>
      </c>
      <c r="J37" s="24" t="s">
        <v>99</v>
      </c>
      <c r="K37" s="24" t="s">
        <v>101</v>
      </c>
      <c r="L37" s="21" t="s">
        <v>76</v>
      </c>
      <c r="M37" s="24" t="s">
        <v>77</v>
      </c>
      <c r="N37" s="21" t="s">
        <v>78</v>
      </c>
      <c r="O37" s="21" t="s">
        <v>79</v>
      </c>
      <c r="P37" s="21" t="s">
        <v>80</v>
      </c>
      <c r="Q37" s="24" t="s">
        <v>81</v>
      </c>
      <c r="S37" s="25">
        <v>152.550699710845</v>
      </c>
      <c r="T37" s="25">
        <v>165.445672750473</v>
      </c>
      <c r="U37" s="25">
        <v>1.87038252215463</v>
      </c>
      <c r="V37" s="25">
        <v>5.88512688092939</v>
      </c>
      <c r="W37" s="25">
        <v>2.42592804529099</v>
      </c>
      <c r="X37" s="25">
        <v>0.77400952287243</v>
      </c>
      <c r="Y37" s="25">
        <v>0.0722769486953417</v>
      </c>
      <c r="Z37" s="25">
        <v>0.00836003794565333</v>
      </c>
      <c r="AA37" s="25">
        <v>0.091433243110224</v>
      </c>
      <c r="AB37" s="25">
        <v>0.824150925680943</v>
      </c>
      <c r="AC37" s="25">
        <v>0.0721224164801018</v>
      </c>
      <c r="AD37" s="25">
        <v>0.0912348241616734</v>
      </c>
      <c r="AE37" s="25">
        <v>0.825764889698106</v>
      </c>
      <c r="AF37" s="25">
        <v>0.082754499484779</v>
      </c>
      <c r="AG37" s="25">
        <v>0.108230007573821</v>
      </c>
      <c r="AH37" s="25">
        <v>0.755840062797132</v>
      </c>
      <c r="AI37" s="25">
        <v>10.0</v>
      </c>
      <c r="AJ37" s="25">
        <v>1.87038252215463</v>
      </c>
      <c r="AK37" s="25">
        <v>5.88512688092939</v>
      </c>
      <c r="AL37" s="25">
        <v>2.42592804529099</v>
      </c>
      <c r="AM37" s="25">
        <v>0.773973587517181</v>
      </c>
      <c r="AN37" s="25">
        <v>1.68185468430684</v>
      </c>
      <c r="AO37" s="25">
        <v>4.52644948623596</v>
      </c>
      <c r="AP37" s="25">
        <v>2.1275454134368</v>
      </c>
      <c r="AQ37" s="25">
        <v>0.825764889698106</v>
      </c>
      <c r="AR37" s="25">
        <v>1.92978895326312</v>
      </c>
      <c r="AS37" s="25">
        <v>6.36988771793355</v>
      </c>
      <c r="AT37" s="25">
        <v>2.52386364883952</v>
      </c>
      <c r="AU37" s="25">
        <v>0.755840062797132</v>
      </c>
      <c r="AV37" s="26">
        <f t="shared" ref="AV37:AW37" si="77">(AC37-AC$289)/AC$290</f>
        <v>0.3022951032</v>
      </c>
      <c r="AW37" s="27">
        <f t="shared" si="77"/>
        <v>0.3007310618</v>
      </c>
      <c r="AX37" s="27">
        <f t="shared" si="5"/>
        <v>0.04903876417</v>
      </c>
      <c r="AY37" s="28">
        <f t="shared" si="6"/>
        <v>0.07246749481</v>
      </c>
      <c r="AZ37" s="29">
        <f t="shared" si="7"/>
        <v>0.1056520552</v>
      </c>
      <c r="BA37" s="28">
        <f t="shared" si="8"/>
        <v>0.1177205582</v>
      </c>
      <c r="BB37" s="29">
        <f t="shared" si="9"/>
        <v>0.06205403296</v>
      </c>
      <c r="BC37" s="27">
        <f t="shared" si="10"/>
        <v>0.07147852344</v>
      </c>
      <c r="BD37" s="28">
        <f t="shared" si="11"/>
        <v>0.0761779467</v>
      </c>
      <c r="BE37" s="30">
        <f t="shared" ref="BE37:BF37" si="78">((S37-S$289)/S$290)</f>
        <v>-0.7973987064</v>
      </c>
      <c r="BF37" s="30">
        <f t="shared" si="78"/>
        <v>-0.8910476184</v>
      </c>
    </row>
    <row r="38">
      <c r="A38" s="21" t="s">
        <v>67</v>
      </c>
      <c r="B38" s="22">
        <f t="shared" si="3"/>
        <v>0.1431918128</v>
      </c>
      <c r="C38" s="21" t="s">
        <v>68</v>
      </c>
      <c r="D38" s="21" t="s">
        <v>69</v>
      </c>
      <c r="E38" s="23">
        <v>110.0</v>
      </c>
      <c r="F38" s="24" t="s">
        <v>70</v>
      </c>
      <c r="G38" s="21" t="s">
        <v>71</v>
      </c>
      <c r="H38" s="24" t="s">
        <v>72</v>
      </c>
      <c r="I38" s="24" t="s">
        <v>95</v>
      </c>
      <c r="J38" s="24" t="s">
        <v>90</v>
      </c>
      <c r="K38" s="24" t="s">
        <v>75</v>
      </c>
      <c r="L38" s="21" t="s">
        <v>84</v>
      </c>
      <c r="M38" s="24" t="s">
        <v>85</v>
      </c>
      <c r="N38" s="21" t="s">
        <v>86</v>
      </c>
      <c r="O38" s="21" t="s">
        <v>91</v>
      </c>
      <c r="P38" s="21" t="s">
        <v>80</v>
      </c>
      <c r="Q38" s="24" t="s">
        <v>87</v>
      </c>
      <c r="R38" s="24" t="s">
        <v>81</v>
      </c>
      <c r="S38" s="25">
        <v>228.659324407577</v>
      </c>
      <c r="T38" s="25">
        <v>178.264877319335</v>
      </c>
      <c r="U38" s="25">
        <v>1.69685129232072</v>
      </c>
      <c r="V38" s="25">
        <v>4.87299266133601</v>
      </c>
      <c r="W38" s="25">
        <v>2.20748559708461</v>
      </c>
      <c r="X38" s="25">
        <v>0.814190126171577</v>
      </c>
      <c r="Y38" s="25">
        <v>0.0589306040912936</v>
      </c>
      <c r="Z38" s="25">
        <v>0.00590699564851087</v>
      </c>
      <c r="AA38" s="25">
        <v>0.0768569817811685</v>
      </c>
      <c r="AB38" s="25">
        <v>0.875811382636893</v>
      </c>
      <c r="AC38" s="25">
        <v>0.0586421009710951</v>
      </c>
      <c r="AD38" s="25">
        <v>0.0765411084634035</v>
      </c>
      <c r="AE38" s="25">
        <v>0.877577725643395</v>
      </c>
      <c r="AF38" s="25">
        <v>0.0719169429552171</v>
      </c>
      <c r="AG38" s="25">
        <v>0.0954283981946228</v>
      </c>
      <c r="AH38" s="25">
        <v>0.812151247945782</v>
      </c>
      <c r="AI38" s="25">
        <v>10.0</v>
      </c>
      <c r="AJ38" s="25">
        <v>1.69685129232072</v>
      </c>
      <c r="AK38" s="25">
        <v>4.87299266133601</v>
      </c>
      <c r="AL38" s="25">
        <v>2.20748559708461</v>
      </c>
      <c r="AM38" s="25">
        <v>0.81409631217615</v>
      </c>
      <c r="AN38" s="25">
        <v>1.36750121570096</v>
      </c>
      <c r="AO38" s="25">
        <v>3.18585418249656</v>
      </c>
      <c r="AP38" s="25">
        <v>1.78489612652853</v>
      </c>
      <c r="AQ38" s="25">
        <v>0.877577725643395</v>
      </c>
      <c r="AR38" s="25">
        <v>1.67706315585848</v>
      </c>
      <c r="AS38" s="25">
        <v>4.9521257877663</v>
      </c>
      <c r="AT38" s="25">
        <v>2.22533723012183</v>
      </c>
      <c r="AU38" s="25">
        <v>0.812151247945782</v>
      </c>
      <c r="AV38" s="26">
        <f t="shared" ref="AV38:AW38" si="79">(AC38-AC$289)/AC$290</f>
        <v>0.02561621066</v>
      </c>
      <c r="AW38" s="27">
        <f t="shared" si="79"/>
        <v>0.06329018359</v>
      </c>
      <c r="AX38" s="27">
        <f t="shared" si="5"/>
        <v>-0.05799972608</v>
      </c>
      <c r="AY38" s="28">
        <f t="shared" si="6"/>
        <v>-0.02688900631</v>
      </c>
      <c r="AZ38" s="29">
        <f t="shared" si="7"/>
        <v>0.01657987164</v>
      </c>
      <c r="BA38" s="28">
        <f t="shared" si="8"/>
        <v>0.03110397925</v>
      </c>
      <c r="BB38" s="29">
        <f t="shared" si="9"/>
        <v>0.005409665327</v>
      </c>
      <c r="BC38" s="27">
        <f t="shared" si="10"/>
        <v>-0.01302223066</v>
      </c>
      <c r="BD38" s="28">
        <f t="shared" si="11"/>
        <v>0.02370088476</v>
      </c>
      <c r="BE38" s="30">
        <f t="shared" ref="BE38:BF38" si="80">((S38-S$289)/S$290)</f>
        <v>-0.7774871041</v>
      </c>
      <c r="BF38" s="30">
        <f t="shared" si="80"/>
        <v>-0.8654126693</v>
      </c>
    </row>
    <row r="39">
      <c r="A39" s="21" t="s">
        <v>67</v>
      </c>
      <c r="B39" s="22">
        <f t="shared" si="3"/>
        <v>0.1136068126</v>
      </c>
      <c r="C39" s="21" t="s">
        <v>68</v>
      </c>
      <c r="D39" s="21" t="s">
        <v>69</v>
      </c>
      <c r="E39" s="23">
        <v>58.0</v>
      </c>
      <c r="F39" s="24" t="s">
        <v>70</v>
      </c>
      <c r="G39" s="21" t="s">
        <v>82</v>
      </c>
      <c r="H39" s="24" t="s">
        <v>83</v>
      </c>
      <c r="I39" s="24" t="s">
        <v>95</v>
      </c>
      <c r="J39" s="24" t="s">
        <v>90</v>
      </c>
      <c r="K39" s="24" t="s">
        <v>75</v>
      </c>
      <c r="L39" s="21" t="s">
        <v>92</v>
      </c>
      <c r="M39" s="24" t="s">
        <v>85</v>
      </c>
      <c r="N39" s="21" t="s">
        <v>86</v>
      </c>
      <c r="O39" s="21" t="s">
        <v>79</v>
      </c>
      <c r="P39" s="21" t="s">
        <v>80</v>
      </c>
      <c r="Q39" s="24" t="s">
        <v>81</v>
      </c>
      <c r="R39" s="24" t="s">
        <v>93</v>
      </c>
      <c r="S39" s="25">
        <v>209.571063756942</v>
      </c>
      <c r="T39" s="25">
        <v>177.617578983306</v>
      </c>
      <c r="U39" s="25">
        <v>1.64201774666729</v>
      </c>
      <c r="V39" s="25">
        <v>4.44317986024515</v>
      </c>
      <c r="W39" s="25">
        <v>2.10788516296432</v>
      </c>
      <c r="X39" s="25">
        <v>0.830551526064349</v>
      </c>
      <c r="Y39" s="25">
        <v>0.0676701906065696</v>
      </c>
      <c r="Z39" s="25">
        <v>0.00724913861997447</v>
      </c>
      <c r="AA39" s="25">
        <v>0.0851418734817039</v>
      </c>
      <c r="AB39" s="25">
        <v>0.848267436140966</v>
      </c>
      <c r="AC39" s="25">
        <v>0.0673586774651559</v>
      </c>
      <c r="AD39" s="25">
        <v>0.084886683526729</v>
      </c>
      <c r="AE39" s="25">
        <v>0.849934242450419</v>
      </c>
      <c r="AF39" s="25">
        <v>0.0767579567444968</v>
      </c>
      <c r="AG39" s="25">
        <v>0.0974961182367537</v>
      </c>
      <c r="AH39" s="25">
        <v>0.80349460402005</v>
      </c>
      <c r="AI39" s="25">
        <v>10.0</v>
      </c>
      <c r="AJ39" s="25">
        <v>1.64201774666729</v>
      </c>
      <c r="AK39" s="25">
        <v>4.44317986024515</v>
      </c>
      <c r="AL39" s="25">
        <v>2.10788516296432</v>
      </c>
      <c r="AM39" s="25">
        <v>0.830514696473264</v>
      </c>
      <c r="AN39" s="25">
        <v>1.57076693699997</v>
      </c>
      <c r="AO39" s="25">
        <v>3.91846103008132</v>
      </c>
      <c r="AP39" s="25">
        <v>1.97951030057469</v>
      </c>
      <c r="AQ39" s="25">
        <v>0.849934242450419</v>
      </c>
      <c r="AR39" s="25">
        <v>1.78995290797238</v>
      </c>
      <c r="AS39" s="25">
        <v>5.16905376022907</v>
      </c>
      <c r="AT39" s="25">
        <v>2.27355531277096</v>
      </c>
      <c r="AU39" s="25">
        <v>0.80349460402005</v>
      </c>
      <c r="AV39" s="26">
        <f t="shared" ref="AV39:AW39" si="81">(AC39-AC$289)/AC$290</f>
        <v>0.2045209796</v>
      </c>
      <c r="AW39" s="27">
        <f t="shared" si="81"/>
        <v>0.1981492426</v>
      </c>
      <c r="AX39" s="27">
        <f t="shared" si="5"/>
        <v>-0.01018684447</v>
      </c>
      <c r="AY39" s="28">
        <f t="shared" si="6"/>
        <v>-0.01084091247</v>
      </c>
      <c r="AZ39" s="29">
        <f t="shared" si="7"/>
        <v>-0.01156574599</v>
      </c>
      <c r="BA39" s="28">
        <f t="shared" si="8"/>
        <v>-0.008389484297</v>
      </c>
      <c r="BB39" s="29">
        <f t="shared" si="9"/>
        <v>0.03563089518</v>
      </c>
      <c r="BC39" s="27">
        <f t="shared" si="10"/>
        <v>-0.0000320416245</v>
      </c>
      <c r="BD39" s="28">
        <f t="shared" si="11"/>
        <v>0.002227054723</v>
      </c>
      <c r="BE39" s="30">
        <f t="shared" ref="BE39:BF39" si="82">((S39-S$289)/S$290)</f>
        <v>-0.7824809909</v>
      </c>
      <c r="BF39" s="30">
        <f t="shared" si="82"/>
        <v>-0.8667070913</v>
      </c>
    </row>
    <row r="40">
      <c r="A40" s="21" t="s">
        <v>67</v>
      </c>
      <c r="B40" s="22">
        <f t="shared" si="3"/>
        <v>0.1383032557</v>
      </c>
      <c r="C40" s="21" t="s">
        <v>68</v>
      </c>
      <c r="D40" s="21" t="s">
        <v>69</v>
      </c>
      <c r="E40" s="23">
        <v>109.0</v>
      </c>
      <c r="F40" s="24" t="s">
        <v>70</v>
      </c>
      <c r="G40" s="21" t="s">
        <v>71</v>
      </c>
      <c r="H40" s="24" t="s">
        <v>72</v>
      </c>
      <c r="I40" s="24" t="s">
        <v>95</v>
      </c>
      <c r="J40" s="24" t="s">
        <v>74</v>
      </c>
      <c r="K40" s="24" t="s">
        <v>75</v>
      </c>
      <c r="L40" s="21" t="s">
        <v>92</v>
      </c>
      <c r="M40" s="24" t="s">
        <v>85</v>
      </c>
      <c r="N40" s="21" t="s">
        <v>86</v>
      </c>
      <c r="O40" s="21" t="s">
        <v>91</v>
      </c>
      <c r="P40" s="21" t="s">
        <v>80</v>
      </c>
      <c r="Q40" s="24" t="s">
        <v>93</v>
      </c>
      <c r="R40" s="24" t="s">
        <v>96</v>
      </c>
      <c r="S40" s="25">
        <v>224.838010549545</v>
      </c>
      <c r="T40" s="25">
        <v>187.767068862915</v>
      </c>
      <c r="U40" s="25">
        <v>1.58335285979698</v>
      </c>
      <c r="V40" s="25">
        <v>4.20883896558871</v>
      </c>
      <c r="W40" s="25">
        <v>2.0515455065849</v>
      </c>
      <c r="X40" s="25">
        <v>0.839510799044827</v>
      </c>
      <c r="Y40" s="25">
        <v>0.0602533569540972</v>
      </c>
      <c r="Z40" s="25">
        <v>0.00588210425465215</v>
      </c>
      <c r="AA40" s="25">
        <v>0.076694877629814</v>
      </c>
      <c r="AB40" s="25">
        <v>0.876334699052122</v>
      </c>
      <c r="AC40" s="25">
        <v>0.0602732200966799</v>
      </c>
      <c r="AD40" s="25">
        <v>0.0765851338340853</v>
      </c>
      <c r="AE40" s="25">
        <v>0.877436853995404</v>
      </c>
      <c r="AF40" s="25">
        <v>0.0794544146995565</v>
      </c>
      <c r="AG40" s="25">
        <v>0.101220691198182</v>
      </c>
      <c r="AH40" s="25">
        <v>0.788655162744727</v>
      </c>
      <c r="AI40" s="25">
        <v>10.0</v>
      </c>
      <c r="AJ40" s="25">
        <v>1.58335285979698</v>
      </c>
      <c r="AK40" s="25">
        <v>4.20883896558871</v>
      </c>
      <c r="AL40" s="25">
        <v>2.0515455065849</v>
      </c>
      <c r="AM40" s="25">
        <v>0.839433641801312</v>
      </c>
      <c r="AN40" s="25">
        <v>1.40553800753231</v>
      </c>
      <c r="AO40" s="25">
        <v>3.18952015367137</v>
      </c>
      <c r="AP40" s="25">
        <v>1.78592277371429</v>
      </c>
      <c r="AQ40" s="25">
        <v>0.877436853995404</v>
      </c>
      <c r="AR40" s="25">
        <v>1.85283280945218</v>
      </c>
      <c r="AS40" s="25">
        <v>5.57153671364839</v>
      </c>
      <c r="AT40" s="25">
        <v>2.36041028502427</v>
      </c>
      <c r="AU40" s="25">
        <v>0.788655162744727</v>
      </c>
      <c r="AV40" s="26">
        <f t="shared" ref="AV40:AW40" si="83">(AC40-AC$289)/AC$290</f>
        <v>0.05909437613</v>
      </c>
      <c r="AW40" s="27">
        <f t="shared" si="83"/>
        <v>0.06400160491</v>
      </c>
      <c r="AX40" s="27">
        <f t="shared" si="5"/>
        <v>0.01644506169</v>
      </c>
      <c r="AY40" s="28">
        <f t="shared" si="6"/>
        <v>0.01806643244</v>
      </c>
      <c r="AZ40" s="29">
        <f t="shared" si="7"/>
        <v>-0.04167796024</v>
      </c>
      <c r="BA40" s="28">
        <f t="shared" si="8"/>
        <v>-0.03072922795</v>
      </c>
      <c r="BB40" s="29">
        <f t="shared" si="9"/>
        <v>0.005563673215</v>
      </c>
      <c r="BC40" s="27">
        <f t="shared" si="10"/>
        <v>0.02223607394</v>
      </c>
      <c r="BD40" s="28">
        <f t="shared" si="11"/>
        <v>-0.009438156213</v>
      </c>
      <c r="BE40" s="30">
        <f t="shared" ref="BE40:BF40" si="84">((S40-S$289)/S$290)</f>
        <v>-0.7784868395</v>
      </c>
      <c r="BF40" s="30">
        <f t="shared" si="84"/>
        <v>-0.846410851</v>
      </c>
    </row>
    <row r="41">
      <c r="A41" s="21" t="s">
        <v>88</v>
      </c>
      <c r="B41" s="22">
        <f t="shared" si="3"/>
        <v>0.1319693833</v>
      </c>
      <c r="C41" s="21" t="s">
        <v>68</v>
      </c>
      <c r="D41" s="21" t="s">
        <v>69</v>
      </c>
      <c r="E41" s="23">
        <v>153.0</v>
      </c>
      <c r="F41" s="24" t="s">
        <v>97</v>
      </c>
      <c r="G41" s="21" t="s">
        <v>82</v>
      </c>
      <c r="H41" s="24" t="s">
        <v>98</v>
      </c>
      <c r="I41" s="24" t="s">
        <v>73</v>
      </c>
      <c r="J41" s="24" t="s">
        <v>74</v>
      </c>
      <c r="K41" s="24" t="s">
        <v>75</v>
      </c>
      <c r="L41" s="21" t="s">
        <v>84</v>
      </c>
      <c r="M41" s="24" t="s">
        <v>77</v>
      </c>
      <c r="N41" s="21" t="s">
        <v>86</v>
      </c>
      <c r="O41" s="21" t="s">
        <v>91</v>
      </c>
      <c r="P41" s="21" t="s">
        <v>80</v>
      </c>
      <c r="Q41" s="24" t="s">
        <v>87</v>
      </c>
      <c r="S41" s="25">
        <v>185.363415718078</v>
      </c>
      <c r="T41" s="25">
        <v>420.910006046295</v>
      </c>
      <c r="U41" s="25">
        <v>1.57481684794544</v>
      </c>
      <c r="V41" s="25">
        <v>4.21107390141519</v>
      </c>
      <c r="W41" s="25">
        <v>2.05209012994439</v>
      </c>
      <c r="X41" s="25">
        <v>0.844010004239985</v>
      </c>
      <c r="Y41" s="25">
        <v>0.0625596054774539</v>
      </c>
      <c r="Z41" s="25">
        <v>0.00545078652675834</v>
      </c>
      <c r="AA41" s="25">
        <v>0.0738294421403707</v>
      </c>
      <c r="AB41" s="25">
        <v>0.877880128237423</v>
      </c>
      <c r="AC41" s="25">
        <v>0.0626707543646317</v>
      </c>
      <c r="AD41" s="25">
        <v>0.0738784456149956</v>
      </c>
      <c r="AE41" s="25">
        <v>0.878292480912544</v>
      </c>
      <c r="AF41" s="25">
        <v>0.0608054367050086</v>
      </c>
      <c r="AG41" s="25">
        <v>0.0807723240997957</v>
      </c>
      <c r="AH41" s="25">
        <v>0.855223333075305</v>
      </c>
      <c r="AI41" s="25">
        <v>10.0</v>
      </c>
      <c r="AJ41" s="25">
        <v>1.57481684794545</v>
      </c>
      <c r="AK41" s="25">
        <v>4.21107390141519</v>
      </c>
      <c r="AL41" s="25">
        <v>2.05209012994439</v>
      </c>
      <c r="AM41" s="25">
        <v>0.843979776960959</v>
      </c>
      <c r="AN41" s="25">
        <v>1.53543348193342</v>
      </c>
      <c r="AO41" s="25">
        <v>3.27617934207433</v>
      </c>
      <c r="AP41" s="25">
        <v>1.81002191756739</v>
      </c>
      <c r="AQ41" s="25">
        <v>0.878292480912544</v>
      </c>
      <c r="AR41" s="25">
        <v>1.48973319927267</v>
      </c>
      <c r="AS41" s="25">
        <v>3.91613204637458</v>
      </c>
      <c r="AT41" s="25">
        <v>1.97892194044499</v>
      </c>
      <c r="AU41" s="25">
        <v>0.855223333075305</v>
      </c>
      <c r="AV41" s="26">
        <f t="shared" ref="AV41:AW41" si="85">(AC41-AC$289)/AC$290</f>
        <v>0.1083029518</v>
      </c>
      <c r="AW41" s="27">
        <f t="shared" si="85"/>
        <v>0.02026328568</v>
      </c>
      <c r="AX41" s="27">
        <f t="shared" si="5"/>
        <v>-0.1373407191</v>
      </c>
      <c r="AY41" s="28">
        <f t="shared" si="6"/>
        <v>-0.1089017177</v>
      </c>
      <c r="AZ41" s="29">
        <f t="shared" si="7"/>
        <v>-0.04605942641</v>
      </c>
      <c r="BA41" s="28">
        <f t="shared" si="8"/>
        <v>-0.03051327444</v>
      </c>
      <c r="BB41" s="29">
        <f t="shared" si="9"/>
        <v>0.00462825934</v>
      </c>
      <c r="BC41" s="27">
        <f t="shared" si="10"/>
        <v>-0.07765634668</v>
      </c>
      <c r="BD41" s="28">
        <f t="shared" si="11"/>
        <v>-0.01538410875</v>
      </c>
      <c r="BE41" s="30">
        <f t="shared" ref="BE41:BF41" si="86">((S41-S$289)/S$290)</f>
        <v>-0.7888142161</v>
      </c>
      <c r="BF41" s="30">
        <f t="shared" si="86"/>
        <v>-0.3801879044</v>
      </c>
    </row>
    <row r="42">
      <c r="A42" s="21" t="s">
        <v>67</v>
      </c>
      <c r="B42" s="22">
        <f t="shared" si="3"/>
        <v>0.03088754823</v>
      </c>
      <c r="C42" s="21" t="s">
        <v>68</v>
      </c>
      <c r="D42" s="21" t="s">
        <v>69</v>
      </c>
      <c r="E42" s="23">
        <v>127.0</v>
      </c>
      <c r="F42" s="24" t="s">
        <v>70</v>
      </c>
      <c r="G42" s="21" t="s">
        <v>71</v>
      </c>
      <c r="H42" s="24" t="s">
        <v>72</v>
      </c>
      <c r="I42" s="24" t="s">
        <v>73</v>
      </c>
      <c r="J42" s="24" t="s">
        <v>74</v>
      </c>
      <c r="K42" s="24" t="s">
        <v>101</v>
      </c>
      <c r="L42" s="21" t="s">
        <v>84</v>
      </c>
      <c r="M42" s="24" t="s">
        <v>85</v>
      </c>
      <c r="N42" s="21" t="s">
        <v>86</v>
      </c>
      <c r="O42" s="21" t="s">
        <v>102</v>
      </c>
      <c r="P42" s="21" t="s">
        <v>80</v>
      </c>
      <c r="Q42" s="24" t="s">
        <v>103</v>
      </c>
      <c r="R42" s="24" t="s">
        <v>103</v>
      </c>
      <c r="S42" s="25">
        <v>155.007404565811</v>
      </c>
      <c r="T42" s="25">
        <v>171.083165645599</v>
      </c>
      <c r="U42" s="25">
        <v>1.84943554134473</v>
      </c>
      <c r="V42" s="25">
        <v>5.64184025840698</v>
      </c>
      <c r="W42" s="25">
        <v>2.3752558300964</v>
      </c>
      <c r="X42" s="25">
        <v>0.783223243633152</v>
      </c>
      <c r="Y42" s="25">
        <v>0.0774270453076815</v>
      </c>
      <c r="Z42" s="25">
        <v>0.00976909590490385</v>
      </c>
      <c r="AA42" s="25">
        <v>0.098838736864166</v>
      </c>
      <c r="AB42" s="25">
        <v>0.793640771281712</v>
      </c>
      <c r="AC42" s="25">
        <v>0.077365809149741</v>
      </c>
      <c r="AD42" s="25">
        <v>0.0986140662646407</v>
      </c>
      <c r="AE42" s="25">
        <v>0.795773321760885</v>
      </c>
      <c r="AF42" s="25">
        <v>0.082382959254746</v>
      </c>
      <c r="AG42" s="25">
        <v>0.105941651629724</v>
      </c>
      <c r="AH42" s="25">
        <v>0.766634471220007</v>
      </c>
      <c r="AI42" s="25">
        <v>10.0</v>
      </c>
      <c r="AJ42" s="25">
        <v>1.84943554134473</v>
      </c>
      <c r="AK42" s="25">
        <v>5.64184025840698</v>
      </c>
      <c r="AL42" s="25">
        <v>2.3752558300964</v>
      </c>
      <c r="AM42" s="25">
        <v>0.783168920041908</v>
      </c>
      <c r="AN42" s="25">
        <v>1.80412768836689</v>
      </c>
      <c r="AO42" s="25">
        <v>5.28827624306092</v>
      </c>
      <c r="AP42" s="25">
        <v>2.29962523969905</v>
      </c>
      <c r="AQ42" s="25">
        <v>0.795773321760885</v>
      </c>
      <c r="AR42" s="25">
        <v>1.92112484150999</v>
      </c>
      <c r="AS42" s="25">
        <v>6.10337252054803</v>
      </c>
      <c r="AT42" s="25">
        <v>2.47050045953204</v>
      </c>
      <c r="AU42" s="25">
        <v>0.766634471220007</v>
      </c>
      <c r="AV42" s="26">
        <f t="shared" ref="AV42:AW42" si="87">(AC42-AC$289)/AC$290</f>
        <v>0.4099139549</v>
      </c>
      <c r="AW42" s="27">
        <f t="shared" si="87"/>
        <v>0.4199748094</v>
      </c>
      <c r="AX42" s="27">
        <f t="shared" si="5"/>
        <v>0.04536920035</v>
      </c>
      <c r="AY42" s="28">
        <f t="shared" si="6"/>
        <v>0.05470699039</v>
      </c>
      <c r="AZ42" s="29">
        <f t="shared" si="7"/>
        <v>0.09490013853</v>
      </c>
      <c r="BA42" s="28">
        <f t="shared" si="8"/>
        <v>0.09762806261</v>
      </c>
      <c r="BB42" s="29">
        <f t="shared" si="9"/>
        <v>0.09484230577</v>
      </c>
      <c r="BC42" s="27">
        <f t="shared" si="10"/>
        <v>0.05528039781</v>
      </c>
      <c r="BD42" s="28">
        <f t="shared" si="11"/>
        <v>0.06415124516</v>
      </c>
      <c r="BE42" s="30">
        <f t="shared" ref="BE42:BF42" si="88">((S42-S$289)/S$290)</f>
        <v>-0.7967559813</v>
      </c>
      <c r="BF42" s="30">
        <f t="shared" si="88"/>
        <v>-0.8797741542</v>
      </c>
    </row>
    <row r="43">
      <c r="A43" s="21" t="s">
        <v>67</v>
      </c>
      <c r="B43" s="22">
        <f t="shared" si="3"/>
        <v>0.04892897971</v>
      </c>
      <c r="C43" s="21" t="s">
        <v>68</v>
      </c>
      <c r="D43" s="21" t="s">
        <v>69</v>
      </c>
      <c r="E43" s="23">
        <v>116.0</v>
      </c>
      <c r="F43" s="24" t="s">
        <v>70</v>
      </c>
      <c r="G43" s="21" t="s">
        <v>71</v>
      </c>
      <c r="H43" s="24" t="s">
        <v>72</v>
      </c>
      <c r="I43" s="24" t="s">
        <v>73</v>
      </c>
      <c r="J43" s="24" t="s">
        <v>74</v>
      </c>
      <c r="K43" s="24" t="s">
        <v>101</v>
      </c>
      <c r="L43" s="21" t="s">
        <v>76</v>
      </c>
      <c r="M43" s="24" t="s">
        <v>77</v>
      </c>
      <c r="N43" s="21" t="s">
        <v>86</v>
      </c>
      <c r="O43" s="21" t="s">
        <v>91</v>
      </c>
      <c r="P43" s="21" t="s">
        <v>80</v>
      </c>
      <c r="Q43" s="24" t="s">
        <v>81</v>
      </c>
      <c r="S43" s="25">
        <v>165.390948534011</v>
      </c>
      <c r="T43" s="25">
        <v>164.256924629211</v>
      </c>
      <c r="U43" s="25">
        <v>1.90954990345062</v>
      </c>
      <c r="V43" s="25">
        <v>6.0917824938247</v>
      </c>
      <c r="W43" s="25">
        <v>2.46815366090215</v>
      </c>
      <c r="X43" s="25">
        <v>0.765943891098874</v>
      </c>
      <c r="Y43" s="25">
        <v>0.0704750761475194</v>
      </c>
      <c r="Z43" s="25">
        <v>0.00797886303038801</v>
      </c>
      <c r="AA43" s="25">
        <v>0.0893244816967219</v>
      </c>
      <c r="AB43" s="25">
        <v>0.831457072688454</v>
      </c>
      <c r="AC43" s="25">
        <v>0.0700982478529996</v>
      </c>
      <c r="AD43" s="25">
        <v>0.0889432136051713</v>
      </c>
      <c r="AE43" s="25">
        <v>0.83386529161279</v>
      </c>
      <c r="AF43" s="25">
        <v>0.0837016968861374</v>
      </c>
      <c r="AG43" s="25">
        <v>0.10982121224698</v>
      </c>
      <c r="AH43" s="25">
        <v>0.749229934534197</v>
      </c>
      <c r="AI43" s="25">
        <v>10.0</v>
      </c>
      <c r="AJ43" s="25">
        <v>1.90954990345062</v>
      </c>
      <c r="AK43" s="25">
        <v>6.0917824938247</v>
      </c>
      <c r="AL43" s="25">
        <v>2.46815366090215</v>
      </c>
      <c r="AM43" s="25">
        <v>0.765876431003601</v>
      </c>
      <c r="AN43" s="25">
        <v>1.63465219646094</v>
      </c>
      <c r="AO43" s="25">
        <v>4.30191706140999</v>
      </c>
      <c r="AP43" s="25">
        <v>2.07410632837615</v>
      </c>
      <c r="AQ43" s="25">
        <v>0.83386529161279</v>
      </c>
      <c r="AR43" s="25">
        <v>1.95187707044202</v>
      </c>
      <c r="AS43" s="25">
        <v>6.55856558824908</v>
      </c>
      <c r="AT43" s="25">
        <v>2.560969657815</v>
      </c>
      <c r="AU43" s="25">
        <v>0.749229934534197</v>
      </c>
      <c r="AV43" s="26">
        <f t="shared" ref="AV43:AW43" si="89">(AC43-AC$289)/AC$290</f>
        <v>0.2607497303</v>
      </c>
      <c r="AW43" s="27">
        <f t="shared" si="89"/>
        <v>0.2637001274</v>
      </c>
      <c r="AX43" s="27">
        <f t="shared" si="5"/>
        <v>0.05839387844</v>
      </c>
      <c r="AY43" s="28">
        <f t="shared" si="6"/>
        <v>0.08481723337</v>
      </c>
      <c r="AZ43" s="29">
        <f t="shared" si="7"/>
        <v>0.1257563567</v>
      </c>
      <c r="BA43" s="28">
        <f t="shared" si="8"/>
        <v>0.1344638167</v>
      </c>
      <c r="BB43" s="29">
        <f t="shared" si="9"/>
        <v>0.05319827095</v>
      </c>
      <c r="BC43" s="27">
        <f t="shared" si="10"/>
        <v>0.08139770418</v>
      </c>
      <c r="BD43" s="28">
        <f t="shared" si="11"/>
        <v>0.08676832878</v>
      </c>
      <c r="BE43" s="30">
        <f t="shared" ref="BE43:BF43" si="90">((S43-S$289)/S$290)</f>
        <v>-0.7940394298</v>
      </c>
      <c r="BF43" s="30">
        <f t="shared" si="90"/>
        <v>-0.8934247938</v>
      </c>
    </row>
    <row r="44">
      <c r="A44" s="21" t="s">
        <v>67</v>
      </c>
      <c r="B44" s="22">
        <f t="shared" si="3"/>
        <v>0.03386351601</v>
      </c>
      <c r="C44" s="21" t="s">
        <v>68</v>
      </c>
      <c r="D44" s="21" t="s">
        <v>69</v>
      </c>
      <c r="E44" s="23">
        <v>124.0</v>
      </c>
      <c r="F44" s="24" t="s">
        <v>70</v>
      </c>
      <c r="G44" s="21" t="s">
        <v>71</v>
      </c>
      <c r="H44" s="24" t="s">
        <v>72</v>
      </c>
      <c r="I44" s="24" t="s">
        <v>95</v>
      </c>
      <c r="J44" s="24" t="s">
        <v>99</v>
      </c>
      <c r="K44" s="24" t="s">
        <v>75</v>
      </c>
      <c r="L44" s="21" t="s">
        <v>76</v>
      </c>
      <c r="M44" s="24" t="s">
        <v>85</v>
      </c>
      <c r="N44" s="21" t="s">
        <v>78</v>
      </c>
      <c r="O44" s="21" t="s">
        <v>79</v>
      </c>
      <c r="P44" s="21" t="s">
        <v>80</v>
      </c>
      <c r="Q44" s="24" t="s">
        <v>81</v>
      </c>
      <c r="R44" s="24" t="s">
        <v>89</v>
      </c>
      <c r="S44" s="25">
        <v>133.625536441802</v>
      </c>
      <c r="T44" s="25">
        <v>225.558386325836</v>
      </c>
      <c r="U44" s="25">
        <v>2.00713522201189</v>
      </c>
      <c r="V44" s="25">
        <v>6.60779076186147</v>
      </c>
      <c r="W44" s="25">
        <v>2.57056234350802</v>
      </c>
      <c r="X44" s="25">
        <v>0.748049623891486</v>
      </c>
      <c r="Y44" s="25">
        <v>0.0638361157125968</v>
      </c>
      <c r="Z44" s="25">
        <v>0.00669124047437909</v>
      </c>
      <c r="AA44" s="25">
        <v>0.0818000028996276</v>
      </c>
      <c r="AB44" s="25">
        <v>0.859323427271072</v>
      </c>
      <c r="AC44" s="25">
        <v>0.0638892523405912</v>
      </c>
      <c r="AD44" s="25">
        <v>0.0817044202262814</v>
      </c>
      <c r="AE44" s="25">
        <v>0.86050390381094</v>
      </c>
      <c r="AF44" s="25">
        <v>0.093317573812379</v>
      </c>
      <c r="AG44" s="25">
        <v>0.117843268417109</v>
      </c>
      <c r="AH44" s="25">
        <v>0.713540912177564</v>
      </c>
      <c r="AI44" s="25">
        <v>10.0</v>
      </c>
      <c r="AJ44" s="25">
        <v>2.00713522201189</v>
      </c>
      <c r="AK44" s="25">
        <v>6.60779076186146</v>
      </c>
      <c r="AL44" s="25">
        <v>2.57056234350802</v>
      </c>
      <c r="AM44" s="25">
        <v>0.747914114309046</v>
      </c>
      <c r="AN44" s="25">
        <v>1.48986187055352</v>
      </c>
      <c r="AO44" s="25">
        <v>3.63017452356195</v>
      </c>
      <c r="AP44" s="25">
        <v>1.90530168833231</v>
      </c>
      <c r="AQ44" s="25">
        <v>0.86050390381094</v>
      </c>
      <c r="AR44" s="25">
        <v>2.17611397820813</v>
      </c>
      <c r="AS44" s="25">
        <v>7.55172137388522</v>
      </c>
      <c r="AT44" s="25">
        <v>2.74803955100453</v>
      </c>
      <c r="AU44" s="25">
        <v>0.713540912177564</v>
      </c>
      <c r="AV44" s="26">
        <f t="shared" ref="AV44:AW44" si="91">(AC44-AC$289)/AC$290</f>
        <v>0.1333122085</v>
      </c>
      <c r="AW44" s="27">
        <f t="shared" si="91"/>
        <v>0.1467259397</v>
      </c>
      <c r="AX44" s="27">
        <f t="shared" si="5"/>
        <v>0.1533662964</v>
      </c>
      <c r="AY44" s="28">
        <f t="shared" si="6"/>
        <v>0.1470784233</v>
      </c>
      <c r="AZ44" s="29">
        <f t="shared" si="7"/>
        <v>0.1758461153</v>
      </c>
      <c r="BA44" s="28">
        <f t="shared" si="8"/>
        <v>0.1750708041</v>
      </c>
      <c r="BB44" s="29">
        <f t="shared" si="9"/>
        <v>0.02407561601</v>
      </c>
      <c r="BC44" s="27">
        <f t="shared" si="10"/>
        <v>0.1349527713</v>
      </c>
      <c r="BD44" s="28">
        <f t="shared" si="11"/>
        <v>0.1102614892</v>
      </c>
      <c r="BE44" s="30">
        <f t="shared" ref="BE44:BF44" si="92">((S44-S$289)/S$290)</f>
        <v>-0.8023499235</v>
      </c>
      <c r="BF44" s="30">
        <f t="shared" si="92"/>
        <v>-0.7708384163</v>
      </c>
    </row>
    <row r="45">
      <c r="A45" s="21" t="s">
        <v>88</v>
      </c>
      <c r="B45" s="22">
        <f t="shared" si="3"/>
        <v>-0.08154263287</v>
      </c>
      <c r="C45" s="21" t="s">
        <v>68</v>
      </c>
      <c r="D45" s="21" t="s">
        <v>69</v>
      </c>
      <c r="E45" s="23">
        <v>81.0</v>
      </c>
      <c r="F45" s="24" t="s">
        <v>70</v>
      </c>
      <c r="G45" s="21" t="s">
        <v>71</v>
      </c>
      <c r="H45" s="24" t="s">
        <v>72</v>
      </c>
      <c r="I45" s="24" t="s">
        <v>73</v>
      </c>
      <c r="J45" s="24" t="s">
        <v>74</v>
      </c>
      <c r="K45" s="24" t="s">
        <v>75</v>
      </c>
      <c r="L45" s="21" t="s">
        <v>76</v>
      </c>
      <c r="M45" s="24" t="s">
        <v>85</v>
      </c>
      <c r="N45" s="21" t="s">
        <v>86</v>
      </c>
      <c r="O45" s="21" t="s">
        <v>79</v>
      </c>
      <c r="P45" s="21" t="s">
        <v>80</v>
      </c>
      <c r="Q45" s="24" t="s">
        <v>81</v>
      </c>
      <c r="R45" s="24" t="s">
        <v>103</v>
      </c>
      <c r="S45" s="25">
        <v>91.8963055610656</v>
      </c>
      <c r="T45" s="25">
        <v>171.667551755905</v>
      </c>
      <c r="U45" s="25">
        <v>2.13746761340899</v>
      </c>
      <c r="V45" s="25">
        <v>7.73859775025685</v>
      </c>
      <c r="W45" s="25">
        <v>2.78183352310249</v>
      </c>
      <c r="X45" s="25">
        <v>0.702739252151591</v>
      </c>
      <c r="Y45" s="25">
        <v>0.103244482173766</v>
      </c>
      <c r="Z45" s="25">
        <v>0.0151653968659758</v>
      </c>
      <c r="AA45" s="25">
        <v>0.123147865860419</v>
      </c>
      <c r="AB45" s="25">
        <v>0.679651051547302</v>
      </c>
      <c r="AC45" s="25">
        <v>0.103735684498482</v>
      </c>
      <c r="AD45" s="25">
        <v>0.123477057590255</v>
      </c>
      <c r="AE45" s="25">
        <v>0.6798103543912</v>
      </c>
      <c r="AF45" s="25">
        <v>0.0735781114670964</v>
      </c>
      <c r="AG45" s="25">
        <v>0.0956070066400245</v>
      </c>
      <c r="AH45" s="25">
        <v>0.809943525529741</v>
      </c>
      <c r="AI45" s="25">
        <v>10.0</v>
      </c>
      <c r="AJ45" s="25">
        <v>2.13746761340899</v>
      </c>
      <c r="AK45" s="25">
        <v>7.73859775025685</v>
      </c>
      <c r="AL45" s="25">
        <v>2.78183352310249</v>
      </c>
      <c r="AM45" s="25">
        <v>0.702584895939035</v>
      </c>
      <c r="AN45" s="25">
        <v>2.41905853156877</v>
      </c>
      <c r="AO45" s="25">
        <v>8.29103871612994</v>
      </c>
      <c r="AP45" s="25">
        <v>2.87941638463941</v>
      </c>
      <c r="AQ45" s="25">
        <v>0.6798103543912</v>
      </c>
      <c r="AR45" s="25">
        <v>1.71580068268411</v>
      </c>
      <c r="AS45" s="25">
        <v>4.97068041581925</v>
      </c>
      <c r="AT45" s="25">
        <v>2.22950227984168</v>
      </c>
      <c r="AU45" s="25">
        <v>0.809943525529741</v>
      </c>
      <c r="AV45" s="26">
        <f t="shared" ref="AV45:AW45" si="93">(AC45-AC$289)/AC$290</f>
        <v>0.9511466807</v>
      </c>
      <c r="AW45" s="27">
        <f t="shared" si="93"/>
        <v>0.8217445603</v>
      </c>
      <c r="AX45" s="27">
        <f t="shared" si="5"/>
        <v>-0.04159298632</v>
      </c>
      <c r="AY45" s="28">
        <f t="shared" si="6"/>
        <v>-0.02550278137</v>
      </c>
      <c r="AZ45" s="29">
        <f t="shared" si="7"/>
        <v>0.2427446828</v>
      </c>
      <c r="BA45" s="28">
        <f t="shared" si="8"/>
        <v>0.2588438388</v>
      </c>
      <c r="BB45" s="29">
        <f t="shared" si="9"/>
        <v>0.2216187857</v>
      </c>
      <c r="BC45" s="27">
        <f t="shared" si="10"/>
        <v>-0.009709314963</v>
      </c>
      <c r="BD45" s="28">
        <f t="shared" si="11"/>
        <v>0.1695481957</v>
      </c>
      <c r="BE45" s="30">
        <f t="shared" ref="BE45:BF45" si="94">((S45-S$289)/S$290)</f>
        <v>-0.81326716</v>
      </c>
      <c r="BF45" s="30">
        <f t="shared" si="94"/>
        <v>-0.8786055398</v>
      </c>
    </row>
    <row r="46">
      <c r="A46" s="21" t="s">
        <v>88</v>
      </c>
      <c r="B46" s="22">
        <f t="shared" si="3"/>
        <v>0.1497106666</v>
      </c>
      <c r="C46" s="21" t="s">
        <v>68</v>
      </c>
      <c r="D46" s="21" t="s">
        <v>69</v>
      </c>
      <c r="E46" s="23">
        <v>150.0</v>
      </c>
      <c r="F46" s="24" t="s">
        <v>97</v>
      </c>
      <c r="G46" s="21" t="s">
        <v>82</v>
      </c>
      <c r="H46" s="24" t="s">
        <v>98</v>
      </c>
      <c r="I46" s="24" t="s">
        <v>73</v>
      </c>
      <c r="J46" s="24" t="s">
        <v>90</v>
      </c>
      <c r="K46" s="24" t="s">
        <v>75</v>
      </c>
      <c r="L46" s="21" t="s">
        <v>76</v>
      </c>
      <c r="M46" s="24" t="s">
        <v>85</v>
      </c>
      <c r="N46" s="21" t="s">
        <v>86</v>
      </c>
      <c r="O46" s="21" t="s">
        <v>79</v>
      </c>
      <c r="P46" s="21" t="s">
        <v>80</v>
      </c>
      <c r="Q46" s="24" t="s">
        <v>103</v>
      </c>
      <c r="R46" s="24" t="s">
        <v>81</v>
      </c>
      <c r="S46" s="25">
        <v>199.630709648132</v>
      </c>
      <c r="T46" s="25">
        <v>439.636501789093</v>
      </c>
      <c r="U46" s="25">
        <v>1.48359909613211</v>
      </c>
      <c r="V46" s="25">
        <v>3.70861402151142</v>
      </c>
      <c r="W46" s="25">
        <v>1.92577621272863</v>
      </c>
      <c r="X46" s="25">
        <v>0.862625142964726</v>
      </c>
      <c r="Y46" s="25">
        <v>0.0561292417712368</v>
      </c>
      <c r="Z46" s="25">
        <v>0.0048718200297522</v>
      </c>
      <c r="AA46" s="25">
        <v>0.0697984242641064</v>
      </c>
      <c r="AB46" s="25">
        <v>0.890851341478325</v>
      </c>
      <c r="AC46" s="25">
        <v>0.0561003476866808</v>
      </c>
      <c r="AD46" s="25">
        <v>0.0697112734795753</v>
      </c>
      <c r="AE46" s="25">
        <v>0.891635272340716</v>
      </c>
      <c r="AF46" s="25">
        <v>0.0656489301772162</v>
      </c>
      <c r="AG46" s="25">
        <v>0.0845385574033762</v>
      </c>
      <c r="AH46" s="25">
        <v>0.841407340961617</v>
      </c>
      <c r="AI46" s="25">
        <v>10.0</v>
      </c>
      <c r="AJ46" s="25">
        <v>1.48359909613214</v>
      </c>
      <c r="AK46" s="25">
        <v>3.70861402151142</v>
      </c>
      <c r="AL46" s="25">
        <v>1.92577621272863</v>
      </c>
      <c r="AM46" s="25">
        <v>0.862595907754677</v>
      </c>
      <c r="AN46" s="25">
        <v>1.37445851832372</v>
      </c>
      <c r="AO46" s="25">
        <v>2.91701190549901</v>
      </c>
      <c r="AP46" s="25">
        <v>1.70792620024959</v>
      </c>
      <c r="AQ46" s="25">
        <v>0.891635272340716</v>
      </c>
      <c r="AR46" s="25">
        <v>1.60839878934179</v>
      </c>
      <c r="AS46" s="25">
        <v>4.28984730462829</v>
      </c>
      <c r="AT46" s="25">
        <v>2.07119465638271</v>
      </c>
      <c r="AU46" s="25">
        <v>0.841407340961617</v>
      </c>
      <c r="AV46" s="26">
        <f t="shared" ref="AV46:AW46" si="95">(AC46-AC$289)/AC$290</f>
        <v>-0.0265524113</v>
      </c>
      <c r="AW46" s="27">
        <f t="shared" si="95"/>
        <v>-0.04707550267</v>
      </c>
      <c r="AX46" s="27">
        <f t="shared" si="5"/>
        <v>-0.08708156181</v>
      </c>
      <c r="AY46" s="28">
        <f t="shared" si="6"/>
        <v>-0.07819122227</v>
      </c>
      <c r="AZ46" s="29">
        <f t="shared" si="7"/>
        <v>-0.09288076422</v>
      </c>
      <c r="BA46" s="28">
        <f t="shared" si="8"/>
        <v>-0.08059914133</v>
      </c>
      <c r="BB46" s="29">
        <f t="shared" si="9"/>
        <v>-0.009958743458</v>
      </c>
      <c r="BC46" s="27">
        <f t="shared" si="10"/>
        <v>-0.05692402238</v>
      </c>
      <c r="BD46" s="28">
        <f t="shared" si="11"/>
        <v>-0.03973240157</v>
      </c>
      <c r="BE46" s="30">
        <f t="shared" ref="BE46:BF46" si="96">((S46-S$289)/S$290)</f>
        <v>-0.7850815947</v>
      </c>
      <c r="BF46" s="30">
        <f t="shared" si="96"/>
        <v>-0.3427399674</v>
      </c>
    </row>
    <row r="47">
      <c r="A47" s="21" t="s">
        <v>67</v>
      </c>
      <c r="B47" s="22">
        <f t="shared" si="3"/>
        <v>0.1355932417</v>
      </c>
      <c r="C47" s="21" t="s">
        <v>68</v>
      </c>
      <c r="D47" s="21" t="s">
        <v>69</v>
      </c>
      <c r="E47" s="23">
        <v>128.0</v>
      </c>
      <c r="F47" s="24" t="s">
        <v>70</v>
      </c>
      <c r="G47" s="21" t="s">
        <v>71</v>
      </c>
      <c r="H47" s="24" t="s">
        <v>72</v>
      </c>
      <c r="I47" s="24" t="s">
        <v>95</v>
      </c>
      <c r="J47" s="24" t="s">
        <v>90</v>
      </c>
      <c r="K47" s="24" t="s">
        <v>75</v>
      </c>
      <c r="L47" s="21" t="s">
        <v>92</v>
      </c>
      <c r="M47" s="24" t="s">
        <v>77</v>
      </c>
      <c r="N47" s="21" t="s">
        <v>86</v>
      </c>
      <c r="O47" s="21" t="s">
        <v>91</v>
      </c>
      <c r="P47" s="21" t="s">
        <v>80</v>
      </c>
      <c r="Q47" s="24" t="s">
        <v>93</v>
      </c>
      <c r="S47" s="25">
        <v>232.873546123504</v>
      </c>
      <c r="T47" s="25">
        <v>166.561727523803</v>
      </c>
      <c r="U47" s="25">
        <v>1.67660392888405</v>
      </c>
      <c r="V47" s="25">
        <v>4.7774381924785</v>
      </c>
      <c r="W47" s="25">
        <v>2.18573516064469</v>
      </c>
      <c r="X47" s="25">
        <v>0.817840208986802</v>
      </c>
      <c r="Y47" s="25">
        <v>0.0539248962576779</v>
      </c>
      <c r="Z47" s="25">
        <v>0.00507535765315579</v>
      </c>
      <c r="AA47" s="25">
        <v>0.071241544432696</v>
      </c>
      <c r="AB47" s="25">
        <v>0.893295731523421</v>
      </c>
      <c r="AC47" s="25">
        <v>0.0536605293000463</v>
      </c>
      <c r="AD47" s="25">
        <v>0.0709476165911923</v>
      </c>
      <c r="AE47" s="25">
        <v>0.894816753904125</v>
      </c>
      <c r="AF47" s="25">
        <v>0.0873023332527435</v>
      </c>
      <c r="AG47" s="25">
        <v>0.108860780218718</v>
      </c>
      <c r="AH47" s="25">
        <v>0.75554668482799</v>
      </c>
      <c r="AI47" s="25">
        <v>10.0</v>
      </c>
      <c r="AJ47" s="25">
        <v>1.67660392888405</v>
      </c>
      <c r="AK47" s="25">
        <v>4.7774381924785</v>
      </c>
      <c r="AL47" s="25">
        <v>2.18573516064469</v>
      </c>
      <c r="AM47" s="25">
        <v>0.817741695902994</v>
      </c>
      <c r="AN47" s="25">
        <v>1.25133373187191</v>
      </c>
      <c r="AO47" s="25">
        <v>2.73723459447416</v>
      </c>
      <c r="AP47" s="25">
        <v>1.65445900356405</v>
      </c>
      <c r="AQ47" s="25">
        <v>0.894816753904125</v>
      </c>
      <c r="AR47" s="25">
        <v>2.03584191015774</v>
      </c>
      <c r="AS47" s="25">
        <v>6.44435245233291</v>
      </c>
      <c r="AT47" s="25">
        <v>2.53857291648928</v>
      </c>
      <c r="AU47" s="25">
        <v>0.75554668482799</v>
      </c>
      <c r="AV47" s="26">
        <f t="shared" ref="AV47:AW47" si="97">(AC47-AC$289)/AC$290</f>
        <v>-0.07662885415</v>
      </c>
      <c r="AW47" s="27">
        <f t="shared" si="97"/>
        <v>-0.027097003</v>
      </c>
      <c r="AX47" s="27">
        <f t="shared" si="5"/>
        <v>0.09395601642</v>
      </c>
      <c r="AY47" s="28">
        <f t="shared" si="6"/>
        <v>0.07736307951</v>
      </c>
      <c r="AZ47" s="29">
        <f t="shared" si="7"/>
        <v>0.006187062957</v>
      </c>
      <c r="BA47" s="28">
        <f t="shared" si="8"/>
        <v>0.02247951816</v>
      </c>
      <c r="BB47" s="29">
        <f t="shared" si="9"/>
        <v>-0.01343689724</v>
      </c>
      <c r="BC47" s="27">
        <f t="shared" si="10"/>
        <v>0.07191876741</v>
      </c>
      <c r="BD47" s="28">
        <f t="shared" si="11"/>
        <v>0.01893303738</v>
      </c>
      <c r="BE47" s="30">
        <f t="shared" ref="BE47:BF47" si="98">((S47-S$289)/S$290)</f>
        <v>-0.7763845759</v>
      </c>
      <c r="BF47" s="30">
        <f t="shared" si="98"/>
        <v>-0.8888158101</v>
      </c>
    </row>
    <row r="48">
      <c r="A48" s="21" t="s">
        <v>88</v>
      </c>
      <c r="B48" s="22">
        <f t="shared" si="3"/>
        <v>0.1078798657</v>
      </c>
      <c r="C48" s="21" t="s">
        <v>68</v>
      </c>
      <c r="D48" s="21" t="s">
        <v>69</v>
      </c>
      <c r="E48" s="23">
        <v>30.0</v>
      </c>
      <c r="F48" s="24" t="s">
        <v>70</v>
      </c>
      <c r="G48" s="21" t="s">
        <v>82</v>
      </c>
      <c r="H48" s="24" t="s">
        <v>83</v>
      </c>
      <c r="I48" s="24" t="s">
        <v>73</v>
      </c>
      <c r="J48" s="24" t="s">
        <v>90</v>
      </c>
      <c r="K48" s="24" t="s">
        <v>101</v>
      </c>
      <c r="L48" s="21" t="s">
        <v>76</v>
      </c>
      <c r="M48" s="24" t="s">
        <v>77</v>
      </c>
      <c r="N48" s="21" t="s">
        <v>86</v>
      </c>
      <c r="O48" s="21" t="s">
        <v>102</v>
      </c>
      <c r="P48" s="21" t="s">
        <v>80</v>
      </c>
      <c r="Q48" s="24" t="s">
        <v>89</v>
      </c>
      <c r="S48" s="25">
        <v>212.298375129699</v>
      </c>
      <c r="T48" s="25">
        <v>170.177316904068</v>
      </c>
      <c r="U48" s="25">
        <v>1.81064089190723</v>
      </c>
      <c r="V48" s="25">
        <v>5.46439334623476</v>
      </c>
      <c r="W48" s="25">
        <v>2.33760418938595</v>
      </c>
      <c r="X48" s="25">
        <v>0.790177962136506</v>
      </c>
      <c r="Y48" s="25">
        <v>0.0556538706188691</v>
      </c>
      <c r="Z48" s="25">
        <v>0.00503540637955688</v>
      </c>
      <c r="AA48" s="25">
        <v>0.0709605973731681</v>
      </c>
      <c r="AB48" s="25">
        <v>0.894082831152011</v>
      </c>
      <c r="AC48" s="25">
        <v>0.0556165445379635</v>
      </c>
      <c r="AD48" s="25">
        <v>0.0708561059143385</v>
      </c>
      <c r="AE48" s="25">
        <v>0.894908169280843</v>
      </c>
      <c r="AF48" s="25">
        <v>0.0890412898788087</v>
      </c>
      <c r="AG48" s="25">
        <v>0.114172746009107</v>
      </c>
      <c r="AH48" s="25">
        <v>0.728291065118774</v>
      </c>
      <c r="AI48" s="25">
        <v>10.0</v>
      </c>
      <c r="AJ48" s="25">
        <v>1.81064089190723</v>
      </c>
      <c r="AK48" s="25">
        <v>5.46439334623475</v>
      </c>
      <c r="AL48" s="25">
        <v>2.33760418938595</v>
      </c>
      <c r="AM48" s="25">
        <v>0.790132439039381</v>
      </c>
      <c r="AN48" s="25">
        <v>1.29694692054502</v>
      </c>
      <c r="AO48" s="25">
        <v>2.73017798962619</v>
      </c>
      <c r="AP48" s="25">
        <v>1.65232502541908</v>
      </c>
      <c r="AQ48" s="25">
        <v>0.894908169280843</v>
      </c>
      <c r="AR48" s="25">
        <v>2.07639341259056</v>
      </c>
      <c r="AS48" s="25">
        <v>7.08861341864892</v>
      </c>
      <c r="AT48" s="25">
        <v>2.66244500762906</v>
      </c>
      <c r="AU48" s="25">
        <v>0.728291065118774</v>
      </c>
      <c r="AV48" s="26">
        <f t="shared" ref="AV48:AW48" si="99">(AC48-AC$289)/AC$290</f>
        <v>-0.03648230644</v>
      </c>
      <c r="AW48" s="27">
        <f t="shared" si="99"/>
        <v>-0.02857575596</v>
      </c>
      <c r="AX48" s="27">
        <f t="shared" si="5"/>
        <v>0.1111310403</v>
      </c>
      <c r="AY48" s="28">
        <f t="shared" si="6"/>
        <v>0.1185905783</v>
      </c>
      <c r="AZ48" s="29">
        <f t="shared" si="7"/>
        <v>0.07498715723</v>
      </c>
      <c r="BA48" s="28">
        <f t="shared" si="8"/>
        <v>0.08269847206</v>
      </c>
      <c r="BB48" s="29">
        <f t="shared" si="9"/>
        <v>-0.01353683707</v>
      </c>
      <c r="BC48" s="27">
        <f t="shared" si="10"/>
        <v>0.1128186422</v>
      </c>
      <c r="BD48" s="28">
        <f t="shared" si="11"/>
        <v>0.05504356315</v>
      </c>
      <c r="BE48" s="30">
        <f t="shared" ref="BE48:BF48" si="100">((S48-S$289)/S$290)</f>
        <v>-0.7817674694</v>
      </c>
      <c r="BF48" s="30">
        <f t="shared" si="100"/>
        <v>-0.8815856072</v>
      </c>
    </row>
    <row r="49">
      <c r="A49" s="21" t="s">
        <v>67</v>
      </c>
      <c r="B49" s="22">
        <f t="shared" si="3"/>
        <v>0.04760617341</v>
      </c>
      <c r="C49" s="21" t="s">
        <v>68</v>
      </c>
      <c r="D49" s="21" t="s">
        <v>69</v>
      </c>
      <c r="E49" s="23">
        <v>255.0</v>
      </c>
      <c r="F49" s="24" t="s">
        <v>97</v>
      </c>
      <c r="G49" s="21" t="s">
        <v>71</v>
      </c>
      <c r="H49" s="24" t="s">
        <v>105</v>
      </c>
      <c r="I49" s="24" t="s">
        <v>73</v>
      </c>
      <c r="J49" s="24" t="s">
        <v>74</v>
      </c>
      <c r="K49" s="24" t="s">
        <v>75</v>
      </c>
      <c r="L49" s="21" t="s">
        <v>76</v>
      </c>
      <c r="M49" s="24" t="s">
        <v>77</v>
      </c>
      <c r="N49" s="21" t="s">
        <v>86</v>
      </c>
      <c r="O49" s="21" t="s">
        <v>91</v>
      </c>
      <c r="P49" s="21" t="s">
        <v>80</v>
      </c>
      <c r="Q49" s="24" t="s">
        <v>81</v>
      </c>
      <c r="S49" s="25">
        <v>120.055368900299</v>
      </c>
      <c r="T49" s="25">
        <v>414.280387878417</v>
      </c>
      <c r="U49" s="25">
        <v>1.70011608046908</v>
      </c>
      <c r="V49" s="25">
        <v>4.78334950845676</v>
      </c>
      <c r="W49" s="25">
        <v>2.1870869915156</v>
      </c>
      <c r="X49" s="25">
        <v>0.822670644905107</v>
      </c>
      <c r="Y49" s="25">
        <v>0.060760538186972</v>
      </c>
      <c r="Z49" s="25">
        <v>0.00575572403734801</v>
      </c>
      <c r="AA49" s="25">
        <v>0.0758664882365594</v>
      </c>
      <c r="AB49" s="25">
        <v>0.870543391056296</v>
      </c>
      <c r="AC49" s="25">
        <v>0.0605829634007591</v>
      </c>
      <c r="AD49" s="25">
        <v>0.0756277235024917</v>
      </c>
      <c r="AE49" s="25">
        <v>0.872055882835609</v>
      </c>
      <c r="AF49" s="25">
        <v>0.0926905145734627</v>
      </c>
      <c r="AG49" s="25">
        <v>0.114197779138123</v>
      </c>
      <c r="AH49" s="25">
        <v>0.710688352381111</v>
      </c>
      <c r="AI49" s="25">
        <v>10.0</v>
      </c>
      <c r="AJ49" s="25">
        <v>1.70011608046908</v>
      </c>
      <c r="AK49" s="25">
        <v>4.78334950845676</v>
      </c>
      <c r="AL49" s="25">
        <v>2.1870869915156</v>
      </c>
      <c r="AM49" s="25">
        <v>0.822606462687294</v>
      </c>
      <c r="AN49" s="25">
        <v>1.48428260331863</v>
      </c>
      <c r="AO49" s="25">
        <v>3.43316142544215</v>
      </c>
      <c r="AP49" s="25">
        <v>1.85287922581105</v>
      </c>
      <c r="AQ49" s="25">
        <v>0.872055882835609</v>
      </c>
      <c r="AR49" s="25">
        <v>2.27091760704978</v>
      </c>
      <c r="AS49" s="25">
        <v>7.82793993923785</v>
      </c>
      <c r="AT49" s="25">
        <v>2.79784558888403</v>
      </c>
      <c r="AU49" s="25">
        <v>0.71068835238111</v>
      </c>
      <c r="AV49" s="26">
        <f t="shared" ref="AV49:AW49" si="101">(AC49-AC$289)/AC$290</f>
        <v>0.06545175213</v>
      </c>
      <c r="AW49" s="27">
        <f t="shared" si="101"/>
        <v>0.04853047735</v>
      </c>
      <c r="AX49" s="27">
        <f t="shared" si="5"/>
        <v>0.1935190525</v>
      </c>
      <c r="AY49" s="28">
        <f t="shared" si="6"/>
        <v>0.1636550254</v>
      </c>
      <c r="AZ49" s="29">
        <f t="shared" si="7"/>
        <v>0.01825566112</v>
      </c>
      <c r="BA49" s="28">
        <f t="shared" si="8"/>
        <v>0.02301554477</v>
      </c>
      <c r="BB49" s="29">
        <f t="shared" si="9"/>
        <v>0.01144641835</v>
      </c>
      <c r="BC49" s="27">
        <f t="shared" si="10"/>
        <v>0.1392333322</v>
      </c>
      <c r="BD49" s="28">
        <f t="shared" si="11"/>
        <v>0.01257034217</v>
      </c>
      <c r="BE49" s="30">
        <f t="shared" ref="BE49:BF49" si="102">((S49-S$289)/S$290)</f>
        <v>-0.8059001622</v>
      </c>
      <c r="BF49" s="30">
        <f t="shared" si="102"/>
        <v>-0.3934453513</v>
      </c>
    </row>
    <row r="50">
      <c r="A50" s="21" t="s">
        <v>88</v>
      </c>
      <c r="B50" s="22">
        <f t="shared" si="3"/>
        <v>0.08377108714</v>
      </c>
      <c r="C50" s="21" t="s">
        <v>68</v>
      </c>
      <c r="D50" s="21" t="s">
        <v>69</v>
      </c>
      <c r="E50" s="23">
        <v>28.0</v>
      </c>
      <c r="F50" s="24" t="s">
        <v>70</v>
      </c>
      <c r="G50" s="21" t="s">
        <v>82</v>
      </c>
      <c r="H50" s="24" t="s">
        <v>83</v>
      </c>
      <c r="I50" s="24" t="s">
        <v>73</v>
      </c>
      <c r="J50" s="24" t="s">
        <v>74</v>
      </c>
      <c r="K50" s="24" t="s">
        <v>101</v>
      </c>
      <c r="L50" s="21" t="s">
        <v>84</v>
      </c>
      <c r="M50" s="24" t="s">
        <v>77</v>
      </c>
      <c r="N50" s="21" t="s">
        <v>104</v>
      </c>
      <c r="O50" s="21" t="s">
        <v>91</v>
      </c>
      <c r="P50" s="21" t="s">
        <v>80</v>
      </c>
      <c r="Q50" s="24" t="s">
        <v>87</v>
      </c>
      <c r="S50" s="25">
        <v>207.10916018486</v>
      </c>
      <c r="T50" s="25">
        <v>168.319915294647</v>
      </c>
      <c r="U50" s="25">
        <v>1.87636263050889</v>
      </c>
      <c r="V50" s="25">
        <v>5.54465057612533</v>
      </c>
      <c r="W50" s="25">
        <v>2.35470817217873</v>
      </c>
      <c r="X50" s="25">
        <v>0.787078922980635</v>
      </c>
      <c r="Y50" s="25">
        <v>0.0653217823503758</v>
      </c>
      <c r="Z50" s="25">
        <v>0.00642858388773092</v>
      </c>
      <c r="AA50" s="25">
        <v>0.0801784502701999</v>
      </c>
      <c r="AB50" s="25">
        <v>0.864778062828332</v>
      </c>
      <c r="AC50" s="25">
        <v>0.0654199713215621</v>
      </c>
      <c r="AD50" s="25">
        <v>0.0801918935540045</v>
      </c>
      <c r="AE50" s="25">
        <v>0.865390617219449</v>
      </c>
      <c r="AF50" s="25">
        <v>0.0849699166808213</v>
      </c>
      <c r="AG50" s="25">
        <v>0.106090533524532</v>
      </c>
      <c r="AH50" s="25">
        <v>0.76539768472447</v>
      </c>
      <c r="AI50" s="25">
        <v>10.0</v>
      </c>
      <c r="AJ50" s="25">
        <v>1.8763626305089</v>
      </c>
      <c r="AK50" s="25">
        <v>5.54465057612533</v>
      </c>
      <c r="AL50" s="25">
        <v>2.35470817217873</v>
      </c>
      <c r="AM50" s="25">
        <v>0.787050049463931</v>
      </c>
      <c r="AN50" s="25">
        <v>1.52555738679033</v>
      </c>
      <c r="AO50" s="25">
        <v>3.49701372171106</v>
      </c>
      <c r="AP50" s="25">
        <v>1.8700304066274</v>
      </c>
      <c r="AQ50" s="25">
        <v>0.865390617219449</v>
      </c>
      <c r="AR50" s="25">
        <v>1.9814512514875</v>
      </c>
      <c r="AS50" s="25">
        <v>6.12053895406563</v>
      </c>
      <c r="AT50" s="25">
        <v>2.4739723026068</v>
      </c>
      <c r="AU50" s="25">
        <v>0.76539768472447</v>
      </c>
      <c r="AV50" s="26">
        <f t="shared" ref="AV50:AW50" si="103">(AC50-AC$289)/AC$290</f>
        <v>0.1647296951</v>
      </c>
      <c r="AW50" s="27">
        <f t="shared" si="103"/>
        <v>0.1222844935</v>
      </c>
      <c r="AX50" s="27">
        <f t="shared" si="5"/>
        <v>0.07091961077</v>
      </c>
      <c r="AY50" s="28">
        <f t="shared" si="6"/>
        <v>0.05586250012</v>
      </c>
      <c r="AZ50" s="29">
        <f t="shared" si="7"/>
        <v>0.1087215967</v>
      </c>
      <c r="BA50" s="28">
        <f t="shared" si="8"/>
        <v>0.08948052604</v>
      </c>
      <c r="BB50" s="29">
        <f t="shared" si="9"/>
        <v>0.01873321802</v>
      </c>
      <c r="BC50" s="27">
        <f t="shared" si="10"/>
        <v>0.05713632379</v>
      </c>
      <c r="BD50" s="28">
        <f t="shared" si="11"/>
        <v>0.05907506275</v>
      </c>
      <c r="BE50" s="30">
        <f t="shared" ref="BE50:BF50" si="104">((S50-S$289)/S$290)</f>
        <v>-0.7831250762</v>
      </c>
      <c r="BF50" s="30">
        <f t="shared" si="104"/>
        <v>-0.8852999091</v>
      </c>
    </row>
    <row r="51">
      <c r="A51" s="21" t="s">
        <v>88</v>
      </c>
      <c r="B51" s="22">
        <f t="shared" si="3"/>
        <v>0.1011056256</v>
      </c>
      <c r="C51" s="21" t="s">
        <v>68</v>
      </c>
      <c r="D51" s="21" t="s">
        <v>69</v>
      </c>
      <c r="E51" s="23">
        <v>148.0</v>
      </c>
      <c r="F51" s="24" t="s">
        <v>97</v>
      </c>
      <c r="G51" s="21" t="s">
        <v>82</v>
      </c>
      <c r="H51" s="24" t="s">
        <v>98</v>
      </c>
      <c r="I51" s="24" t="s">
        <v>73</v>
      </c>
      <c r="J51" s="24" t="s">
        <v>74</v>
      </c>
      <c r="K51" s="24" t="s">
        <v>75</v>
      </c>
      <c r="L51" s="21" t="s">
        <v>76</v>
      </c>
      <c r="M51" s="24" t="s">
        <v>85</v>
      </c>
      <c r="N51" s="21" t="s">
        <v>86</v>
      </c>
      <c r="O51" s="21" t="s">
        <v>102</v>
      </c>
      <c r="P51" s="21" t="s">
        <v>80</v>
      </c>
      <c r="Q51" s="24" t="s">
        <v>89</v>
      </c>
      <c r="R51" s="24" t="s">
        <v>103</v>
      </c>
      <c r="S51" s="25">
        <v>170.735076904296</v>
      </c>
      <c r="T51" s="25">
        <v>440.701456546783</v>
      </c>
      <c r="U51" s="25">
        <v>1.80105469609078</v>
      </c>
      <c r="V51" s="25">
        <v>5.19557206987174</v>
      </c>
      <c r="W51" s="25">
        <v>2.27937975551941</v>
      </c>
      <c r="X51" s="25">
        <v>0.807526233398277</v>
      </c>
      <c r="Y51" s="25">
        <v>0.0583665720800255</v>
      </c>
      <c r="Z51" s="25">
        <v>0.00524622846740851</v>
      </c>
      <c r="AA51" s="25">
        <v>0.0724308530075997</v>
      </c>
      <c r="AB51" s="25">
        <v>0.882463063902427</v>
      </c>
      <c r="AC51" s="25">
        <v>0.0583735198620133</v>
      </c>
      <c r="AD51" s="25">
        <v>0.0723670402445709</v>
      </c>
      <c r="AE51" s="25">
        <v>0.883221327963954</v>
      </c>
      <c r="AF51" s="25">
        <v>0.0676577208529459</v>
      </c>
      <c r="AG51" s="25">
        <v>0.0877961861833363</v>
      </c>
      <c r="AH51" s="25">
        <v>0.828949354601309</v>
      </c>
      <c r="AI51" s="25">
        <v>10.0</v>
      </c>
      <c r="AJ51" s="25">
        <v>1.80105469609075</v>
      </c>
      <c r="AK51" s="25">
        <v>5.19557206987173</v>
      </c>
      <c r="AL51" s="25">
        <v>2.27937975551941</v>
      </c>
      <c r="AM51" s="25">
        <v>0.807504135017821</v>
      </c>
      <c r="AN51" s="25">
        <v>1.43015123661937</v>
      </c>
      <c r="AO51" s="25">
        <v>3.14350235538405</v>
      </c>
      <c r="AP51" s="25">
        <v>1.77299248599199</v>
      </c>
      <c r="AQ51" s="25">
        <v>0.883221327963954</v>
      </c>
      <c r="AR51" s="25">
        <v>1.65761416089715</v>
      </c>
      <c r="AS51" s="25">
        <v>4.62682922758051</v>
      </c>
      <c r="AT51" s="25">
        <v>2.15100656149174</v>
      </c>
      <c r="AU51" s="25">
        <v>0.828949354601309</v>
      </c>
      <c r="AV51" s="26">
        <f t="shared" ref="AV51:AW51" si="105">(AC51-AC$289)/AC$290</f>
        <v>0.02010367471</v>
      </c>
      <c r="AW51" s="27">
        <f t="shared" si="105"/>
        <v>-0.004160040988</v>
      </c>
      <c r="AX51" s="27">
        <f t="shared" si="5"/>
        <v>-0.06623707691</v>
      </c>
      <c r="AY51" s="28">
        <f t="shared" si="6"/>
        <v>-0.05162797311</v>
      </c>
      <c r="AZ51" s="29">
        <f t="shared" si="7"/>
        <v>0.07006664007</v>
      </c>
      <c r="BA51" s="28">
        <f t="shared" si="8"/>
        <v>0.05961137835</v>
      </c>
      <c r="BB51" s="29">
        <f t="shared" si="9"/>
        <v>-0.000760201247</v>
      </c>
      <c r="BC51" s="27">
        <f t="shared" si="10"/>
        <v>-0.03822952608</v>
      </c>
      <c r="BD51" s="28">
        <f t="shared" si="11"/>
        <v>0.03232288369</v>
      </c>
      <c r="BE51" s="30">
        <f t="shared" ref="BE51:BF51" si="106">((S51-S$289)/S$290)</f>
        <v>-0.7926412944</v>
      </c>
      <c r="BF51" s="30">
        <f t="shared" si="106"/>
        <v>-0.3406103453</v>
      </c>
    </row>
    <row r="52">
      <c r="A52" s="21" t="s">
        <v>67</v>
      </c>
      <c r="B52" s="22">
        <f t="shared" si="3"/>
        <v>-0.02825237416</v>
      </c>
      <c r="C52" s="21" t="s">
        <v>68</v>
      </c>
      <c r="D52" s="21" t="s">
        <v>69</v>
      </c>
      <c r="E52" s="23">
        <v>66.0</v>
      </c>
      <c r="F52" s="24" t="s">
        <v>70</v>
      </c>
      <c r="G52" s="21" t="s">
        <v>82</v>
      </c>
      <c r="H52" s="24" t="s">
        <v>83</v>
      </c>
      <c r="I52" s="24" t="s">
        <v>95</v>
      </c>
      <c r="J52" s="24" t="s">
        <v>99</v>
      </c>
      <c r="K52" s="24" t="s">
        <v>75</v>
      </c>
      <c r="L52" s="21" t="s">
        <v>84</v>
      </c>
      <c r="M52" s="24" t="s">
        <v>77</v>
      </c>
      <c r="N52" s="21" t="s">
        <v>86</v>
      </c>
      <c r="O52" s="21" t="s">
        <v>79</v>
      </c>
      <c r="P52" s="21" t="s">
        <v>80</v>
      </c>
      <c r="Q52" s="24" t="s">
        <v>87</v>
      </c>
      <c r="S52" s="25">
        <v>118.866420745849</v>
      </c>
      <c r="T52" s="25">
        <v>167.143119335174</v>
      </c>
      <c r="U52" s="25">
        <v>1.9906082528848</v>
      </c>
      <c r="V52" s="25">
        <v>6.38426441033562</v>
      </c>
      <c r="W52" s="25">
        <v>2.526710195162</v>
      </c>
      <c r="X52" s="25">
        <v>0.756541205434022</v>
      </c>
      <c r="Y52" s="25">
        <v>0.0792663199373603</v>
      </c>
      <c r="Z52" s="25">
        <v>0.00967054005515512</v>
      </c>
      <c r="AA52" s="25">
        <v>0.0983389040774561</v>
      </c>
      <c r="AB52" s="25">
        <v>0.797584800982143</v>
      </c>
      <c r="AC52" s="25">
        <v>0.0793290023871595</v>
      </c>
      <c r="AD52" s="25">
        <v>0.0982970694722014</v>
      </c>
      <c r="AE52" s="25">
        <v>0.798774222912297</v>
      </c>
      <c r="AF52" s="25">
        <v>0.101596501279492</v>
      </c>
      <c r="AG52" s="25">
        <v>0.124764097908074</v>
      </c>
      <c r="AH52" s="25">
        <v>0.678205147670674</v>
      </c>
      <c r="AI52" s="25">
        <v>10.0</v>
      </c>
      <c r="AJ52" s="25">
        <v>1.9906082528848</v>
      </c>
      <c r="AK52" s="25">
        <v>6.38426441033562</v>
      </c>
      <c r="AL52" s="25">
        <v>2.526710195162</v>
      </c>
      <c r="AM52" s="25">
        <v>0.756471935547312</v>
      </c>
      <c r="AN52" s="25">
        <v>1.84990826400059</v>
      </c>
      <c r="AO52" s="25">
        <v>5.25433235830286</v>
      </c>
      <c r="AP52" s="25">
        <v>2.29223305060869</v>
      </c>
      <c r="AQ52" s="25">
        <v>0.798774222912297</v>
      </c>
      <c r="AR52" s="25">
        <v>2.36917396733706</v>
      </c>
      <c r="AS52" s="25">
        <v>8.46477972352974</v>
      </c>
      <c r="AT52" s="25">
        <v>2.90942944982856</v>
      </c>
      <c r="AU52" s="25">
        <v>0.678205147670673</v>
      </c>
      <c r="AV52" s="26">
        <f t="shared" ref="AV52:AW52" si="107">(AC52-AC$289)/AC$290</f>
        <v>0.4502078286</v>
      </c>
      <c r="AW52" s="27">
        <f t="shared" si="107"/>
        <v>0.4148523476</v>
      </c>
      <c r="AX52" s="27">
        <f t="shared" si="5"/>
        <v>0.2351341649</v>
      </c>
      <c r="AY52" s="28">
        <f t="shared" si="6"/>
        <v>0.2007927168</v>
      </c>
      <c r="AZ52" s="29">
        <f t="shared" si="7"/>
        <v>0.1673629551</v>
      </c>
      <c r="BA52" s="28">
        <f t="shared" si="8"/>
        <v>0.1576825945</v>
      </c>
      <c r="BB52" s="29">
        <f t="shared" si="9"/>
        <v>0.09156157147</v>
      </c>
      <c r="BC52" s="27">
        <f t="shared" si="10"/>
        <v>0.1879777386</v>
      </c>
      <c r="BD52" s="28">
        <f t="shared" si="11"/>
        <v>0.09906859739</v>
      </c>
      <c r="BE52" s="30">
        <f t="shared" ref="BE52:BF52" si="108">((S52-S$289)/S$290)</f>
        <v>-0.8062112158</v>
      </c>
      <c r="BF52" s="30">
        <f t="shared" si="108"/>
        <v>-0.8876531834</v>
      </c>
    </row>
    <row r="53">
      <c r="A53" s="21" t="s">
        <v>67</v>
      </c>
      <c r="B53" s="22">
        <f t="shared" si="3"/>
        <v>0.1128663757</v>
      </c>
      <c r="C53" s="21" t="s">
        <v>68</v>
      </c>
      <c r="D53" s="21" t="s">
        <v>69</v>
      </c>
      <c r="E53" s="23">
        <v>119.0</v>
      </c>
      <c r="F53" s="24" t="s">
        <v>70</v>
      </c>
      <c r="G53" s="21" t="s">
        <v>71</v>
      </c>
      <c r="H53" s="24" t="s">
        <v>72</v>
      </c>
      <c r="I53" s="24" t="s">
        <v>73</v>
      </c>
      <c r="J53" s="24" t="s">
        <v>90</v>
      </c>
      <c r="K53" s="24" t="s">
        <v>101</v>
      </c>
      <c r="L53" s="21" t="s">
        <v>92</v>
      </c>
      <c r="M53" s="24" t="s">
        <v>77</v>
      </c>
      <c r="N53" s="21" t="s">
        <v>86</v>
      </c>
      <c r="O53" s="21" t="s">
        <v>79</v>
      </c>
      <c r="P53" s="21" t="s">
        <v>80</v>
      </c>
      <c r="Q53" s="24" t="s">
        <v>93</v>
      </c>
      <c r="S53" s="25">
        <v>229.050486326217</v>
      </c>
      <c r="T53" s="25">
        <v>164.681665420532</v>
      </c>
      <c r="U53" s="25">
        <v>1.78182844286953</v>
      </c>
      <c r="V53" s="25">
        <v>5.30915206501345</v>
      </c>
      <c r="W53" s="25">
        <v>2.30415973079416</v>
      </c>
      <c r="X53" s="25">
        <v>0.796078055029776</v>
      </c>
      <c r="Y53" s="25">
        <v>0.056189279007874</v>
      </c>
      <c r="Z53" s="25">
        <v>0.00505022004711019</v>
      </c>
      <c r="AA53" s="25">
        <v>0.0710649002469587</v>
      </c>
      <c r="AB53" s="25">
        <v>0.893320781787375</v>
      </c>
      <c r="AC53" s="25">
        <v>0.0559230859944822</v>
      </c>
      <c r="AD53" s="25">
        <v>0.0707814043677694</v>
      </c>
      <c r="AE53" s="25">
        <v>0.894786107011466</v>
      </c>
      <c r="AF53" s="25">
        <v>0.0875094830638225</v>
      </c>
      <c r="AG53" s="25">
        <v>0.114061295659945</v>
      </c>
      <c r="AH53" s="25">
        <v>0.729492177882049</v>
      </c>
      <c r="AI53" s="25">
        <v>10.0</v>
      </c>
      <c r="AJ53" s="25">
        <v>1.78182844286953</v>
      </c>
      <c r="AK53" s="25">
        <v>5.30915206501345</v>
      </c>
      <c r="AL53" s="25">
        <v>2.30415973079416</v>
      </c>
      <c r="AM53" s="25">
        <v>0.795955021200184</v>
      </c>
      <c r="AN53" s="25">
        <v>1.30409529701022</v>
      </c>
      <c r="AO53" s="25">
        <v>2.72442432853836</v>
      </c>
      <c r="AP53" s="25">
        <v>1.65058302685395</v>
      </c>
      <c r="AQ53" s="25">
        <v>0.894786107011466</v>
      </c>
      <c r="AR53" s="25">
        <v>2.04067252866887</v>
      </c>
      <c r="AS53" s="25">
        <v>7.07478099588779</v>
      </c>
      <c r="AT53" s="25">
        <v>2.65984604740345</v>
      </c>
      <c r="AU53" s="25">
        <v>0.729492177882049</v>
      </c>
      <c r="AV53" s="26">
        <f t="shared" ref="AV53:AW53" si="109">(AC53-AC$289)/AC$290</f>
        <v>-0.03019064727</v>
      </c>
      <c r="AW53" s="27">
        <f t="shared" si="109"/>
        <v>-0.02978288431</v>
      </c>
      <c r="AX53" s="27">
        <f t="shared" si="5"/>
        <v>0.09600195758</v>
      </c>
      <c r="AY53" s="28">
        <f t="shared" si="6"/>
        <v>0.1177255842</v>
      </c>
      <c r="AZ53" s="29">
        <f t="shared" si="7"/>
        <v>0.06019795904</v>
      </c>
      <c r="BA53" s="28">
        <f t="shared" si="8"/>
        <v>0.06943710912</v>
      </c>
      <c r="BB53" s="29">
        <f t="shared" si="9"/>
        <v>-0.01340339253</v>
      </c>
      <c r="BC53" s="27">
        <f t="shared" si="10"/>
        <v>0.1110162483</v>
      </c>
      <c r="BD53" s="28">
        <f t="shared" si="11"/>
        <v>0.04742812807</v>
      </c>
      <c r="BE53" s="30">
        <f t="shared" ref="BE53:BF53" si="110">((S53-S$289)/S$290)</f>
        <v>-0.777384768</v>
      </c>
      <c r="BF53" s="30">
        <f t="shared" si="110"/>
        <v>-0.8925754269</v>
      </c>
    </row>
    <row r="54">
      <c r="A54" s="21" t="s">
        <v>67</v>
      </c>
      <c r="B54" s="22">
        <f t="shared" si="3"/>
        <v>0.1064156527</v>
      </c>
      <c r="C54" s="21" t="s">
        <v>68</v>
      </c>
      <c r="D54" s="21" t="s">
        <v>69</v>
      </c>
      <c r="E54" s="23">
        <v>185.0</v>
      </c>
      <c r="F54" s="24" t="s">
        <v>97</v>
      </c>
      <c r="G54" s="21" t="s">
        <v>82</v>
      </c>
      <c r="H54" s="24" t="s">
        <v>98</v>
      </c>
      <c r="I54" s="24" t="s">
        <v>73</v>
      </c>
      <c r="J54" s="24" t="s">
        <v>74</v>
      </c>
      <c r="K54" s="24" t="s">
        <v>75</v>
      </c>
      <c r="L54" s="21" t="s">
        <v>76</v>
      </c>
      <c r="M54" s="24" t="s">
        <v>85</v>
      </c>
      <c r="N54" s="21" t="s">
        <v>78</v>
      </c>
      <c r="O54" s="21" t="s">
        <v>79</v>
      </c>
      <c r="P54" s="21" t="s">
        <v>80</v>
      </c>
      <c r="Q54" s="24" t="s">
        <v>81</v>
      </c>
      <c r="R54" s="24" t="s">
        <v>89</v>
      </c>
      <c r="S54" s="25">
        <v>175.465241432189</v>
      </c>
      <c r="T54" s="25">
        <v>485.715422868728</v>
      </c>
      <c r="U54" s="25">
        <v>1.6250800905882</v>
      </c>
      <c r="V54" s="25">
        <v>4.31505297506824</v>
      </c>
      <c r="W54" s="25">
        <v>2.07727055894706</v>
      </c>
      <c r="X54" s="25">
        <v>0.840148916067043</v>
      </c>
      <c r="Y54" s="25">
        <v>0.0597078686958707</v>
      </c>
      <c r="Z54" s="25">
        <v>0.00584595036108022</v>
      </c>
      <c r="AA54" s="25">
        <v>0.076458814803005</v>
      </c>
      <c r="AB54" s="25">
        <v>0.86902684503954</v>
      </c>
      <c r="AC54" s="25">
        <v>0.0596533233989112</v>
      </c>
      <c r="AD54" s="25">
        <v>0.0763416282224716</v>
      </c>
      <c r="AE54" s="25">
        <v>0.870041482730904</v>
      </c>
      <c r="AF54" s="25">
        <v>0.0659889694503586</v>
      </c>
      <c r="AG54" s="25">
        <v>0.0860666725862072</v>
      </c>
      <c r="AH54" s="25">
        <v>0.835622094746783</v>
      </c>
      <c r="AI54" s="25">
        <v>10.0</v>
      </c>
      <c r="AJ54" s="25">
        <v>1.62508009058821</v>
      </c>
      <c r="AK54" s="25">
        <v>4.31505297506824</v>
      </c>
      <c r="AL54" s="25">
        <v>2.07727055894706</v>
      </c>
      <c r="AM54" s="25">
        <v>0.84012735388729</v>
      </c>
      <c r="AN54" s="25">
        <v>1.46150642327334</v>
      </c>
      <c r="AO54" s="25">
        <v>3.49828353084477</v>
      </c>
      <c r="AP54" s="25">
        <v>1.87036989145055</v>
      </c>
      <c r="AQ54" s="25">
        <v>0.870041482730904</v>
      </c>
      <c r="AR54" s="25">
        <v>1.61672975153377</v>
      </c>
      <c r="AS54" s="25">
        <v>4.44633514606935</v>
      </c>
      <c r="AT54" s="25">
        <v>2.10863347836207</v>
      </c>
      <c r="AU54" s="25">
        <v>0.835622094746783</v>
      </c>
      <c r="AV54" s="26">
        <f t="shared" ref="AV54:AW54" si="111">(AC54-AC$289)/AC$290</f>
        <v>0.04637120717</v>
      </c>
      <c r="AW54" s="27">
        <f t="shared" si="111"/>
        <v>0.06006671278</v>
      </c>
      <c r="AX54" s="27">
        <f t="shared" si="5"/>
        <v>-0.08355309885</v>
      </c>
      <c r="AY54" s="28">
        <f t="shared" si="6"/>
        <v>-0.06573071584</v>
      </c>
      <c r="AZ54" s="29">
        <f t="shared" si="7"/>
        <v>-0.02025970853</v>
      </c>
      <c r="BA54" s="28">
        <f t="shared" si="8"/>
        <v>-0.02052875616</v>
      </c>
      <c r="BB54" s="29">
        <f t="shared" si="9"/>
        <v>0.01364866067</v>
      </c>
      <c r="BC54" s="27">
        <f t="shared" si="10"/>
        <v>-0.04824266242</v>
      </c>
      <c r="BD54" s="28">
        <f t="shared" si="11"/>
        <v>-0.01034547177</v>
      </c>
      <c r="BE54" s="30">
        <f t="shared" ref="BE54:BF54" si="112">((S54-S$289)/S$290)</f>
        <v>-0.7914037848</v>
      </c>
      <c r="BF54" s="30">
        <f t="shared" si="112"/>
        <v>-0.2505945624</v>
      </c>
    </row>
    <row r="55">
      <c r="A55" s="21" t="s">
        <v>67</v>
      </c>
      <c r="B55" s="22">
        <f t="shared" si="3"/>
        <v>0.1031584621</v>
      </c>
      <c r="C55" s="21" t="s">
        <v>68</v>
      </c>
      <c r="D55" s="21" t="s">
        <v>69</v>
      </c>
      <c r="E55" s="23">
        <v>278.0</v>
      </c>
      <c r="F55" s="24" t="s">
        <v>97</v>
      </c>
      <c r="G55" s="21" t="s">
        <v>71</v>
      </c>
      <c r="H55" s="24" t="s">
        <v>105</v>
      </c>
      <c r="I55" s="24" t="s">
        <v>73</v>
      </c>
      <c r="J55" s="24" t="s">
        <v>90</v>
      </c>
      <c r="K55" s="24" t="s">
        <v>75</v>
      </c>
      <c r="L55" s="21" t="s">
        <v>84</v>
      </c>
      <c r="M55" s="24" t="s">
        <v>77</v>
      </c>
      <c r="N55" s="21" t="s">
        <v>78</v>
      </c>
      <c r="O55" s="21" t="s">
        <v>91</v>
      </c>
      <c r="P55" s="21" t="s">
        <v>80</v>
      </c>
      <c r="Q55" s="24" t="s">
        <v>87</v>
      </c>
      <c r="S55" s="25">
        <v>184.481151342391</v>
      </c>
      <c r="T55" s="25">
        <v>399.099806547164</v>
      </c>
      <c r="U55" s="25">
        <v>1.6508595402511</v>
      </c>
      <c r="V55" s="25">
        <v>4.58097467861498</v>
      </c>
      <c r="W55" s="25">
        <v>2.1403211624929</v>
      </c>
      <c r="X55" s="25">
        <v>0.830179908762942</v>
      </c>
      <c r="Y55" s="25">
        <v>0.0589951642203939</v>
      </c>
      <c r="Z55" s="25">
        <v>0.00559856008892951</v>
      </c>
      <c r="AA55" s="25">
        <v>0.0748235263064333</v>
      </c>
      <c r="AB55" s="25">
        <v>0.874078291562025</v>
      </c>
      <c r="AC55" s="25">
        <v>0.0587542492096408</v>
      </c>
      <c r="AD55" s="25">
        <v>0.0745446210180351</v>
      </c>
      <c r="AE55" s="25">
        <v>0.875694344300176</v>
      </c>
      <c r="AF55" s="25">
        <v>0.0737476362387602</v>
      </c>
      <c r="AG55" s="25">
        <v>0.0951302336934568</v>
      </c>
      <c r="AH55" s="25">
        <v>0.799235126385801</v>
      </c>
      <c r="AI55" s="25">
        <v>10.0</v>
      </c>
      <c r="AJ55" s="25">
        <v>1.65085954025111</v>
      </c>
      <c r="AK55" s="25">
        <v>4.58097467861498</v>
      </c>
      <c r="AL55" s="25">
        <v>2.1403211624929</v>
      </c>
      <c r="AM55" s="25">
        <v>0.830111661056182</v>
      </c>
      <c r="AN55" s="25">
        <v>1.43947910563621</v>
      </c>
      <c r="AO55" s="25">
        <v>3.33552953876418</v>
      </c>
      <c r="AP55" s="25">
        <v>1.82634321494186</v>
      </c>
      <c r="AQ55" s="25">
        <v>0.875694344300176</v>
      </c>
      <c r="AR55" s="25">
        <v>1.80681708784961</v>
      </c>
      <c r="AS55" s="25">
        <v>5.43211925788367</v>
      </c>
      <c r="AT55" s="25">
        <v>2.33069072548969</v>
      </c>
      <c r="AU55" s="25">
        <v>0.799235126385801</v>
      </c>
      <c r="AV55" s="26">
        <f t="shared" ref="AV55:AW55" si="113">(AC55-AC$289)/AC$290</f>
        <v>0.02791801513</v>
      </c>
      <c r="AW55" s="27">
        <f t="shared" si="113"/>
        <v>0.03102824643</v>
      </c>
      <c r="AX55" s="27">
        <f t="shared" si="5"/>
        <v>-0.003044256052</v>
      </c>
      <c r="AY55" s="28">
        <f t="shared" si="6"/>
        <v>0.008175075204</v>
      </c>
      <c r="AZ55" s="29">
        <f t="shared" si="7"/>
        <v>-0.007027324514</v>
      </c>
      <c r="BA55" s="28">
        <f t="shared" si="8"/>
        <v>0.004472005478</v>
      </c>
      <c r="BB55" s="29">
        <f t="shared" si="9"/>
        <v>0.007468671426</v>
      </c>
      <c r="BC55" s="27">
        <f t="shared" si="10"/>
        <v>0.00635974486</v>
      </c>
      <c r="BD55" s="28">
        <f t="shared" si="11"/>
        <v>0.002754190274</v>
      </c>
      <c r="BE55" s="30">
        <f t="shared" ref="BE55:BF55" si="114">((S55-S$289)/S$290)</f>
        <v>-0.7890450349</v>
      </c>
      <c r="BF55" s="30">
        <f t="shared" si="114"/>
        <v>-0.4238024166</v>
      </c>
    </row>
    <row r="56">
      <c r="A56" s="21" t="s">
        <v>67</v>
      </c>
      <c r="B56" s="22">
        <f t="shared" si="3"/>
        <v>0.04324939906</v>
      </c>
      <c r="C56" s="21" t="s">
        <v>68</v>
      </c>
      <c r="D56" s="21" t="s">
        <v>69</v>
      </c>
      <c r="E56" s="23">
        <v>72.0</v>
      </c>
      <c r="F56" s="24" t="s">
        <v>70</v>
      </c>
      <c r="G56" s="21" t="s">
        <v>82</v>
      </c>
      <c r="H56" s="24" t="s">
        <v>83</v>
      </c>
      <c r="I56" s="24" t="s">
        <v>73</v>
      </c>
      <c r="J56" s="24" t="s">
        <v>90</v>
      </c>
      <c r="K56" s="24" t="s">
        <v>101</v>
      </c>
      <c r="L56" s="21" t="s">
        <v>76</v>
      </c>
      <c r="M56" s="24" t="s">
        <v>77</v>
      </c>
      <c r="N56" s="21" t="s">
        <v>86</v>
      </c>
      <c r="O56" s="21" t="s">
        <v>102</v>
      </c>
      <c r="P56" s="21" t="s">
        <v>80</v>
      </c>
      <c r="Q56" s="24" t="s">
        <v>89</v>
      </c>
      <c r="S56" s="25">
        <v>178.468549728393</v>
      </c>
      <c r="T56" s="25">
        <v>160.068596363067</v>
      </c>
      <c r="U56" s="25">
        <v>1.91986222172521</v>
      </c>
      <c r="V56" s="25">
        <v>5.91006690662148</v>
      </c>
      <c r="W56" s="25">
        <v>2.43106291704297</v>
      </c>
      <c r="X56" s="25">
        <v>0.773061425700332</v>
      </c>
      <c r="Y56" s="25">
        <v>0.0661322449940779</v>
      </c>
      <c r="Z56" s="25">
        <v>0.00690258846396006</v>
      </c>
      <c r="AA56" s="25">
        <v>0.0830818178903185</v>
      </c>
      <c r="AB56" s="25">
        <v>0.854807621725702</v>
      </c>
      <c r="AC56" s="25">
        <v>0.0658633148156567</v>
      </c>
      <c r="AD56" s="25">
        <v>0.0828484291825695</v>
      </c>
      <c r="AE56" s="25">
        <v>0.856324421983332</v>
      </c>
      <c r="AF56" s="25">
        <v>0.0959987914413342</v>
      </c>
      <c r="AG56" s="25">
        <v>0.12140972323267</v>
      </c>
      <c r="AH56" s="25">
        <v>0.69275419277561</v>
      </c>
      <c r="AI56" s="25">
        <v>10.0</v>
      </c>
      <c r="AJ56" s="25">
        <v>1.91986222172521</v>
      </c>
      <c r="AK56" s="25">
        <v>5.91006690662148</v>
      </c>
      <c r="AL56" s="25">
        <v>2.43106291704297</v>
      </c>
      <c r="AM56" s="25">
        <v>0.773015731442289</v>
      </c>
      <c r="AN56" s="25">
        <v>1.53589591077068</v>
      </c>
      <c r="AO56" s="25">
        <v>3.73254417649444</v>
      </c>
      <c r="AP56" s="25">
        <v>1.93197934163242</v>
      </c>
      <c r="AQ56" s="25">
        <v>0.856324421983332</v>
      </c>
      <c r="AR56" s="25">
        <v>2.23863848375</v>
      </c>
      <c r="AS56" s="25">
        <v>8.0157347525818</v>
      </c>
      <c r="AT56" s="25">
        <v>2.83120729593963</v>
      </c>
      <c r="AU56" s="25">
        <v>0.69275419277561</v>
      </c>
      <c r="AV56" s="26">
        <f t="shared" ref="AV56:AW56" si="115">(AC56-AC$289)/AC$290</f>
        <v>0.1738291696</v>
      </c>
      <c r="AW56" s="27">
        <f t="shared" si="115"/>
        <v>0.1652123796</v>
      </c>
      <c r="AX56" s="27">
        <f t="shared" si="5"/>
        <v>0.1798476796</v>
      </c>
      <c r="AY56" s="28">
        <f t="shared" si="6"/>
        <v>0.1747585736</v>
      </c>
      <c r="AZ56" s="29">
        <f t="shared" si="7"/>
        <v>0.1310495867</v>
      </c>
      <c r="BA56" s="28">
        <f t="shared" si="8"/>
        <v>0.1197566324</v>
      </c>
      <c r="BB56" s="29">
        <f t="shared" si="9"/>
        <v>0.02864483329</v>
      </c>
      <c r="BC56" s="27">
        <f t="shared" si="10"/>
        <v>0.1661453925</v>
      </c>
      <c r="BD56" s="28">
        <f t="shared" si="11"/>
        <v>0.0774307398</v>
      </c>
      <c r="BE56" s="30">
        <f t="shared" ref="BE56:BF56" si="116">((S56-S$289)/S$290)</f>
        <v>-0.7906180568</v>
      </c>
      <c r="BF56" s="30">
        <f t="shared" si="116"/>
        <v>-0.9018003199</v>
      </c>
    </row>
    <row r="57">
      <c r="A57" s="21" t="s">
        <v>67</v>
      </c>
      <c r="B57" s="22">
        <f t="shared" si="3"/>
        <v>0.1172497857</v>
      </c>
      <c r="C57" s="21" t="s">
        <v>68</v>
      </c>
      <c r="D57" s="21" t="s">
        <v>69</v>
      </c>
      <c r="E57" s="23">
        <v>37.0</v>
      </c>
      <c r="F57" s="24" t="s">
        <v>70</v>
      </c>
      <c r="G57" s="21" t="s">
        <v>82</v>
      </c>
      <c r="H57" s="24" t="s">
        <v>83</v>
      </c>
      <c r="I57" s="24" t="s">
        <v>95</v>
      </c>
      <c r="J57" s="24" t="s">
        <v>99</v>
      </c>
      <c r="K57" s="24" t="s">
        <v>101</v>
      </c>
      <c r="L57" s="21" t="s">
        <v>76</v>
      </c>
      <c r="M57" s="24" t="s">
        <v>77</v>
      </c>
      <c r="N57" s="21" t="s">
        <v>78</v>
      </c>
      <c r="O57" s="21" t="s">
        <v>102</v>
      </c>
      <c r="P57" s="21" t="s">
        <v>80</v>
      </c>
      <c r="Q57" s="24" t="s">
        <v>89</v>
      </c>
      <c r="S57" s="25">
        <v>247.336405754089</v>
      </c>
      <c r="T57" s="25">
        <v>167.573885202407</v>
      </c>
      <c r="U57" s="25">
        <v>1.6346478083627</v>
      </c>
      <c r="V57" s="25">
        <v>4.42186455351733</v>
      </c>
      <c r="W57" s="25">
        <v>2.10282299624037</v>
      </c>
      <c r="X57" s="25">
        <v>0.831367745289937</v>
      </c>
      <c r="Y57" s="25">
        <v>0.0647221433546919</v>
      </c>
      <c r="Z57" s="25">
        <v>0.00661790781948262</v>
      </c>
      <c r="AA57" s="25">
        <v>0.0813505243958674</v>
      </c>
      <c r="AB57" s="25">
        <v>0.861479801466897</v>
      </c>
      <c r="AC57" s="25">
        <v>0.0649601205496844</v>
      </c>
      <c r="AD57" s="25">
        <v>0.0815109351914359</v>
      </c>
      <c r="AE57" s="25">
        <v>0.861632458595247</v>
      </c>
      <c r="AF57" s="25">
        <v>0.0795260180611062</v>
      </c>
      <c r="AG57" s="25">
        <v>0.102240178320722</v>
      </c>
      <c r="AH57" s="25">
        <v>0.78390584134178</v>
      </c>
      <c r="AI57" s="25">
        <v>10.0</v>
      </c>
      <c r="AJ57" s="25">
        <v>1.6346478083627</v>
      </c>
      <c r="AK57" s="25">
        <v>4.42186455351733</v>
      </c>
      <c r="AL57" s="25">
        <v>2.10282299624037</v>
      </c>
      <c r="AM57" s="25">
        <v>0.831327769845075</v>
      </c>
      <c r="AN57" s="25">
        <v>1.51483392226279</v>
      </c>
      <c r="AO57" s="25">
        <v>3.61300157794861</v>
      </c>
      <c r="AP57" s="25">
        <v>1.9007897248114</v>
      </c>
      <c r="AQ57" s="25">
        <v>0.861632458595246</v>
      </c>
      <c r="AR57" s="25">
        <v>1.85450256006387</v>
      </c>
      <c r="AS57" s="25">
        <v>5.68433410088025</v>
      </c>
      <c r="AT57" s="25">
        <v>2.38418415834017</v>
      </c>
      <c r="AU57" s="25">
        <v>0.78390584134178</v>
      </c>
      <c r="AV57" s="26">
        <f t="shared" ref="AV57:AW57" si="117">(AC57-AC$289)/AC$290</f>
        <v>0.1552914144</v>
      </c>
      <c r="AW57" s="27">
        <f t="shared" si="117"/>
        <v>0.1435993475</v>
      </c>
      <c r="AX57" s="27">
        <f t="shared" si="5"/>
        <v>0.0171522613</v>
      </c>
      <c r="AY57" s="28">
        <f t="shared" si="6"/>
        <v>0.02597892769</v>
      </c>
      <c r="AZ57" s="29">
        <f t="shared" si="7"/>
        <v>-0.01534867601</v>
      </c>
      <c r="BA57" s="28">
        <f t="shared" si="8"/>
        <v>-0.01039672953</v>
      </c>
      <c r="BB57" s="29">
        <f t="shared" si="9"/>
        <v>0.02284182383</v>
      </c>
      <c r="BC57" s="27">
        <f t="shared" si="10"/>
        <v>0.02936292163</v>
      </c>
      <c r="BD57" s="28">
        <f t="shared" si="11"/>
        <v>0.001163624907</v>
      </c>
      <c r="BE57" s="30">
        <f t="shared" ref="BE57:BF57" si="118">((S57-S$289)/S$290)</f>
        <v>-0.7726007904</v>
      </c>
      <c r="BF57" s="30">
        <f t="shared" si="118"/>
        <v>-0.8867917679</v>
      </c>
    </row>
    <row r="58">
      <c r="A58" s="21" t="s">
        <v>88</v>
      </c>
      <c r="B58" s="22">
        <f t="shared" si="3"/>
        <v>-0.008244028623</v>
      </c>
      <c r="C58" s="21" t="s">
        <v>68</v>
      </c>
      <c r="D58" s="21" t="s">
        <v>69</v>
      </c>
      <c r="E58" s="23">
        <v>78.0</v>
      </c>
      <c r="F58" s="24" t="s">
        <v>70</v>
      </c>
      <c r="G58" s="21" t="s">
        <v>71</v>
      </c>
      <c r="H58" s="24" t="s">
        <v>72</v>
      </c>
      <c r="I58" s="24" t="s">
        <v>73</v>
      </c>
      <c r="J58" s="24" t="s">
        <v>90</v>
      </c>
      <c r="K58" s="24" t="s">
        <v>75</v>
      </c>
      <c r="L58" s="21" t="s">
        <v>84</v>
      </c>
      <c r="M58" s="24" t="s">
        <v>85</v>
      </c>
      <c r="N58" s="21" t="s">
        <v>86</v>
      </c>
      <c r="O58" s="21" t="s">
        <v>102</v>
      </c>
      <c r="P58" s="21" t="s">
        <v>80</v>
      </c>
      <c r="Q58" s="24" t="s">
        <v>103</v>
      </c>
      <c r="R58" s="24" t="s">
        <v>81</v>
      </c>
      <c r="S58" s="25">
        <v>146.99822640419</v>
      </c>
      <c r="T58" s="25">
        <v>172.386068582534</v>
      </c>
      <c r="U58" s="25">
        <v>1.98102866727382</v>
      </c>
      <c r="V58" s="25">
        <v>5.87558451925009</v>
      </c>
      <c r="W58" s="25">
        <v>2.42396050282385</v>
      </c>
      <c r="X58" s="25">
        <v>0.774280665205217</v>
      </c>
      <c r="Y58" s="25">
        <v>0.0811793487963257</v>
      </c>
      <c r="Z58" s="25">
        <v>0.00987201216141449</v>
      </c>
      <c r="AA58" s="25">
        <v>0.0993579999869889</v>
      </c>
      <c r="AB58" s="25">
        <v>0.791466801497523</v>
      </c>
      <c r="AC58" s="25">
        <v>0.0806442750923099</v>
      </c>
      <c r="AD58" s="25">
        <v>0.098896636131221</v>
      </c>
      <c r="AE58" s="25">
        <v>0.794601258049731</v>
      </c>
      <c r="AF58" s="25">
        <v>0.0947596239567363</v>
      </c>
      <c r="AG58" s="25">
        <v>0.11521441617805</v>
      </c>
      <c r="AH58" s="25">
        <v>0.723995048268544</v>
      </c>
      <c r="AI58" s="25">
        <v>10.0</v>
      </c>
      <c r="AJ58" s="25">
        <v>1.98102866727382</v>
      </c>
      <c r="AK58" s="25">
        <v>5.87558451925009</v>
      </c>
      <c r="AL58" s="25">
        <v>2.42396050282385</v>
      </c>
      <c r="AM58" s="25">
        <v>0.774185500059909</v>
      </c>
      <c r="AN58" s="25">
        <v>1.88057969277763</v>
      </c>
      <c r="AO58" s="25">
        <v>5.3186258366228</v>
      </c>
      <c r="AP58" s="25">
        <v>2.30621461200444</v>
      </c>
      <c r="AQ58" s="25">
        <v>0.794601258049731</v>
      </c>
      <c r="AR58" s="25">
        <v>2.20974178643557</v>
      </c>
      <c r="AS58" s="25">
        <v>7.21855128621456</v>
      </c>
      <c r="AT58" s="25">
        <v>2.68673617726314</v>
      </c>
      <c r="AU58" s="25">
        <v>0.723995048268544</v>
      </c>
      <c r="AV58" s="26">
        <f t="shared" ref="AV58:AW58" si="119">(AC58-AC$289)/AC$290</f>
        <v>0.4772033537</v>
      </c>
      <c r="AW58" s="27">
        <f t="shared" si="119"/>
        <v>0.4245409545</v>
      </c>
      <c r="AX58" s="27">
        <f t="shared" si="5"/>
        <v>0.1676088861</v>
      </c>
      <c r="AY58" s="28">
        <f t="shared" si="6"/>
        <v>0.1266752417</v>
      </c>
      <c r="AZ58" s="29">
        <f t="shared" si="7"/>
        <v>0.1624458309</v>
      </c>
      <c r="BA58" s="28">
        <f t="shared" si="8"/>
        <v>0.1169403903</v>
      </c>
      <c r="BB58" s="29">
        <f t="shared" si="9"/>
        <v>0.09612366407</v>
      </c>
      <c r="BC58" s="27">
        <f t="shared" si="10"/>
        <v>0.1192652595</v>
      </c>
      <c r="BD58" s="28">
        <f t="shared" si="11"/>
        <v>0.07590078338</v>
      </c>
      <c r="BE58" s="30">
        <f t="shared" ref="BE58:BF58" si="120">((S58-S$289)/S$290)</f>
        <v>-0.7988513492</v>
      </c>
      <c r="BF58" s="30">
        <f t="shared" si="120"/>
        <v>-0.8771687</v>
      </c>
    </row>
    <row r="59">
      <c r="A59" s="21" t="s">
        <v>88</v>
      </c>
      <c r="B59" s="22">
        <f t="shared" si="3"/>
        <v>-0.05755393531</v>
      </c>
      <c r="C59" s="21" t="s">
        <v>68</v>
      </c>
      <c r="D59" s="21" t="s">
        <v>69</v>
      </c>
      <c r="E59" s="23">
        <v>15.0</v>
      </c>
      <c r="F59" s="24" t="s">
        <v>70</v>
      </c>
      <c r="G59" s="21" t="s">
        <v>82</v>
      </c>
      <c r="H59" s="24" t="s">
        <v>83</v>
      </c>
      <c r="I59" s="24" t="s">
        <v>73</v>
      </c>
      <c r="J59" s="24" t="s">
        <v>74</v>
      </c>
      <c r="K59" s="24" t="s">
        <v>75</v>
      </c>
      <c r="L59" s="21" t="s">
        <v>84</v>
      </c>
      <c r="M59" s="24" t="s">
        <v>85</v>
      </c>
      <c r="N59" s="21" t="s">
        <v>104</v>
      </c>
      <c r="O59" s="21" t="s">
        <v>91</v>
      </c>
      <c r="P59" s="21" t="s">
        <v>80</v>
      </c>
      <c r="Q59" s="24" t="s">
        <v>87</v>
      </c>
      <c r="R59" s="24" t="s">
        <v>87</v>
      </c>
      <c r="S59" s="25">
        <v>115.668999433517</v>
      </c>
      <c r="T59" s="25">
        <v>177.356472730636</v>
      </c>
      <c r="U59" s="25">
        <v>2.19504240210031</v>
      </c>
      <c r="V59" s="25">
        <v>7.57467953564289</v>
      </c>
      <c r="W59" s="25">
        <v>2.75221357013639</v>
      </c>
      <c r="X59" s="25">
        <v>0.709119699105298</v>
      </c>
      <c r="Y59" s="25">
        <v>0.0894182256429978</v>
      </c>
      <c r="Z59" s="25">
        <v>0.0116881060802545</v>
      </c>
      <c r="AA59" s="25">
        <v>0.108111544620611</v>
      </c>
      <c r="AB59" s="25">
        <v>0.754146733768793</v>
      </c>
      <c r="AC59" s="25">
        <v>0.0896804918573197</v>
      </c>
      <c r="AD59" s="25">
        <v>0.10828053323406</v>
      </c>
      <c r="AE59" s="25">
        <v>0.754577052555402</v>
      </c>
      <c r="AF59" s="25">
        <v>0.0863183401027041</v>
      </c>
      <c r="AG59" s="25">
        <v>0.109603282225532</v>
      </c>
      <c r="AH59" s="25">
        <v>0.749604715022913</v>
      </c>
      <c r="AI59" s="25">
        <v>10.0</v>
      </c>
      <c r="AJ59" s="25">
        <v>2.19504240210031</v>
      </c>
      <c r="AK59" s="25">
        <v>7.57467953564289</v>
      </c>
      <c r="AL59" s="25">
        <v>2.75221357013639</v>
      </c>
      <c r="AM59" s="25">
        <v>0.709083988198057</v>
      </c>
      <c r="AN59" s="25">
        <v>2.09129924761723</v>
      </c>
      <c r="AO59" s="25">
        <v>6.37583649154461</v>
      </c>
      <c r="AP59" s="25">
        <v>2.52504187916648</v>
      </c>
      <c r="AQ59" s="25">
        <v>0.754577052555402</v>
      </c>
      <c r="AR59" s="25">
        <v>2.01289573656169</v>
      </c>
      <c r="AS59" s="25">
        <v>6.53256168344591</v>
      </c>
      <c r="AT59" s="25">
        <v>2.55588765078708</v>
      </c>
      <c r="AU59" s="25">
        <v>0.749604715022913</v>
      </c>
      <c r="AV59" s="26">
        <f t="shared" ref="AV59:AW59" si="121">(AC59-AC$289)/AC$290</f>
        <v>0.6626686305</v>
      </c>
      <c r="AW59" s="27">
        <f t="shared" si="121"/>
        <v>0.5761786215</v>
      </c>
      <c r="AX59" s="27">
        <f t="shared" si="5"/>
        <v>0.0842374843</v>
      </c>
      <c r="AY59" s="28">
        <f t="shared" si="6"/>
        <v>0.08312582381</v>
      </c>
      <c r="AZ59" s="29">
        <f t="shared" si="7"/>
        <v>0.2722973584</v>
      </c>
      <c r="BA59" s="28">
        <f t="shared" si="8"/>
        <v>0.247098965</v>
      </c>
      <c r="BB59" s="29">
        <f t="shared" si="9"/>
        <v>0.1398801149</v>
      </c>
      <c r="BC59" s="27">
        <f t="shared" si="10"/>
        <v>0.08083530732</v>
      </c>
      <c r="BD59" s="28">
        <f t="shared" si="11"/>
        <v>0.1610479437</v>
      </c>
      <c r="BE59" s="30">
        <f t="shared" ref="BE59:BF59" si="122">((S59-S$289)/S$290)</f>
        <v>-0.8070477278</v>
      </c>
      <c r="BF59" s="30">
        <f t="shared" si="122"/>
        <v>-0.8672292333</v>
      </c>
    </row>
    <row r="60">
      <c r="A60" s="21" t="s">
        <v>67</v>
      </c>
      <c r="B60" s="22">
        <f t="shared" si="3"/>
        <v>0.06578558438</v>
      </c>
      <c r="C60" s="21" t="s">
        <v>68</v>
      </c>
      <c r="D60" s="21" t="s">
        <v>69</v>
      </c>
      <c r="E60" s="23">
        <v>191.0</v>
      </c>
      <c r="F60" s="24" t="s">
        <v>97</v>
      </c>
      <c r="G60" s="21" t="s">
        <v>82</v>
      </c>
      <c r="H60" s="24" t="s">
        <v>98</v>
      </c>
      <c r="I60" s="24" t="s">
        <v>73</v>
      </c>
      <c r="J60" s="24" t="s">
        <v>74</v>
      </c>
      <c r="K60" s="24" t="s">
        <v>75</v>
      </c>
      <c r="L60" s="21" t="s">
        <v>84</v>
      </c>
      <c r="M60" s="24" t="s">
        <v>85</v>
      </c>
      <c r="N60" s="21" t="s">
        <v>78</v>
      </c>
      <c r="O60" s="21" t="s">
        <v>91</v>
      </c>
      <c r="P60" s="21" t="s">
        <v>80</v>
      </c>
      <c r="Q60" s="24" t="s">
        <v>103</v>
      </c>
      <c r="R60" s="24" t="s">
        <v>81</v>
      </c>
      <c r="S60" s="25">
        <v>156.073505640029</v>
      </c>
      <c r="T60" s="25">
        <v>428.50810098648</v>
      </c>
      <c r="U60" s="25">
        <v>1.60222078766434</v>
      </c>
      <c r="V60" s="25">
        <v>4.25469153623653</v>
      </c>
      <c r="W60" s="25">
        <v>2.06269036363593</v>
      </c>
      <c r="X60" s="25">
        <v>0.842388037033939</v>
      </c>
      <c r="Y60" s="25">
        <v>0.0678543530748863</v>
      </c>
      <c r="Z60" s="25">
        <v>0.00692052347316455</v>
      </c>
      <c r="AA60" s="25">
        <v>0.0831896836943413</v>
      </c>
      <c r="AB60" s="25">
        <v>0.844952020240762</v>
      </c>
      <c r="AC60" s="25">
        <v>0.0678484548653571</v>
      </c>
      <c r="AD60" s="25">
        <v>0.0831104277994503</v>
      </c>
      <c r="AE60" s="25">
        <v>0.845974386782438</v>
      </c>
      <c r="AF60" s="25">
        <v>0.0776605968905556</v>
      </c>
      <c r="AG60" s="25">
        <v>0.097412600314585</v>
      </c>
      <c r="AH60" s="25">
        <v>0.789426513187681</v>
      </c>
      <c r="AI60" s="25">
        <v>10.0</v>
      </c>
      <c r="AJ60" s="25">
        <v>1.60222078766433</v>
      </c>
      <c r="AK60" s="25">
        <v>4.25469153623653</v>
      </c>
      <c r="AL60" s="25">
        <v>2.06269036363593</v>
      </c>
      <c r="AM60" s="25">
        <v>0.842363744264176</v>
      </c>
      <c r="AN60" s="25">
        <v>1.66228714420131</v>
      </c>
      <c r="AO60" s="25">
        <v>4.14613276120686</v>
      </c>
      <c r="AP60" s="25">
        <v>2.03620548108653</v>
      </c>
      <c r="AQ60" s="25">
        <v>0.845974386782438</v>
      </c>
      <c r="AR60" s="25">
        <v>1.90268462381866</v>
      </c>
      <c r="AS60" s="25">
        <v>5.69590112370447</v>
      </c>
      <c r="AT60" s="25">
        <v>2.38660870770733</v>
      </c>
      <c r="AU60" s="25">
        <v>0.789426513187681</v>
      </c>
      <c r="AV60" s="26">
        <f t="shared" ref="AV60:AW60" si="123">(AC60-AC$289)/AC$290</f>
        <v>0.2145734942</v>
      </c>
      <c r="AW60" s="27">
        <f t="shared" si="123"/>
        <v>0.1694461066</v>
      </c>
      <c r="AX60" s="27">
        <f t="shared" si="5"/>
        <v>0.03755910308</v>
      </c>
      <c r="AY60" s="28">
        <f t="shared" si="6"/>
        <v>0.02678587383</v>
      </c>
      <c r="AZ60" s="29">
        <f t="shared" si="7"/>
        <v>-0.03199320473</v>
      </c>
      <c r="BA60" s="28">
        <f t="shared" si="8"/>
        <v>-0.02631008048</v>
      </c>
      <c r="BB60" s="29">
        <f t="shared" si="9"/>
        <v>0.03996000622</v>
      </c>
      <c r="BC60" s="27">
        <f t="shared" si="10"/>
        <v>0.02107858286</v>
      </c>
      <c r="BD60" s="28">
        <f t="shared" si="11"/>
        <v>-0.01327047742</v>
      </c>
      <c r="BE60" s="30">
        <f t="shared" ref="BE60:BF60" si="124">((S60-S$289)/S$290)</f>
        <v>-0.796477067</v>
      </c>
      <c r="BF60" s="30">
        <f t="shared" si="124"/>
        <v>-0.3649937653</v>
      </c>
    </row>
    <row r="61">
      <c r="A61" s="21" t="s">
        <v>88</v>
      </c>
      <c r="B61" s="22">
        <f t="shared" si="3"/>
        <v>0.1498054173</v>
      </c>
      <c r="C61" s="21" t="s">
        <v>68</v>
      </c>
      <c r="D61" s="21" t="s">
        <v>69</v>
      </c>
      <c r="E61" s="23">
        <v>240.0</v>
      </c>
      <c r="F61" s="24" t="s">
        <v>97</v>
      </c>
      <c r="G61" s="21" t="s">
        <v>71</v>
      </c>
      <c r="H61" s="24" t="s">
        <v>105</v>
      </c>
      <c r="I61" s="24" t="s">
        <v>73</v>
      </c>
      <c r="J61" s="24" t="s">
        <v>74</v>
      </c>
      <c r="K61" s="24" t="s">
        <v>75</v>
      </c>
      <c r="L61" s="21" t="s">
        <v>84</v>
      </c>
      <c r="M61" s="24" t="s">
        <v>77</v>
      </c>
      <c r="N61" s="21" t="s">
        <v>78</v>
      </c>
      <c r="O61" s="21" t="s">
        <v>79</v>
      </c>
      <c r="P61" s="21" t="s">
        <v>80</v>
      </c>
      <c r="Q61" s="24" t="s">
        <v>87</v>
      </c>
      <c r="S61" s="25">
        <v>193.381443023681</v>
      </c>
      <c r="T61" s="25">
        <v>541.85521864891</v>
      </c>
      <c r="U61" s="25">
        <v>1.67365940032722</v>
      </c>
      <c r="V61" s="25">
        <v>4.67761222432165</v>
      </c>
      <c r="W61" s="25">
        <v>2.16277882001874</v>
      </c>
      <c r="X61" s="25">
        <v>0.826599907752932</v>
      </c>
      <c r="Y61" s="25">
        <v>0.0389356143182269</v>
      </c>
      <c r="Z61" s="25">
        <v>0.0024368227766407</v>
      </c>
      <c r="AA61" s="25">
        <v>0.0493641851613161</v>
      </c>
      <c r="AB61" s="25">
        <v>0.945191463104607</v>
      </c>
      <c r="AC61" s="25">
        <v>0.0386882057503316</v>
      </c>
      <c r="AD61" s="25">
        <v>0.0491407093948545</v>
      </c>
      <c r="AE61" s="25">
        <v>0.945981675456664</v>
      </c>
      <c r="AF61" s="25">
        <v>0.0769283838934646</v>
      </c>
      <c r="AG61" s="25">
        <v>0.0978726870927782</v>
      </c>
      <c r="AH61" s="25">
        <v>0.787492811009286</v>
      </c>
      <c r="AI61" s="25">
        <v>10.0</v>
      </c>
      <c r="AJ61" s="25">
        <v>1.67365940032722</v>
      </c>
      <c r="AK61" s="25">
        <v>4.67761222432165</v>
      </c>
      <c r="AL61" s="25">
        <v>2.16277882001874</v>
      </c>
      <c r="AM61" s="25">
        <v>0.826527796644892</v>
      </c>
      <c r="AN61" s="25">
        <v>0.947861040883105</v>
      </c>
      <c r="AO61" s="25">
        <v>1.44948929422767</v>
      </c>
      <c r="AP61" s="25">
        <v>1.20394738017393</v>
      </c>
      <c r="AQ61" s="25">
        <v>0.945981675456664</v>
      </c>
      <c r="AR61" s="25">
        <v>1.88474540538991</v>
      </c>
      <c r="AS61" s="25">
        <v>5.7498324929762</v>
      </c>
      <c r="AT61" s="25">
        <v>2.39788083377306</v>
      </c>
      <c r="AU61" s="25">
        <v>0.787492811009286</v>
      </c>
      <c r="AV61" s="26">
        <f t="shared" ref="AV61:AW61" si="125">(AC61-AC$289)/AC$290</f>
        <v>-0.3839307044</v>
      </c>
      <c r="AW61" s="27">
        <f t="shared" si="125"/>
        <v>-0.3794824243</v>
      </c>
      <c r="AX61" s="27">
        <f t="shared" si="5"/>
        <v>0.02996119706</v>
      </c>
      <c r="AY61" s="28">
        <f t="shared" si="6"/>
        <v>0.03053749826</v>
      </c>
      <c r="AZ61" s="29">
        <f t="shared" si="7"/>
        <v>0.004675660149</v>
      </c>
      <c r="BA61" s="28">
        <f t="shared" si="8"/>
        <v>0.01337689316</v>
      </c>
      <c r="BB61" s="29">
        <f t="shared" si="9"/>
        <v>-0.06937293265</v>
      </c>
      <c r="BC61" s="27">
        <f t="shared" si="10"/>
        <v>0.02398030286</v>
      </c>
      <c r="BD61" s="28">
        <f t="shared" si="11"/>
        <v>0.007441575697</v>
      </c>
      <c r="BE61" s="30">
        <f t="shared" ref="BE61:BF61" si="126">((S61-S$289)/S$290)</f>
        <v>-0.7867165331</v>
      </c>
      <c r="BF61" s="30">
        <f t="shared" si="126"/>
        <v>-0.1383301236</v>
      </c>
    </row>
    <row r="62">
      <c r="A62" s="21" t="s">
        <v>88</v>
      </c>
      <c r="B62" s="22">
        <f t="shared" si="3"/>
        <v>0.07588880171</v>
      </c>
      <c r="C62" s="21" t="s">
        <v>68</v>
      </c>
      <c r="D62" s="21" t="s">
        <v>69</v>
      </c>
      <c r="E62" s="23">
        <v>227.0</v>
      </c>
      <c r="F62" s="24" t="s">
        <v>97</v>
      </c>
      <c r="G62" s="21" t="s">
        <v>71</v>
      </c>
      <c r="H62" s="24" t="s">
        <v>105</v>
      </c>
      <c r="I62" s="24" t="s">
        <v>73</v>
      </c>
      <c r="J62" s="24" t="s">
        <v>99</v>
      </c>
      <c r="K62" s="24" t="s">
        <v>75</v>
      </c>
      <c r="L62" s="21" t="s">
        <v>76</v>
      </c>
      <c r="M62" s="24" t="s">
        <v>85</v>
      </c>
      <c r="N62" s="21" t="s">
        <v>78</v>
      </c>
      <c r="O62" s="21" t="s">
        <v>79</v>
      </c>
      <c r="P62" s="21" t="s">
        <v>80</v>
      </c>
      <c r="Q62" s="24" t="s">
        <v>89</v>
      </c>
      <c r="R62" s="24" t="s">
        <v>81</v>
      </c>
      <c r="S62" s="25">
        <v>148.245394468307</v>
      </c>
      <c r="T62" s="25">
        <v>442.672178506851</v>
      </c>
      <c r="U62" s="25">
        <v>1.93101133354866</v>
      </c>
      <c r="V62" s="25">
        <v>6.11805561926544</v>
      </c>
      <c r="W62" s="25">
        <v>2.47347035948794</v>
      </c>
      <c r="X62" s="25">
        <v>0.773190046066307</v>
      </c>
      <c r="Y62" s="25">
        <v>0.0451028658666133</v>
      </c>
      <c r="Z62" s="25">
        <v>0.0033591227327744</v>
      </c>
      <c r="AA62" s="25">
        <v>0.0579579393420298</v>
      </c>
      <c r="AB62" s="25">
        <v>0.924447274541146</v>
      </c>
      <c r="AC62" s="25">
        <v>0.0450640888171428</v>
      </c>
      <c r="AD62" s="25">
        <v>0.0578389048856802</v>
      </c>
      <c r="AE62" s="25">
        <v>0.925166098243742</v>
      </c>
      <c r="AF62" s="25">
        <v>0.092241218559439</v>
      </c>
      <c r="AG62" s="25">
        <v>0.11398366045299</v>
      </c>
      <c r="AH62" s="25">
        <v>0.711772243071317</v>
      </c>
      <c r="AI62" s="25">
        <v>10.0</v>
      </c>
      <c r="AJ62" s="25">
        <v>1.93101133354861</v>
      </c>
      <c r="AK62" s="25">
        <v>6.11805561926544</v>
      </c>
      <c r="AL62" s="25">
        <v>2.47347035948794</v>
      </c>
      <c r="AM62" s="25">
        <v>0.773108043671365</v>
      </c>
      <c r="AN62" s="25">
        <v>1.10407017602001</v>
      </c>
      <c r="AO62" s="25">
        <v>2.00803968575444</v>
      </c>
      <c r="AP62" s="25">
        <v>1.41705316969916</v>
      </c>
      <c r="AQ62" s="25">
        <v>0.925166098243742</v>
      </c>
      <c r="AR62" s="25">
        <v>2.25990985470624</v>
      </c>
      <c r="AS62" s="25">
        <v>7.79861297887014</v>
      </c>
      <c r="AT62" s="25">
        <v>2.79259968109826</v>
      </c>
      <c r="AU62" s="25">
        <v>0.711772243071317</v>
      </c>
      <c r="AV62" s="26">
        <f t="shared" ref="AV62:AW62" si="127">(AC62-AC$289)/AC$290</f>
        <v>-0.2530678723</v>
      </c>
      <c r="AW62" s="27">
        <f t="shared" si="127"/>
        <v>-0.2389252488</v>
      </c>
      <c r="AX62" s="27">
        <f t="shared" si="5"/>
        <v>0.1888568724</v>
      </c>
      <c r="AY62" s="28">
        <f t="shared" si="6"/>
        <v>0.1619090659</v>
      </c>
      <c r="AZ62" s="29">
        <f t="shared" si="7"/>
        <v>0.1367723361</v>
      </c>
      <c r="BA62" s="28">
        <f t="shared" si="8"/>
        <v>0.1365719886</v>
      </c>
      <c r="BB62" s="29">
        <f t="shared" si="9"/>
        <v>-0.046616309</v>
      </c>
      <c r="BC62" s="27">
        <f t="shared" si="10"/>
        <v>0.1376068422</v>
      </c>
      <c r="BD62" s="28">
        <f t="shared" si="11"/>
        <v>0.07731000337</v>
      </c>
      <c r="BE62" s="30">
        <f t="shared" ref="BE62:BF62" si="128">((S62-S$289)/S$290)</f>
        <v>-0.798525064</v>
      </c>
      <c r="BF62" s="30">
        <f t="shared" si="128"/>
        <v>-0.3366694333</v>
      </c>
    </row>
    <row r="63">
      <c r="A63" s="21" t="s">
        <v>67</v>
      </c>
      <c r="B63" s="22">
        <f t="shared" si="3"/>
        <v>0.1295203469</v>
      </c>
      <c r="C63" s="21" t="s">
        <v>68</v>
      </c>
      <c r="D63" s="21" t="s">
        <v>69</v>
      </c>
      <c r="E63" s="23">
        <v>200.0</v>
      </c>
      <c r="F63" s="24" t="s">
        <v>97</v>
      </c>
      <c r="G63" s="21" t="s">
        <v>82</v>
      </c>
      <c r="H63" s="24" t="s">
        <v>98</v>
      </c>
      <c r="I63" s="24" t="s">
        <v>73</v>
      </c>
      <c r="J63" s="24" t="s">
        <v>90</v>
      </c>
      <c r="K63" s="24" t="s">
        <v>75</v>
      </c>
      <c r="L63" s="21" t="s">
        <v>84</v>
      </c>
      <c r="M63" s="24" t="s">
        <v>77</v>
      </c>
      <c r="N63" s="21" t="s">
        <v>86</v>
      </c>
      <c r="O63" s="21" t="s">
        <v>79</v>
      </c>
      <c r="P63" s="21" t="s">
        <v>80</v>
      </c>
      <c r="Q63" s="24" t="s">
        <v>87</v>
      </c>
      <c r="S63" s="25">
        <v>193.80915236473</v>
      </c>
      <c r="T63" s="25">
        <v>572.781685113906</v>
      </c>
      <c r="U63" s="25">
        <v>1.57173096484435</v>
      </c>
      <c r="V63" s="25">
        <v>4.07065061568733</v>
      </c>
      <c r="W63" s="25">
        <v>2.01758534285103</v>
      </c>
      <c r="X63" s="25">
        <v>0.849212133136736</v>
      </c>
      <c r="Y63" s="25">
        <v>0.0502604230895963</v>
      </c>
      <c r="Z63" s="25">
        <v>0.00400375453152013</v>
      </c>
      <c r="AA63" s="25">
        <v>0.0632752284193437</v>
      </c>
      <c r="AB63" s="25">
        <v>0.91029955263193</v>
      </c>
      <c r="AC63" s="25">
        <v>0.0501268261625343</v>
      </c>
      <c r="AD63" s="25">
        <v>0.0631311116616644</v>
      </c>
      <c r="AE63" s="25">
        <v>0.911127216088441</v>
      </c>
      <c r="AF63" s="25">
        <v>0.0701492955037809</v>
      </c>
      <c r="AG63" s="25">
        <v>0.0889689361159855</v>
      </c>
      <c r="AH63" s="25">
        <v>0.824349168406763</v>
      </c>
      <c r="AI63" s="25">
        <v>10.0</v>
      </c>
      <c r="AJ63" s="25">
        <v>1.57173096484437</v>
      </c>
      <c r="AK63" s="25">
        <v>4.07065061568733</v>
      </c>
      <c r="AL63" s="25">
        <v>2.01758534285103</v>
      </c>
      <c r="AM63" s="25">
        <v>0.849182457529394</v>
      </c>
      <c r="AN63" s="25">
        <v>1.22810724098209</v>
      </c>
      <c r="AO63" s="25">
        <v>2.39231874009743</v>
      </c>
      <c r="AP63" s="25">
        <v>1.54671223571077</v>
      </c>
      <c r="AQ63" s="25">
        <v>0.911127216088441</v>
      </c>
      <c r="AR63" s="25">
        <v>1.71865773984259</v>
      </c>
      <c r="AS63" s="25">
        <v>4.7512618240646</v>
      </c>
      <c r="AT63" s="25">
        <v>2.17973893484164</v>
      </c>
      <c r="AU63" s="25">
        <v>0.824349168406763</v>
      </c>
      <c r="AV63" s="26">
        <f t="shared" ref="AV63:AW63" si="129">(AC63-AC$289)/AC$290</f>
        <v>-0.1491569096</v>
      </c>
      <c r="AW63" s="27">
        <f t="shared" si="129"/>
        <v>-0.1534066331</v>
      </c>
      <c r="AX63" s="27">
        <f t="shared" si="5"/>
        <v>-0.04038291957</v>
      </c>
      <c r="AY63" s="28">
        <f t="shared" si="6"/>
        <v>-0.04206517429</v>
      </c>
      <c r="AZ63" s="29">
        <f t="shared" si="7"/>
        <v>-0.04764338537</v>
      </c>
      <c r="BA63" s="28">
        <f t="shared" si="8"/>
        <v>-0.04419507777</v>
      </c>
      <c r="BB63" s="29">
        <f t="shared" si="9"/>
        <v>-0.03126830522</v>
      </c>
      <c r="BC63" s="27">
        <f t="shared" si="10"/>
        <v>-0.03132647119</v>
      </c>
      <c r="BD63" s="28">
        <f t="shared" si="11"/>
        <v>-0.02218876603</v>
      </c>
      <c r="BE63" s="30">
        <f t="shared" ref="BE63:BF63" si="130">((S63-S$289)/S$290)</f>
        <v>-0.7866046354</v>
      </c>
      <c r="BF63" s="30">
        <f t="shared" si="130"/>
        <v>-0.07648553801</v>
      </c>
    </row>
    <row r="64">
      <c r="A64" s="21" t="s">
        <v>67</v>
      </c>
      <c r="B64" s="22">
        <f t="shared" si="3"/>
        <v>0.04103759302</v>
      </c>
      <c r="C64" s="21" t="s">
        <v>68</v>
      </c>
      <c r="D64" s="21" t="s">
        <v>69</v>
      </c>
      <c r="E64" s="23">
        <v>262.0</v>
      </c>
      <c r="F64" s="24" t="s">
        <v>97</v>
      </c>
      <c r="G64" s="21" t="s">
        <v>71</v>
      </c>
      <c r="H64" s="24" t="s">
        <v>105</v>
      </c>
      <c r="I64" s="24" t="s">
        <v>73</v>
      </c>
      <c r="J64" s="24" t="s">
        <v>99</v>
      </c>
      <c r="K64" s="24" t="s">
        <v>75</v>
      </c>
      <c r="L64" s="21" t="s">
        <v>76</v>
      </c>
      <c r="M64" s="24" t="s">
        <v>85</v>
      </c>
      <c r="N64" s="21" t="s">
        <v>78</v>
      </c>
      <c r="O64" s="21" t="s">
        <v>91</v>
      </c>
      <c r="P64" s="21" t="s">
        <v>80</v>
      </c>
      <c r="Q64" s="24" t="s">
        <v>81</v>
      </c>
      <c r="R64" s="24" t="s">
        <v>81</v>
      </c>
      <c r="S64" s="25">
        <v>158.130316495895</v>
      </c>
      <c r="T64" s="25">
        <v>439.253897666931</v>
      </c>
      <c r="U64" s="25">
        <v>1.87955060901802</v>
      </c>
      <c r="V64" s="25">
        <v>5.86165030021879</v>
      </c>
      <c r="W64" s="25">
        <v>2.42108452975495</v>
      </c>
      <c r="X64" s="25">
        <v>0.782688151565776</v>
      </c>
      <c r="Y64" s="25">
        <v>0.064437691563251</v>
      </c>
      <c r="Z64" s="25">
        <v>0.00692141304328033</v>
      </c>
      <c r="AA64" s="25">
        <v>0.0831950301597417</v>
      </c>
      <c r="AB64" s="25">
        <v>0.844324944026565</v>
      </c>
      <c r="AC64" s="25">
        <v>0.0641075273841197</v>
      </c>
      <c r="AD64" s="25">
        <v>0.0828476609318804</v>
      </c>
      <c r="AE64" s="25">
        <v>0.84646097828713</v>
      </c>
      <c r="AF64" s="25">
        <v>0.0752519799941969</v>
      </c>
      <c r="AG64" s="25">
        <v>0.0970186878264205</v>
      </c>
      <c r="AH64" s="25">
        <v>0.79118514280024</v>
      </c>
      <c r="AI64" s="25">
        <v>10.0</v>
      </c>
      <c r="AJ64" s="25">
        <v>1.87955060901798</v>
      </c>
      <c r="AK64" s="25">
        <v>5.86165030021878</v>
      </c>
      <c r="AL64" s="25">
        <v>2.42108452975495</v>
      </c>
      <c r="AM64" s="25">
        <v>0.782616996853871</v>
      </c>
      <c r="AN64" s="25">
        <v>1.57063442091092</v>
      </c>
      <c r="AO64" s="25">
        <v>4.11995688686076</v>
      </c>
      <c r="AP64" s="25">
        <v>2.02976769283106</v>
      </c>
      <c r="AQ64" s="25">
        <v>0.84646097828713</v>
      </c>
      <c r="AR64" s="25">
        <v>1.84367350985785</v>
      </c>
      <c r="AS64" s="25">
        <v>5.64992862898314</v>
      </c>
      <c r="AT64" s="25">
        <v>2.3769578517473</v>
      </c>
      <c r="AU64" s="25">
        <v>0.79118514280024</v>
      </c>
      <c r="AV64" s="26">
        <f t="shared" ref="AV64:AW64" si="131">(AC64-AC$289)/AC$290</f>
        <v>0.1377922295</v>
      </c>
      <c r="AW64" s="27">
        <f t="shared" si="131"/>
        <v>0.1651999651</v>
      </c>
      <c r="AX64" s="27">
        <f t="shared" si="5"/>
        <v>0.01256576797</v>
      </c>
      <c r="AY64" s="28">
        <f t="shared" si="6"/>
        <v>0.02357384561</v>
      </c>
      <c r="AZ64" s="29">
        <f t="shared" si="7"/>
        <v>0.1103579604</v>
      </c>
      <c r="BA64" s="28">
        <f t="shared" si="8"/>
        <v>0.1158000123</v>
      </c>
      <c r="BB64" s="29">
        <f t="shared" si="9"/>
        <v>0.03942804021</v>
      </c>
      <c r="BC64" s="27">
        <f t="shared" si="10"/>
        <v>0.01843957734</v>
      </c>
      <c r="BD64" s="28">
        <f t="shared" si="11"/>
        <v>0.06487311307</v>
      </c>
      <c r="BE64" s="30">
        <f t="shared" ref="BE64:BF64" si="132">((S64-S$289)/S$290)</f>
        <v>-0.7959389624</v>
      </c>
      <c r="BF64" s="30">
        <f t="shared" si="132"/>
        <v>-0.3435050723</v>
      </c>
    </row>
    <row r="65">
      <c r="A65" s="21" t="s">
        <v>88</v>
      </c>
      <c r="B65" s="22">
        <f t="shared" si="3"/>
        <v>0.16756312</v>
      </c>
      <c r="C65" s="21" t="s">
        <v>68</v>
      </c>
      <c r="D65" s="21" t="s">
        <v>69</v>
      </c>
      <c r="E65" s="23">
        <v>95.0</v>
      </c>
      <c r="F65" s="24" t="s">
        <v>70</v>
      </c>
      <c r="G65" s="21" t="s">
        <v>71</v>
      </c>
      <c r="H65" s="24" t="s">
        <v>72</v>
      </c>
      <c r="I65" s="24" t="s">
        <v>73</v>
      </c>
      <c r="J65" s="24" t="s">
        <v>90</v>
      </c>
      <c r="K65" s="24" t="s">
        <v>75</v>
      </c>
      <c r="L65" s="21" t="s">
        <v>92</v>
      </c>
      <c r="M65" s="24" t="s">
        <v>85</v>
      </c>
      <c r="N65" s="21" t="s">
        <v>78</v>
      </c>
      <c r="O65" s="21" t="s">
        <v>79</v>
      </c>
      <c r="P65" s="21" t="s">
        <v>80</v>
      </c>
      <c r="Q65" s="24" t="s">
        <v>94</v>
      </c>
      <c r="R65" s="24" t="s">
        <v>96</v>
      </c>
      <c r="S65" s="25">
        <v>296.22872185707</v>
      </c>
      <c r="T65" s="25">
        <v>229.377349615097</v>
      </c>
      <c r="U65" s="25">
        <v>1.61706486266978</v>
      </c>
      <c r="V65" s="25">
        <v>4.35342886361054</v>
      </c>
      <c r="W65" s="25">
        <v>2.0864872066731</v>
      </c>
      <c r="X65" s="25">
        <v>0.832773391283088</v>
      </c>
      <c r="Y65" s="25">
        <v>0.0507618919055212</v>
      </c>
      <c r="Z65" s="25">
        <v>0.00418433709671915</v>
      </c>
      <c r="AA65" s="25">
        <v>0.0646864521883767</v>
      </c>
      <c r="AB65" s="25">
        <v>0.91161141374988</v>
      </c>
      <c r="AC65" s="25">
        <v>0.0504836191637136</v>
      </c>
      <c r="AD65" s="25">
        <v>0.0644065778698647</v>
      </c>
      <c r="AE65" s="25">
        <v>0.912884549201129</v>
      </c>
      <c r="AF65" s="25">
        <v>0.0780201008189808</v>
      </c>
      <c r="AG65" s="25">
        <v>0.100108817023185</v>
      </c>
      <c r="AH65" s="25">
        <v>0.791623909572581</v>
      </c>
      <c r="AI65" s="25">
        <v>10.0</v>
      </c>
      <c r="AJ65" s="25">
        <v>1.61706486266978</v>
      </c>
      <c r="AK65" s="25">
        <v>4.35342886361054</v>
      </c>
      <c r="AL65" s="25">
        <v>2.0864872066731</v>
      </c>
      <c r="AM65" s="25">
        <v>0.832686031723284</v>
      </c>
      <c r="AN65" s="25">
        <v>1.17724995244271</v>
      </c>
      <c r="AO65" s="25">
        <v>2.25578055147046</v>
      </c>
      <c r="AP65" s="25">
        <v>1.50192561449309</v>
      </c>
      <c r="AQ65" s="25">
        <v>0.912884549201129</v>
      </c>
      <c r="AR65" s="25">
        <v>1.81938540659819</v>
      </c>
      <c r="AS65" s="25">
        <v>5.44980619418277</v>
      </c>
      <c r="AT65" s="25">
        <v>2.33448199697122</v>
      </c>
      <c r="AU65" s="25">
        <v>0.791623909572581</v>
      </c>
      <c r="AV65" s="26">
        <f t="shared" ref="AV65:AW65" si="133">(AC65-AC$289)/AC$290</f>
        <v>-0.1418338545</v>
      </c>
      <c r="AW65" s="27">
        <f t="shared" si="133"/>
        <v>-0.1327959297</v>
      </c>
      <c r="AX65" s="27">
        <f t="shared" si="5"/>
        <v>0.002278880238</v>
      </c>
      <c r="AY65" s="28">
        <f t="shared" si="6"/>
        <v>0.009436898097</v>
      </c>
      <c r="AZ65" s="29">
        <f t="shared" si="7"/>
        <v>-0.02437386051</v>
      </c>
      <c r="BA65" s="28">
        <f t="shared" si="8"/>
        <v>-0.01687418032</v>
      </c>
      <c r="BB65" s="29">
        <f t="shared" si="9"/>
        <v>-0.03318950912</v>
      </c>
      <c r="BC65" s="27">
        <f t="shared" si="10"/>
        <v>0.01778116245</v>
      </c>
      <c r="BD65" s="28">
        <f t="shared" si="11"/>
        <v>-0.0006128644346</v>
      </c>
      <c r="BE65" s="30">
        <f t="shared" ref="BE65:BF65" si="134">((S65-S$289)/S$290)</f>
        <v>-0.7598095416</v>
      </c>
      <c r="BF65" s="30">
        <f t="shared" si="134"/>
        <v>-0.7632015205</v>
      </c>
    </row>
    <row r="66">
      <c r="A66" s="21" t="s">
        <v>67</v>
      </c>
      <c r="B66" s="22">
        <f t="shared" si="3"/>
        <v>0.01619398423</v>
      </c>
      <c r="C66" s="21" t="s">
        <v>68</v>
      </c>
      <c r="D66" s="21" t="s">
        <v>69</v>
      </c>
      <c r="E66" s="23">
        <v>65.0</v>
      </c>
      <c r="F66" s="24" t="s">
        <v>70</v>
      </c>
      <c r="G66" s="21" t="s">
        <v>82</v>
      </c>
      <c r="H66" s="24" t="s">
        <v>83</v>
      </c>
      <c r="I66" s="24" t="s">
        <v>73</v>
      </c>
      <c r="J66" s="24" t="s">
        <v>74</v>
      </c>
      <c r="K66" s="24" t="s">
        <v>101</v>
      </c>
      <c r="L66" s="21" t="s">
        <v>76</v>
      </c>
      <c r="M66" s="24" t="s">
        <v>85</v>
      </c>
      <c r="N66" s="21" t="s">
        <v>78</v>
      </c>
      <c r="O66" s="21" t="s">
        <v>79</v>
      </c>
      <c r="P66" s="21" t="s">
        <v>80</v>
      </c>
      <c r="Q66" s="24" t="s">
        <v>81</v>
      </c>
      <c r="R66" s="24" t="s">
        <v>100</v>
      </c>
      <c r="S66" s="25">
        <v>202.131550788879</v>
      </c>
      <c r="T66" s="25">
        <v>170.440283775329</v>
      </c>
      <c r="U66" s="25">
        <v>1.94397138879788</v>
      </c>
      <c r="V66" s="25">
        <v>6.17361026530416</v>
      </c>
      <c r="W66" s="25">
        <v>2.48467508244119</v>
      </c>
      <c r="X66" s="25">
        <v>0.76291863461757</v>
      </c>
      <c r="Y66" s="25">
        <v>0.0756045288905308</v>
      </c>
      <c r="Z66" s="25">
        <v>0.00912335623917265</v>
      </c>
      <c r="AA66" s="25">
        <v>0.0955162616478086</v>
      </c>
      <c r="AB66" s="25">
        <v>0.808094920170111</v>
      </c>
      <c r="AC66" s="25">
        <v>0.0753727595290582</v>
      </c>
      <c r="AD66" s="25">
        <v>0.0952765520546952</v>
      </c>
      <c r="AE66" s="25">
        <v>0.8099856238179</v>
      </c>
      <c r="AF66" s="25">
        <v>0.0876001674568523</v>
      </c>
      <c r="AG66" s="25">
        <v>0.112123006532803</v>
      </c>
      <c r="AH66" s="25">
        <v>0.737959453655918</v>
      </c>
      <c r="AI66" s="25">
        <v>10.0</v>
      </c>
      <c r="AJ66" s="25">
        <v>1.94397138879788</v>
      </c>
      <c r="AK66" s="25">
        <v>6.17361026530416</v>
      </c>
      <c r="AL66" s="25">
        <v>2.48467508244119</v>
      </c>
      <c r="AM66" s="25">
        <v>0.762893985369192</v>
      </c>
      <c r="AN66" s="25">
        <v>1.75765087846236</v>
      </c>
      <c r="AO66" s="25">
        <v>4.93637863204868</v>
      </c>
      <c r="AP66" s="25">
        <v>2.22179626249768</v>
      </c>
      <c r="AQ66" s="25">
        <v>0.8099856238179</v>
      </c>
      <c r="AR66" s="25">
        <v>2.0427872383341</v>
      </c>
      <c r="AS66" s="25">
        <v>6.83637486509869</v>
      </c>
      <c r="AT66" s="25">
        <v>2.61464622178578</v>
      </c>
      <c r="AU66" s="25">
        <v>0.737959453655918</v>
      </c>
      <c r="AV66" s="26">
        <f t="shared" ref="AV66:AW66" si="135">(AC66-AC$289)/AC$290</f>
        <v>0.3690072891</v>
      </c>
      <c r="AW66" s="27">
        <f t="shared" si="135"/>
        <v>0.3660427529</v>
      </c>
      <c r="AX66" s="27">
        <f t="shared" si="5"/>
        <v>0.0968976134</v>
      </c>
      <c r="AY66" s="28">
        <f t="shared" si="6"/>
        <v>0.1026820361</v>
      </c>
      <c r="AZ66" s="29">
        <f t="shared" si="7"/>
        <v>0.1434246281</v>
      </c>
      <c r="BA66" s="28">
        <f t="shared" si="8"/>
        <v>0.141014874</v>
      </c>
      <c r="BB66" s="29">
        <f t="shared" si="9"/>
        <v>0.07930471073</v>
      </c>
      <c r="BC66" s="27">
        <f t="shared" si="10"/>
        <v>0.09831022575</v>
      </c>
      <c r="BD66" s="28">
        <f t="shared" si="11"/>
        <v>0.09066911033</v>
      </c>
      <c r="BE66" s="30">
        <f t="shared" ref="BE66:BF66" si="136">((S66-S$289)/S$290)</f>
        <v>-0.7844273225</v>
      </c>
      <c r="BF66" s="30">
        <f t="shared" si="136"/>
        <v>-0.8810597445</v>
      </c>
    </row>
    <row r="67">
      <c r="A67" s="21" t="s">
        <v>88</v>
      </c>
      <c r="B67" s="22">
        <f t="shared" si="3"/>
        <v>0.02324798722</v>
      </c>
      <c r="C67" s="21" t="s">
        <v>68</v>
      </c>
      <c r="D67" s="21" t="s">
        <v>69</v>
      </c>
      <c r="E67" s="23">
        <v>18.0</v>
      </c>
      <c r="F67" s="24" t="s">
        <v>70</v>
      </c>
      <c r="G67" s="21" t="s">
        <v>82</v>
      </c>
      <c r="H67" s="24" t="s">
        <v>83</v>
      </c>
      <c r="I67" s="24" t="s">
        <v>95</v>
      </c>
      <c r="J67" s="24" t="s">
        <v>99</v>
      </c>
      <c r="K67" s="24" t="s">
        <v>75</v>
      </c>
      <c r="L67" s="21" t="s">
        <v>84</v>
      </c>
      <c r="M67" s="24" t="s">
        <v>85</v>
      </c>
      <c r="N67" s="21" t="s">
        <v>86</v>
      </c>
      <c r="O67" s="21" t="s">
        <v>91</v>
      </c>
      <c r="P67" s="21" t="s">
        <v>80</v>
      </c>
      <c r="Q67" s="24" t="s">
        <v>87</v>
      </c>
      <c r="R67" s="24" t="s">
        <v>87</v>
      </c>
      <c r="S67" s="25">
        <v>189.345039606094</v>
      </c>
      <c r="T67" s="25">
        <v>191.352862119674</v>
      </c>
      <c r="U67" s="25">
        <v>2.13674686254395</v>
      </c>
      <c r="V67" s="25">
        <v>7.28991640430277</v>
      </c>
      <c r="W67" s="25">
        <v>2.69998451927094</v>
      </c>
      <c r="X67" s="25">
        <v>0.721966345430436</v>
      </c>
      <c r="Y67" s="25">
        <v>0.0620265175806712</v>
      </c>
      <c r="Z67" s="25">
        <v>0.00595905882643693</v>
      </c>
      <c r="AA67" s="25">
        <v>0.0771949404199325</v>
      </c>
      <c r="AB67" s="25">
        <v>0.875270246394424</v>
      </c>
      <c r="AC67" s="25">
        <v>0.0621390752971536</v>
      </c>
      <c r="AD67" s="25">
        <v>0.0772238208031807</v>
      </c>
      <c r="AE67" s="25">
        <v>0.8758047336521</v>
      </c>
      <c r="AF67" s="25">
        <v>0.099469013713729</v>
      </c>
      <c r="AG67" s="25">
        <v>0.123231603779851</v>
      </c>
      <c r="AH67" s="25">
        <v>0.686061895308801</v>
      </c>
      <c r="AI67" s="25">
        <v>10.0</v>
      </c>
      <c r="AJ67" s="25">
        <v>2.13674686254395</v>
      </c>
      <c r="AK67" s="25">
        <v>7.28991640430277</v>
      </c>
      <c r="AL67" s="25">
        <v>2.69998451927094</v>
      </c>
      <c r="AM67" s="25">
        <v>0.72192579789025</v>
      </c>
      <c r="AN67" s="25">
        <v>1.44904871422113</v>
      </c>
      <c r="AO67" s="25">
        <v>3.24294042326096</v>
      </c>
      <c r="AP67" s="25">
        <v>1.8008165990075</v>
      </c>
      <c r="AQ67" s="25">
        <v>0.8758047336521</v>
      </c>
      <c r="AR67" s="25">
        <v>2.319562139241</v>
      </c>
      <c r="AS67" s="25">
        <v>8.25810880378472</v>
      </c>
      <c r="AT67" s="25">
        <v>2.87369253814403</v>
      </c>
      <c r="AU67" s="25">
        <v>0.686061895308801</v>
      </c>
      <c r="AV67" s="26">
        <f t="shared" ref="AV67:AW67" si="137">(AC67-AC$289)/AC$290</f>
        <v>0.09739041973</v>
      </c>
      <c r="AW67" s="27">
        <f t="shared" si="137"/>
        <v>0.07432237047</v>
      </c>
      <c r="AX67" s="27">
        <f t="shared" si="5"/>
        <v>0.2141217664</v>
      </c>
      <c r="AY67" s="28">
        <f t="shared" si="6"/>
        <v>0.1888986455</v>
      </c>
      <c r="AZ67" s="29">
        <f t="shared" si="7"/>
        <v>0.2423747272</v>
      </c>
      <c r="BA67" s="28">
        <f t="shared" si="8"/>
        <v>0.2263891545</v>
      </c>
      <c r="BB67" s="29">
        <f t="shared" si="9"/>
        <v>0.007347988299</v>
      </c>
      <c r="BC67" s="27">
        <f t="shared" si="10"/>
        <v>0.1761878766</v>
      </c>
      <c r="BD67" s="28">
        <f t="shared" si="11"/>
        <v>0.1442519647</v>
      </c>
      <c r="BE67" s="30">
        <f t="shared" ref="BE67:BF67" si="138">((S67-S$289)/S$290)</f>
        <v>-0.7877725403</v>
      </c>
      <c r="BF67" s="30">
        <f t="shared" si="138"/>
        <v>-0.8392402323</v>
      </c>
    </row>
    <row r="68">
      <c r="A68" s="21" t="s">
        <v>88</v>
      </c>
      <c r="B68" s="22">
        <f t="shared" si="3"/>
        <v>0.09760240836</v>
      </c>
      <c r="C68" s="21" t="s">
        <v>68</v>
      </c>
      <c r="D68" s="21" t="s">
        <v>69</v>
      </c>
      <c r="E68" s="23">
        <v>16.0</v>
      </c>
      <c r="F68" s="24" t="s">
        <v>70</v>
      </c>
      <c r="G68" s="21" t="s">
        <v>82</v>
      </c>
      <c r="H68" s="24" t="s">
        <v>83</v>
      </c>
      <c r="I68" s="24" t="s">
        <v>95</v>
      </c>
      <c r="J68" s="24" t="s">
        <v>90</v>
      </c>
      <c r="K68" s="24" t="s">
        <v>75</v>
      </c>
      <c r="L68" s="21" t="s">
        <v>84</v>
      </c>
      <c r="M68" s="24" t="s">
        <v>85</v>
      </c>
      <c r="N68" s="21" t="s">
        <v>104</v>
      </c>
      <c r="O68" s="21" t="s">
        <v>91</v>
      </c>
      <c r="P68" s="21" t="s">
        <v>80</v>
      </c>
      <c r="Q68" s="24" t="s">
        <v>87</v>
      </c>
      <c r="R68" s="24" t="s">
        <v>81</v>
      </c>
      <c r="S68" s="25">
        <v>274.816719770431</v>
      </c>
      <c r="T68" s="25">
        <v>187.317930698394</v>
      </c>
      <c r="U68" s="25">
        <v>1.72672904243131</v>
      </c>
      <c r="V68" s="25">
        <v>4.82693255801543</v>
      </c>
      <c r="W68" s="25">
        <v>2.19702811953225</v>
      </c>
      <c r="X68" s="25">
        <v>0.815903314321526</v>
      </c>
      <c r="Y68" s="25">
        <v>0.0707162055842216</v>
      </c>
      <c r="Z68" s="25">
        <v>0.00762989164517833</v>
      </c>
      <c r="AA68" s="25">
        <v>0.087349250970906</v>
      </c>
      <c r="AB68" s="25">
        <v>0.84029785027154</v>
      </c>
      <c r="AC68" s="25">
        <v>0.0708310149406565</v>
      </c>
      <c r="AD68" s="25">
        <v>0.0873701898313919</v>
      </c>
      <c r="AE68" s="25">
        <v>0.841024927757303</v>
      </c>
      <c r="AF68" s="25">
        <v>0.0739983830475283</v>
      </c>
      <c r="AG68" s="25">
        <v>0.0936778775482781</v>
      </c>
      <c r="AH68" s="25">
        <v>0.818584698180982</v>
      </c>
      <c r="AI68" s="25">
        <v>10.0</v>
      </c>
      <c r="AJ68" s="25">
        <v>1.72672904243131</v>
      </c>
      <c r="AK68" s="25">
        <v>4.82693255801543</v>
      </c>
      <c r="AL68" s="25">
        <v>2.19702811953225</v>
      </c>
      <c r="AM68" s="25">
        <v>0.815876431873008</v>
      </c>
      <c r="AN68" s="25">
        <v>1.65173991785227</v>
      </c>
      <c r="AO68" s="25">
        <v>4.15109772881768</v>
      </c>
      <c r="AP68" s="25">
        <v>2.0374242878737</v>
      </c>
      <c r="AQ68" s="25">
        <v>0.841024927757303</v>
      </c>
      <c r="AR68" s="25">
        <v>1.72560118245557</v>
      </c>
      <c r="AS68" s="25">
        <v>4.77211042146836</v>
      </c>
      <c r="AT68" s="25">
        <v>2.18451606116054</v>
      </c>
      <c r="AU68" s="25">
        <v>0.818584698180982</v>
      </c>
      <c r="AV68" s="26">
        <f t="shared" ref="AV68:AW68" si="139">(AC68-AC$289)/AC$290</f>
        <v>0.2757895256</v>
      </c>
      <c r="AW68" s="27">
        <f t="shared" si="139"/>
        <v>0.2382810874</v>
      </c>
      <c r="AX68" s="27">
        <f t="shared" si="5"/>
        <v>-0.0374421212</v>
      </c>
      <c r="AY68" s="28">
        <f t="shared" si="6"/>
        <v>-0.04047523609</v>
      </c>
      <c r="AZ68" s="29">
        <f t="shared" si="7"/>
        <v>0.03191588029</v>
      </c>
      <c r="BA68" s="28">
        <f t="shared" si="8"/>
        <v>0.02695739081</v>
      </c>
      <c r="BB68" s="29">
        <f t="shared" si="9"/>
        <v>0.04537100085</v>
      </c>
      <c r="BC68" s="27">
        <f t="shared" si="10"/>
        <v>-0.02267628775</v>
      </c>
      <c r="BD68" s="28">
        <f t="shared" si="11"/>
        <v>0.02137264179</v>
      </c>
      <c r="BE68" s="30">
        <f t="shared" ref="BE68:BF68" si="140">((S68-S$289)/S$290)</f>
        <v>-0.7654113676</v>
      </c>
      <c r="BF68" s="30">
        <f t="shared" si="140"/>
        <v>-0.8473090061</v>
      </c>
    </row>
    <row r="69">
      <c r="A69" s="21" t="s">
        <v>88</v>
      </c>
      <c r="B69" s="22">
        <f t="shared" si="3"/>
        <v>0.03561576023</v>
      </c>
      <c r="C69" s="21" t="s">
        <v>68</v>
      </c>
      <c r="D69" s="21" t="s">
        <v>69</v>
      </c>
      <c r="E69" s="23">
        <v>6.0</v>
      </c>
      <c r="F69" s="24" t="s">
        <v>70</v>
      </c>
      <c r="G69" s="21" t="s">
        <v>82</v>
      </c>
      <c r="H69" s="24" t="s">
        <v>83</v>
      </c>
      <c r="I69" s="24" t="s">
        <v>73</v>
      </c>
      <c r="J69" s="24" t="s">
        <v>99</v>
      </c>
      <c r="K69" s="24" t="s">
        <v>75</v>
      </c>
      <c r="L69" s="21" t="s">
        <v>92</v>
      </c>
      <c r="M69" s="24" t="s">
        <v>77</v>
      </c>
      <c r="N69" s="21" t="s">
        <v>78</v>
      </c>
      <c r="O69" s="21" t="s">
        <v>79</v>
      </c>
      <c r="P69" s="21" t="s">
        <v>80</v>
      </c>
      <c r="Q69" s="24" t="s">
        <v>94</v>
      </c>
      <c r="S69" s="25">
        <v>221.73181605339</v>
      </c>
      <c r="T69" s="25">
        <v>174.699425935745</v>
      </c>
      <c r="U69" s="25">
        <v>1.86510383063546</v>
      </c>
      <c r="V69" s="25">
        <v>5.56642146294655</v>
      </c>
      <c r="W69" s="25">
        <v>2.35932648502629</v>
      </c>
      <c r="X69" s="25">
        <v>0.786262242339565</v>
      </c>
      <c r="Y69" s="25">
        <v>0.0750045896370207</v>
      </c>
      <c r="Z69" s="25">
        <v>0.00818747841873982</v>
      </c>
      <c r="AA69" s="25">
        <v>0.0904846861006868</v>
      </c>
      <c r="AB69" s="25">
        <v>0.827780626080622</v>
      </c>
      <c r="AC69" s="25">
        <v>0.0750967070711374</v>
      </c>
      <c r="AD69" s="25">
        <v>0.0904898088916203</v>
      </c>
      <c r="AE69" s="25">
        <v>0.828598847444607</v>
      </c>
      <c r="AF69" s="25">
        <v>0.0895353210514103</v>
      </c>
      <c r="AG69" s="25">
        <v>0.110605729999872</v>
      </c>
      <c r="AH69" s="25">
        <v>0.745003464586064</v>
      </c>
      <c r="AI69" s="25">
        <v>10.0</v>
      </c>
      <c r="AJ69" s="25">
        <v>1.86510383063546</v>
      </c>
      <c r="AK69" s="25">
        <v>5.56642146294655</v>
      </c>
      <c r="AL69" s="25">
        <v>2.35932648502629</v>
      </c>
      <c r="AM69" s="25">
        <v>0.786213908537095</v>
      </c>
      <c r="AN69" s="25">
        <v>1.75121348850612</v>
      </c>
      <c r="AO69" s="25">
        <v>4.4528261702267</v>
      </c>
      <c r="AP69" s="25">
        <v>2.11017207123653</v>
      </c>
      <c r="AQ69" s="25">
        <v>0.828598847444607</v>
      </c>
      <c r="AR69" s="25">
        <v>2.08791394507387</v>
      </c>
      <c r="AS69" s="25">
        <v>6.65260368943836</v>
      </c>
      <c r="AT69" s="25">
        <v>2.57926417596925</v>
      </c>
      <c r="AU69" s="25">
        <v>0.745003464586064</v>
      </c>
      <c r="AV69" s="26">
        <f t="shared" ref="AV69:AW69" si="141">(AC69-AC$289)/AC$290</f>
        <v>0.3633414063</v>
      </c>
      <c r="AW69" s="27">
        <f t="shared" si="141"/>
        <v>0.2886921002</v>
      </c>
      <c r="AX69" s="27">
        <f t="shared" si="5"/>
        <v>0.1160104013</v>
      </c>
      <c r="AY69" s="28">
        <f t="shared" si="6"/>
        <v>0.09090607241</v>
      </c>
      <c r="AZ69" s="29">
        <f t="shared" si="7"/>
        <v>0.1029425453</v>
      </c>
      <c r="BA69" s="28">
        <f t="shared" si="8"/>
        <v>0.09131177479</v>
      </c>
      <c r="BB69" s="29">
        <f t="shared" si="9"/>
        <v>0.05895580949</v>
      </c>
      <c r="BC69" s="27">
        <f t="shared" si="10"/>
        <v>0.08773995922</v>
      </c>
      <c r="BD69" s="28">
        <f t="shared" si="11"/>
        <v>0.06016866294</v>
      </c>
      <c r="BE69" s="30">
        <f t="shared" ref="BE69:BF69" si="142">((S69-S$289)/S$290)</f>
        <v>-0.7792994847</v>
      </c>
      <c r="BF69" s="30">
        <f t="shared" si="142"/>
        <v>-0.8725426097</v>
      </c>
    </row>
    <row r="70">
      <c r="A70" s="21" t="s">
        <v>67</v>
      </c>
      <c r="B70" s="22">
        <f t="shared" si="3"/>
        <v>-0.02666883907</v>
      </c>
      <c r="C70" s="21" t="s">
        <v>68</v>
      </c>
      <c r="D70" s="21" t="s">
        <v>69</v>
      </c>
      <c r="E70" s="23">
        <v>131.0</v>
      </c>
      <c r="F70" s="24" t="s">
        <v>70</v>
      </c>
      <c r="G70" s="21" t="s">
        <v>71</v>
      </c>
      <c r="H70" s="24" t="s">
        <v>72</v>
      </c>
      <c r="I70" s="24" t="s">
        <v>73</v>
      </c>
      <c r="J70" s="24" t="s">
        <v>99</v>
      </c>
      <c r="K70" s="24" t="s">
        <v>101</v>
      </c>
      <c r="L70" s="21" t="s">
        <v>76</v>
      </c>
      <c r="M70" s="24" t="s">
        <v>77</v>
      </c>
      <c r="N70" s="21" t="s">
        <v>104</v>
      </c>
      <c r="O70" s="21" t="s">
        <v>102</v>
      </c>
      <c r="P70" s="21" t="s">
        <v>80</v>
      </c>
      <c r="Q70" s="24" t="s">
        <v>103</v>
      </c>
      <c r="S70" s="25">
        <v>166.284034729003</v>
      </c>
      <c r="T70" s="25">
        <v>211.793062210083</v>
      </c>
      <c r="U70" s="25">
        <v>2.19237737674176</v>
      </c>
      <c r="V70" s="25">
        <v>7.57150862460386</v>
      </c>
      <c r="W70" s="25">
        <v>2.75163744425094</v>
      </c>
      <c r="X70" s="25">
        <v>0.709070586244618</v>
      </c>
      <c r="Y70" s="25">
        <v>0.0752871393405711</v>
      </c>
      <c r="Z70" s="25">
        <v>0.00909527890361138</v>
      </c>
      <c r="AA70" s="25">
        <v>0.0953691716626047</v>
      </c>
      <c r="AB70" s="25">
        <v>0.807874264128699</v>
      </c>
      <c r="AC70" s="25">
        <v>0.0751727710541804</v>
      </c>
      <c r="AD70" s="25">
        <v>0.0951142961694042</v>
      </c>
      <c r="AE70" s="25">
        <v>0.810011927443684</v>
      </c>
      <c r="AF70" s="25">
        <v>0.092814138092582</v>
      </c>
      <c r="AG70" s="25">
        <v>0.115524921041715</v>
      </c>
      <c r="AH70" s="25">
        <v>0.722505367281752</v>
      </c>
      <c r="AI70" s="25">
        <v>10.0</v>
      </c>
      <c r="AJ70" s="25">
        <v>2.19237737674176</v>
      </c>
      <c r="AK70" s="25">
        <v>7.57150862460387</v>
      </c>
      <c r="AL70" s="25">
        <v>2.75163744425094</v>
      </c>
      <c r="AM70" s="25">
        <v>0.709006579982748</v>
      </c>
      <c r="AN70" s="25">
        <v>1.75298725833292</v>
      </c>
      <c r="AO70" s="25">
        <v>4.91957965152895</v>
      </c>
      <c r="AP70" s="25">
        <v>2.21801254539485</v>
      </c>
      <c r="AQ70" s="25">
        <v>0.810011927443684</v>
      </c>
      <c r="AR70" s="25">
        <v>2.16437413690897</v>
      </c>
      <c r="AS70" s="25">
        <v>7.25751195896987</v>
      </c>
      <c r="AT70" s="25">
        <v>2.69397697818111</v>
      </c>
      <c r="AU70" s="25">
        <v>0.722505367281752</v>
      </c>
      <c r="AV70" s="26">
        <f t="shared" ref="AV70:AW70" si="143">(AC70-AC$289)/AC$290</f>
        <v>0.3649025937</v>
      </c>
      <c r="AW70" s="27">
        <f t="shared" si="143"/>
        <v>0.3634208034</v>
      </c>
      <c r="AX70" s="27">
        <f t="shared" si="5"/>
        <v>0.1483940502</v>
      </c>
      <c r="AY70" s="28">
        <f t="shared" si="6"/>
        <v>0.1290851479</v>
      </c>
      <c r="AZ70" s="29">
        <f t="shared" si="7"/>
        <v>0.2709294223</v>
      </c>
      <c r="BA70" s="28">
        <f t="shared" si="8"/>
        <v>0.2468705201</v>
      </c>
      <c r="BB70" s="29">
        <f t="shared" si="9"/>
        <v>0.0792759543</v>
      </c>
      <c r="BC70" s="27">
        <f t="shared" si="10"/>
        <v>0.1215006798</v>
      </c>
      <c r="BD70" s="28">
        <f t="shared" si="11"/>
        <v>0.161149187</v>
      </c>
      <c r="BE70" s="30">
        <f t="shared" ref="BE70:BF70" si="144">((S70-S$289)/S$290)</f>
        <v>-0.7938057798</v>
      </c>
      <c r="BF70" s="30">
        <f t="shared" si="144"/>
        <v>-0.7983653492</v>
      </c>
    </row>
    <row r="71">
      <c r="A71" s="21" t="s">
        <v>67</v>
      </c>
      <c r="B71" s="22">
        <f t="shared" si="3"/>
        <v>0.02431979959</v>
      </c>
      <c r="C71" s="21" t="s">
        <v>68</v>
      </c>
      <c r="D71" s="21" t="s">
        <v>69</v>
      </c>
      <c r="E71" s="23">
        <v>279.0</v>
      </c>
      <c r="F71" s="24" t="s">
        <v>97</v>
      </c>
      <c r="G71" s="21" t="s">
        <v>71</v>
      </c>
      <c r="H71" s="24" t="s">
        <v>105</v>
      </c>
      <c r="I71" s="24" t="s">
        <v>73</v>
      </c>
      <c r="J71" s="24" t="s">
        <v>74</v>
      </c>
      <c r="K71" s="24" t="s">
        <v>75</v>
      </c>
      <c r="L71" s="21" t="s">
        <v>92</v>
      </c>
      <c r="M71" s="24" t="s">
        <v>77</v>
      </c>
      <c r="N71" s="21" t="s">
        <v>78</v>
      </c>
      <c r="O71" s="21" t="s">
        <v>91</v>
      </c>
      <c r="P71" s="21" t="s">
        <v>80</v>
      </c>
      <c r="Q71" s="24" t="s">
        <v>93</v>
      </c>
      <c r="S71" s="25">
        <v>178.025996685028</v>
      </c>
      <c r="T71" s="25">
        <v>399.153612613678</v>
      </c>
      <c r="U71" s="25">
        <v>1.86693346485978</v>
      </c>
      <c r="V71" s="25">
        <v>5.66374738390873</v>
      </c>
      <c r="W71" s="25">
        <v>2.37986289182984</v>
      </c>
      <c r="X71" s="25">
        <v>0.790023498515609</v>
      </c>
      <c r="Y71" s="25">
        <v>0.073297839659077</v>
      </c>
      <c r="Z71" s="25">
        <v>0.00804893916133516</v>
      </c>
      <c r="AA71" s="25">
        <v>0.0897158802071024</v>
      </c>
      <c r="AB71" s="25">
        <v>0.818964849138123</v>
      </c>
      <c r="AC71" s="25">
        <v>0.0733997781028094</v>
      </c>
      <c r="AD71" s="25">
        <v>0.0896712688528041</v>
      </c>
      <c r="AE71" s="25">
        <v>0.820127447895752</v>
      </c>
      <c r="AF71" s="25">
        <v>0.0735023791441481</v>
      </c>
      <c r="AG71" s="25">
        <v>0.0956238856534138</v>
      </c>
      <c r="AH71" s="25">
        <v>0.797146092938483</v>
      </c>
      <c r="AI71" s="25">
        <v>10.0</v>
      </c>
      <c r="AJ71" s="25">
        <v>1.86693346485975</v>
      </c>
      <c r="AK71" s="25">
        <v>5.66374738390872</v>
      </c>
      <c r="AL71" s="25">
        <v>2.37986289182984</v>
      </c>
      <c r="AM71" s="25">
        <v>0.789956351485322</v>
      </c>
      <c r="AN71" s="25">
        <v>1.79829456351887</v>
      </c>
      <c r="AO71" s="25">
        <v>4.82657210871755</v>
      </c>
      <c r="AP71" s="25">
        <v>2.1969460868937</v>
      </c>
      <c r="AQ71" s="25">
        <v>0.820127447895752</v>
      </c>
      <c r="AR71" s="25">
        <v>1.80080828903165</v>
      </c>
      <c r="AS71" s="25">
        <v>5.48864248635115</v>
      </c>
      <c r="AT71" s="25">
        <v>2.34278519850863</v>
      </c>
      <c r="AU71" s="25">
        <v>0.797146092938483</v>
      </c>
      <c r="AV71" s="26">
        <f t="shared" ref="AV71:AW71" si="145">(AC71-AC$289)/AC$290</f>
        <v>0.3285125162</v>
      </c>
      <c r="AW71" s="27">
        <f t="shared" si="145"/>
        <v>0.2754650261</v>
      </c>
      <c r="AX71" s="27">
        <f t="shared" si="5"/>
        <v>-0.005589199071</v>
      </c>
      <c r="AY71" s="28">
        <f t="shared" si="6"/>
        <v>0.01220039573</v>
      </c>
      <c r="AZ71" s="29">
        <f t="shared" si="7"/>
        <v>0.1038816818</v>
      </c>
      <c r="BA71" s="28">
        <f t="shared" si="8"/>
        <v>0.09945485008</v>
      </c>
      <c r="BB71" s="29">
        <f t="shared" si="9"/>
        <v>0.06821716455</v>
      </c>
      <c r="BC71" s="27">
        <f t="shared" si="10"/>
        <v>0.009494555488</v>
      </c>
      <c r="BD71" s="28">
        <f t="shared" si="11"/>
        <v>0.05527387047</v>
      </c>
      <c r="BE71" s="30">
        <f t="shared" ref="BE71:BF71" si="146">((S71-S$289)/S$290)</f>
        <v>-0.7907338379</v>
      </c>
      <c r="BF71" s="30">
        <f t="shared" si="146"/>
        <v>-0.4236948189</v>
      </c>
    </row>
    <row r="72">
      <c r="A72" s="21" t="s">
        <v>88</v>
      </c>
      <c r="B72" s="22">
        <f t="shared" si="3"/>
        <v>0.06285243413</v>
      </c>
      <c r="C72" s="21" t="s">
        <v>68</v>
      </c>
      <c r="D72" s="21" t="s">
        <v>69</v>
      </c>
      <c r="E72" s="23">
        <v>33.0</v>
      </c>
      <c r="F72" s="24" t="s">
        <v>70</v>
      </c>
      <c r="G72" s="21" t="s">
        <v>82</v>
      </c>
      <c r="H72" s="24" t="s">
        <v>83</v>
      </c>
      <c r="I72" s="24" t="s">
        <v>73</v>
      </c>
      <c r="J72" s="24" t="s">
        <v>90</v>
      </c>
      <c r="K72" s="24" t="s">
        <v>101</v>
      </c>
      <c r="L72" s="21" t="s">
        <v>84</v>
      </c>
      <c r="M72" s="24" t="s">
        <v>77</v>
      </c>
      <c r="N72" s="21" t="s">
        <v>86</v>
      </c>
      <c r="O72" s="21" t="s">
        <v>102</v>
      </c>
      <c r="P72" s="21" t="s">
        <v>80</v>
      </c>
      <c r="Q72" s="24" t="s">
        <v>103</v>
      </c>
      <c r="S72" s="25">
        <v>240.704677581787</v>
      </c>
      <c r="T72" s="25">
        <v>168.762072086334</v>
      </c>
      <c r="U72" s="25">
        <v>1.82456607927643</v>
      </c>
      <c r="V72" s="25">
        <v>5.51976338226476</v>
      </c>
      <c r="W72" s="25">
        <v>2.3494176687564</v>
      </c>
      <c r="X72" s="25">
        <v>0.788049410490929</v>
      </c>
      <c r="Y72" s="25">
        <v>0.0623504241814562</v>
      </c>
      <c r="Z72" s="25">
        <v>0.00637406603932806</v>
      </c>
      <c r="AA72" s="25">
        <v>0.0798377482105305</v>
      </c>
      <c r="AB72" s="25">
        <v>0.865924817572489</v>
      </c>
      <c r="AC72" s="25">
        <v>0.0622554118313016</v>
      </c>
      <c r="AD72" s="25">
        <v>0.0796829828935828</v>
      </c>
      <c r="AE72" s="25">
        <v>0.86709370160078</v>
      </c>
      <c r="AF72" s="25">
        <v>0.0948770958373358</v>
      </c>
      <c r="AG72" s="25">
        <v>0.121386852294657</v>
      </c>
      <c r="AH72" s="25">
        <v>0.692869938660835</v>
      </c>
      <c r="AI72" s="25">
        <v>10.0</v>
      </c>
      <c r="AJ72" s="25">
        <v>1.82456607927643</v>
      </c>
      <c r="AK72" s="25">
        <v>5.51976338226476</v>
      </c>
      <c r="AL72" s="25">
        <v>2.3494176687564</v>
      </c>
      <c r="AM72" s="25">
        <v>0.788005876459488</v>
      </c>
      <c r="AN72" s="25">
        <v>1.45176161756606</v>
      </c>
      <c r="AO72" s="25">
        <v>3.45276933600984</v>
      </c>
      <c r="AP72" s="25">
        <v>1.85816289275452</v>
      </c>
      <c r="AQ72" s="25">
        <v>0.86709370160078</v>
      </c>
      <c r="AR72" s="25">
        <v>2.21248116542899</v>
      </c>
      <c r="AS72" s="25">
        <v>8.01271505860113</v>
      </c>
      <c r="AT72" s="25">
        <v>2.83067395837124</v>
      </c>
      <c r="AU72" s="25">
        <v>0.692869938660835</v>
      </c>
      <c r="AV72" s="26">
        <f t="shared" ref="AV72:AW72" si="147">(AC72-AC$289)/AC$290</f>
        <v>0.09977818753</v>
      </c>
      <c r="AW72" s="27">
        <f t="shared" si="147"/>
        <v>0.1140608286</v>
      </c>
      <c r="AX72" s="27">
        <f t="shared" si="5"/>
        <v>0.1687691119</v>
      </c>
      <c r="AY72" s="28">
        <f t="shared" si="6"/>
        <v>0.1745810665</v>
      </c>
      <c r="AZ72" s="29">
        <f t="shared" si="7"/>
        <v>0.08213484382</v>
      </c>
      <c r="BA72" s="28">
        <f t="shared" si="8"/>
        <v>0.08738274097</v>
      </c>
      <c r="BB72" s="29">
        <f t="shared" si="9"/>
        <v>0.01687132152</v>
      </c>
      <c r="BC72" s="27">
        <f t="shared" si="10"/>
        <v>0.1659717038</v>
      </c>
      <c r="BD72" s="28">
        <f t="shared" si="11"/>
        <v>0.05782492351</v>
      </c>
      <c r="BE72" s="30">
        <f t="shared" ref="BE72:BF72" si="148">((S72-S$289)/S$290)</f>
        <v>-0.7743357887</v>
      </c>
      <c r="BF72" s="30">
        <f t="shared" si="148"/>
        <v>-0.8844157149</v>
      </c>
    </row>
    <row r="73">
      <c r="A73" s="21" t="s">
        <v>67</v>
      </c>
      <c r="B73" s="22">
        <f t="shared" si="3"/>
        <v>0.06106844916</v>
      </c>
      <c r="C73" s="21" t="s">
        <v>68</v>
      </c>
      <c r="D73" s="21" t="s">
        <v>69</v>
      </c>
      <c r="E73" s="23">
        <v>216.0</v>
      </c>
      <c r="F73" s="24" t="s">
        <v>97</v>
      </c>
      <c r="G73" s="21" t="s">
        <v>82</v>
      </c>
      <c r="H73" s="24" t="s">
        <v>98</v>
      </c>
      <c r="I73" s="24" t="s">
        <v>73</v>
      </c>
      <c r="J73" s="24" t="s">
        <v>90</v>
      </c>
      <c r="K73" s="24" t="s">
        <v>75</v>
      </c>
      <c r="L73" s="21" t="s">
        <v>76</v>
      </c>
      <c r="M73" s="24" t="s">
        <v>77</v>
      </c>
      <c r="N73" s="21" t="s">
        <v>86</v>
      </c>
      <c r="O73" s="21" t="s">
        <v>79</v>
      </c>
      <c r="P73" s="21" t="s">
        <v>80</v>
      </c>
      <c r="Q73" s="24" t="s">
        <v>89</v>
      </c>
      <c r="S73" s="25">
        <v>201.901714801788</v>
      </c>
      <c r="T73" s="25">
        <v>425.632885932922</v>
      </c>
      <c r="U73" s="25">
        <v>1.79917293054097</v>
      </c>
      <c r="V73" s="25">
        <v>5.22125640735772</v>
      </c>
      <c r="W73" s="25">
        <v>2.28500687249682</v>
      </c>
      <c r="X73" s="25">
        <v>0.806580683094857</v>
      </c>
      <c r="Y73" s="25">
        <v>0.0638180577117761</v>
      </c>
      <c r="Z73" s="25">
        <v>0.0065440108020405</v>
      </c>
      <c r="AA73" s="25">
        <v>0.080895060430415</v>
      </c>
      <c r="AB73" s="25">
        <v>0.853387441237151</v>
      </c>
      <c r="AC73" s="25">
        <v>0.063526735959215</v>
      </c>
      <c r="AD73" s="25">
        <v>0.0806568367221978</v>
      </c>
      <c r="AE73" s="25">
        <v>0.854934452384929</v>
      </c>
      <c r="AF73" s="25">
        <v>0.0750494909621305</v>
      </c>
      <c r="AG73" s="25">
        <v>0.0956849966766754</v>
      </c>
      <c r="AH73" s="25">
        <v>0.796829285546393</v>
      </c>
      <c r="AI73" s="25">
        <v>10.0</v>
      </c>
      <c r="AJ73" s="25">
        <v>1.79917293054095</v>
      </c>
      <c r="AK73" s="25">
        <v>5.22125640735772</v>
      </c>
      <c r="AL73" s="25">
        <v>2.28500687249682</v>
      </c>
      <c r="AM73" s="25">
        <v>0.806552530710467</v>
      </c>
      <c r="AN73" s="25">
        <v>1.55640503100069</v>
      </c>
      <c r="AO73" s="25">
        <v>3.90494156734628</v>
      </c>
      <c r="AP73" s="25">
        <v>1.97609249969384</v>
      </c>
      <c r="AQ73" s="25">
        <v>0.854934452384929</v>
      </c>
      <c r="AR73" s="25">
        <v>1.8387125285722</v>
      </c>
      <c r="AS73" s="25">
        <v>5.49566005805645</v>
      </c>
      <c r="AT73" s="25">
        <v>2.34428241857854</v>
      </c>
      <c r="AU73" s="25">
        <v>0.796829285546393</v>
      </c>
      <c r="AV73" s="26">
        <f t="shared" ref="AV73:AW73" si="149">(AC73-AC$289)/AC$290</f>
        <v>0.125871683</v>
      </c>
      <c r="AW73" s="27">
        <f t="shared" si="149"/>
        <v>0.1297976724</v>
      </c>
      <c r="AX73" s="27">
        <f t="shared" si="5"/>
        <v>0.01046461346</v>
      </c>
      <c r="AY73" s="28">
        <f t="shared" si="6"/>
        <v>0.01269870523</v>
      </c>
      <c r="AZ73" s="29">
        <f t="shared" si="7"/>
        <v>0.06910074496</v>
      </c>
      <c r="BA73" s="28">
        <f t="shared" si="8"/>
        <v>0.06184263709</v>
      </c>
      <c r="BB73" s="29">
        <f t="shared" si="9"/>
        <v>0.03016441714</v>
      </c>
      <c r="BC73" s="27">
        <f t="shared" si="10"/>
        <v>0.009969957727</v>
      </c>
      <c r="BD73" s="28">
        <f t="shared" si="11"/>
        <v>0.03356750001</v>
      </c>
      <c r="BE73" s="30">
        <f t="shared" ref="BE73:BF73" si="150">((S73-S$289)/S$290)</f>
        <v>-0.7844874524</v>
      </c>
      <c r="BF73" s="30">
        <f t="shared" si="150"/>
        <v>-0.3707434193</v>
      </c>
    </row>
    <row r="74">
      <c r="A74" s="21" t="s">
        <v>67</v>
      </c>
      <c r="B74" s="22">
        <f t="shared" si="3"/>
        <v>0.1109939637</v>
      </c>
      <c r="C74" s="21" t="s">
        <v>68</v>
      </c>
      <c r="D74" s="21" t="s">
        <v>69</v>
      </c>
      <c r="E74" s="23">
        <v>188.0</v>
      </c>
      <c r="F74" s="24" t="s">
        <v>97</v>
      </c>
      <c r="G74" s="21" t="s">
        <v>82</v>
      </c>
      <c r="H74" s="24" t="s">
        <v>98</v>
      </c>
      <c r="I74" s="24" t="s">
        <v>73</v>
      </c>
      <c r="J74" s="24" t="s">
        <v>90</v>
      </c>
      <c r="K74" s="24" t="s">
        <v>75</v>
      </c>
      <c r="L74" s="21" t="s">
        <v>92</v>
      </c>
      <c r="M74" s="24" t="s">
        <v>85</v>
      </c>
      <c r="N74" s="21" t="s">
        <v>86</v>
      </c>
      <c r="O74" s="21" t="s">
        <v>91</v>
      </c>
      <c r="P74" s="21" t="s">
        <v>80</v>
      </c>
      <c r="Q74" s="24" t="s">
        <v>81</v>
      </c>
      <c r="R74" s="24" t="s">
        <v>81</v>
      </c>
      <c r="S74" s="25">
        <v>242.157988548278</v>
      </c>
      <c r="T74" s="25">
        <v>427.257237434387</v>
      </c>
      <c r="U74" s="25">
        <v>1.58849945131735</v>
      </c>
      <c r="V74" s="25">
        <v>4.27036039846121</v>
      </c>
      <c r="W74" s="25">
        <v>2.06648503465697</v>
      </c>
      <c r="X74" s="25">
        <v>0.841808754106903</v>
      </c>
      <c r="Y74" s="25">
        <v>0.0586275153005922</v>
      </c>
      <c r="Z74" s="25">
        <v>0.00542254213700385</v>
      </c>
      <c r="AA74" s="25">
        <v>0.073637912361798</v>
      </c>
      <c r="AB74" s="25">
        <v>0.878512917879413</v>
      </c>
      <c r="AC74" s="25">
        <v>0.0583515299049324</v>
      </c>
      <c r="AD74" s="25">
        <v>0.0734201745164226</v>
      </c>
      <c r="AE74" s="25">
        <v>0.879797711580617</v>
      </c>
      <c r="AF74" s="25">
        <v>0.0716776412707703</v>
      </c>
      <c r="AG74" s="25">
        <v>0.0931390947662235</v>
      </c>
      <c r="AH74" s="25">
        <v>0.807497027116965</v>
      </c>
      <c r="AI74" s="25">
        <v>10.0</v>
      </c>
      <c r="AJ74" s="25">
        <v>1.58849945131736</v>
      </c>
      <c r="AK74" s="25">
        <v>4.27036039846122</v>
      </c>
      <c r="AL74" s="25">
        <v>2.06648503465697</v>
      </c>
      <c r="AM74" s="25">
        <v>0.841783213160639</v>
      </c>
      <c r="AN74" s="25">
        <v>1.42961248267078</v>
      </c>
      <c r="AO74" s="25">
        <v>3.23566084611967</v>
      </c>
      <c r="AP74" s="25">
        <v>1.79879427565235</v>
      </c>
      <c r="AQ74" s="25">
        <v>0.879797711580617</v>
      </c>
      <c r="AR74" s="25">
        <v>1.75610221113385</v>
      </c>
      <c r="AS74" s="25">
        <v>5.2071033070664</v>
      </c>
      <c r="AT74" s="25">
        <v>2.28190782177247</v>
      </c>
      <c r="AU74" s="25">
        <v>0.807497027116965</v>
      </c>
      <c r="AV74" s="26">
        <f t="shared" ref="AV74:AW74" si="151">(AC74-AC$289)/AC$290</f>
        <v>0.01965233832</v>
      </c>
      <c r="AW74" s="27">
        <f t="shared" si="151"/>
        <v>0.01285792312</v>
      </c>
      <c r="AX74" s="27">
        <f t="shared" si="5"/>
        <v>-0.02452383547</v>
      </c>
      <c r="AY74" s="28">
        <f t="shared" si="6"/>
        <v>-0.008061004164</v>
      </c>
      <c r="AZ74" s="29">
        <f t="shared" si="7"/>
        <v>-0.03903625623</v>
      </c>
      <c r="BA74" s="28">
        <f t="shared" si="8"/>
        <v>-0.02480542136</v>
      </c>
      <c r="BB74" s="29">
        <f t="shared" si="9"/>
        <v>0.002982666355</v>
      </c>
      <c r="BC74" s="27">
        <f t="shared" si="10"/>
        <v>-0.006038091205</v>
      </c>
      <c r="BD74" s="28">
        <f t="shared" si="11"/>
        <v>-0.01251119282</v>
      </c>
      <c r="BE74" s="30">
        <f t="shared" ref="BE74:BF74" si="152">((S74-S$289)/S$290)</f>
        <v>-0.7739555723</v>
      </c>
      <c r="BF74" s="30">
        <f t="shared" si="152"/>
        <v>-0.3674951548</v>
      </c>
    </row>
    <row r="75">
      <c r="A75" s="21" t="s">
        <v>67</v>
      </c>
      <c r="B75" s="22">
        <f t="shared" si="3"/>
        <v>0.04135822972</v>
      </c>
      <c r="C75" s="21" t="s">
        <v>68</v>
      </c>
      <c r="D75" s="21" t="s">
        <v>69</v>
      </c>
      <c r="E75" s="23">
        <v>263.0</v>
      </c>
      <c r="F75" s="24" t="s">
        <v>97</v>
      </c>
      <c r="G75" s="21" t="s">
        <v>71</v>
      </c>
      <c r="H75" s="24" t="s">
        <v>105</v>
      </c>
      <c r="I75" s="24" t="s">
        <v>73</v>
      </c>
      <c r="J75" s="24" t="s">
        <v>99</v>
      </c>
      <c r="K75" s="24" t="s">
        <v>75</v>
      </c>
      <c r="L75" s="21" t="s">
        <v>84</v>
      </c>
      <c r="M75" s="24" t="s">
        <v>85</v>
      </c>
      <c r="N75" s="21" t="s">
        <v>86</v>
      </c>
      <c r="O75" s="21" t="s">
        <v>91</v>
      </c>
      <c r="P75" s="21" t="s">
        <v>80</v>
      </c>
      <c r="Q75" s="24" t="s">
        <v>87</v>
      </c>
      <c r="R75" s="24" t="s">
        <v>81</v>
      </c>
      <c r="S75" s="25">
        <v>170.486482143402</v>
      </c>
      <c r="T75" s="25">
        <v>540.974403619766</v>
      </c>
      <c r="U75" s="25">
        <v>1.83072684146471</v>
      </c>
      <c r="V75" s="25">
        <v>5.44733474418842</v>
      </c>
      <c r="W75" s="25">
        <v>2.33395260110149</v>
      </c>
      <c r="X75" s="25">
        <v>0.798040924987724</v>
      </c>
      <c r="Y75" s="25">
        <v>0.061492322500951</v>
      </c>
      <c r="Z75" s="25">
        <v>0.0060402397266263</v>
      </c>
      <c r="AA75" s="25">
        <v>0.0777189791918698</v>
      </c>
      <c r="AB75" s="25">
        <v>0.864144120332709</v>
      </c>
      <c r="AC75" s="25">
        <v>0.0612248952381421</v>
      </c>
      <c r="AD75" s="25">
        <v>0.0774222343805191</v>
      </c>
      <c r="AE75" s="25">
        <v>0.865912075669164</v>
      </c>
      <c r="AF75" s="25">
        <v>0.0764743675750133</v>
      </c>
      <c r="AG75" s="25">
        <v>0.0987194307616054</v>
      </c>
      <c r="AH75" s="25">
        <v>0.78379990153414</v>
      </c>
      <c r="AI75" s="25">
        <v>10.0</v>
      </c>
      <c r="AJ75" s="25">
        <v>1.83072684146468</v>
      </c>
      <c r="AK75" s="25">
        <v>5.44733474418842</v>
      </c>
      <c r="AL75" s="25">
        <v>2.33395260110149</v>
      </c>
      <c r="AM75" s="25">
        <v>0.797982150898744</v>
      </c>
      <c r="AN75" s="25">
        <v>1.50000993333448</v>
      </c>
      <c r="AO75" s="25">
        <v>3.59801997647732</v>
      </c>
      <c r="AP75" s="25">
        <v>1.89684474232271</v>
      </c>
      <c r="AQ75" s="25">
        <v>0.865912075669164</v>
      </c>
      <c r="AR75" s="25">
        <v>1.87362200558783</v>
      </c>
      <c r="AS75" s="25">
        <v>5.84975198743972</v>
      </c>
      <c r="AT75" s="25">
        <v>2.41862605365933</v>
      </c>
      <c r="AU75" s="25">
        <v>0.78379990153414</v>
      </c>
      <c r="AV75" s="26">
        <f t="shared" ref="AV75:AW75" si="153">(AC75-AC$289)/AC$290</f>
        <v>0.07862718484</v>
      </c>
      <c r="AW75" s="27">
        <f t="shared" si="153"/>
        <v>0.07752860469</v>
      </c>
      <c r="AX75" s="27">
        <f t="shared" si="5"/>
        <v>0.02525003606</v>
      </c>
      <c r="AY75" s="28">
        <f t="shared" si="6"/>
        <v>0.03744198756</v>
      </c>
      <c r="AZ75" s="29">
        <f t="shared" si="7"/>
        <v>0.08529711346</v>
      </c>
      <c r="BA75" s="28">
        <f t="shared" si="8"/>
        <v>0.08125054796</v>
      </c>
      <c r="BB75" s="29">
        <f t="shared" si="9"/>
        <v>0.01816313372</v>
      </c>
      <c r="BC75" s="27">
        <f t="shared" si="10"/>
        <v>0.02952189526</v>
      </c>
      <c r="BD75" s="28">
        <f t="shared" si="11"/>
        <v>0.04477681733</v>
      </c>
      <c r="BE75" s="30">
        <f t="shared" ref="BE75:BF75" si="154">((S75-S$289)/S$290)</f>
        <v>-0.792706332</v>
      </c>
      <c r="BF75" s="30">
        <f t="shared" si="154"/>
        <v>-0.1400915159</v>
      </c>
    </row>
    <row r="76">
      <c r="A76" s="21" t="s">
        <v>88</v>
      </c>
      <c r="B76" s="22">
        <f t="shared" si="3"/>
        <v>0.1954965003</v>
      </c>
      <c r="C76" s="21" t="s">
        <v>68</v>
      </c>
      <c r="D76" s="21" t="s">
        <v>69</v>
      </c>
      <c r="E76" s="23">
        <v>88.0</v>
      </c>
      <c r="F76" s="24" t="s">
        <v>70</v>
      </c>
      <c r="G76" s="21" t="s">
        <v>71</v>
      </c>
      <c r="H76" s="24" t="s">
        <v>72</v>
      </c>
      <c r="I76" s="24" t="s">
        <v>95</v>
      </c>
      <c r="J76" s="24" t="s">
        <v>90</v>
      </c>
      <c r="K76" s="24" t="s">
        <v>75</v>
      </c>
      <c r="L76" s="21" t="s">
        <v>92</v>
      </c>
      <c r="M76" s="24" t="s">
        <v>85</v>
      </c>
      <c r="N76" s="21" t="s">
        <v>86</v>
      </c>
      <c r="O76" s="21" t="s">
        <v>79</v>
      </c>
      <c r="P76" s="21" t="s">
        <v>80</v>
      </c>
      <c r="Q76" s="24" t="s">
        <v>81</v>
      </c>
      <c r="R76" s="24" t="s">
        <v>81</v>
      </c>
      <c r="S76" s="25">
        <v>358.053114652633</v>
      </c>
      <c r="T76" s="25">
        <v>224.694499731063</v>
      </c>
      <c r="U76" s="25">
        <v>1.52544872856307</v>
      </c>
      <c r="V76" s="25">
        <v>4.01578783005117</v>
      </c>
      <c r="W76" s="25">
        <v>2.00394307056143</v>
      </c>
      <c r="X76" s="25">
        <v>0.84691906293111</v>
      </c>
      <c r="Y76" s="25">
        <v>0.0499893808226873</v>
      </c>
      <c r="Z76" s="25">
        <v>0.00407782936904212</v>
      </c>
      <c r="AA76" s="25">
        <v>0.0638578841572606</v>
      </c>
      <c r="AB76" s="25">
        <v>0.914267756179627</v>
      </c>
      <c r="AC76" s="25">
        <v>0.0499215304202007</v>
      </c>
      <c r="AD76" s="25">
        <v>0.0637042296029202</v>
      </c>
      <c r="AE76" s="25">
        <v>0.915197728600466</v>
      </c>
      <c r="AF76" s="25">
        <v>0.0699962558137223</v>
      </c>
      <c r="AG76" s="25">
        <v>0.0921804106242165</v>
      </c>
      <c r="AH76" s="25">
        <v>0.824720824017348</v>
      </c>
      <c r="AI76" s="25">
        <v>10.0</v>
      </c>
      <c r="AJ76" s="25">
        <v>1.52544872856307</v>
      </c>
      <c r="AK76" s="25">
        <v>4.01578783005117</v>
      </c>
      <c r="AL76" s="25">
        <v>2.00394307056143</v>
      </c>
      <c r="AM76" s="25">
        <v>0.846798503710455</v>
      </c>
      <c r="AN76" s="25">
        <v>1.16414235521552</v>
      </c>
      <c r="AO76" s="25">
        <v>2.20685061148626</v>
      </c>
      <c r="AP76" s="25">
        <v>1.48554724310143</v>
      </c>
      <c r="AQ76" s="25">
        <v>0.915197728600466</v>
      </c>
      <c r="AR76" s="25">
        <v>1.63227379876723</v>
      </c>
      <c r="AS76" s="25">
        <v>4.62076281023996</v>
      </c>
      <c r="AT76" s="25">
        <v>2.14959596441749</v>
      </c>
      <c r="AU76" s="25">
        <v>0.824720824017348</v>
      </c>
      <c r="AV76" s="26">
        <f t="shared" ref="AV76:AW76" si="155">(AC76-AC$289)/AC$290</f>
        <v>-0.1533705349</v>
      </c>
      <c r="AW76" s="27">
        <f t="shared" si="155"/>
        <v>-0.1441454204</v>
      </c>
      <c r="AX76" s="27">
        <f t="shared" si="5"/>
        <v>-0.07696963422</v>
      </c>
      <c r="AY76" s="28">
        <f t="shared" si="6"/>
        <v>-0.05209745246</v>
      </c>
      <c r="AZ76" s="29">
        <f t="shared" si="7"/>
        <v>-0.07139968473</v>
      </c>
      <c r="BA76" s="28">
        <f t="shared" si="8"/>
        <v>-0.0496044978</v>
      </c>
      <c r="BB76" s="29">
        <f t="shared" si="9"/>
        <v>-0.03571839182</v>
      </c>
      <c r="BC76" s="27">
        <f t="shared" si="10"/>
        <v>-0.03188417885</v>
      </c>
      <c r="BD76" s="28">
        <f t="shared" si="11"/>
        <v>-0.01907076013</v>
      </c>
      <c r="BE76" s="30">
        <f t="shared" ref="BE76:BF76" si="156">((S76-S$289)/S$290)</f>
        <v>-0.7436349921</v>
      </c>
      <c r="BF76" s="30">
        <f t="shared" si="156"/>
        <v>-0.7725659563</v>
      </c>
    </row>
    <row r="77">
      <c r="A77" s="21" t="s">
        <v>88</v>
      </c>
      <c r="B77" s="22">
        <f t="shared" si="3"/>
        <v>0.1380886044</v>
      </c>
      <c r="C77" s="21" t="s">
        <v>68</v>
      </c>
      <c r="D77" s="21" t="s">
        <v>69</v>
      </c>
      <c r="E77" s="23">
        <v>91.0</v>
      </c>
      <c r="F77" s="24" t="s">
        <v>70</v>
      </c>
      <c r="G77" s="21" t="s">
        <v>71</v>
      </c>
      <c r="H77" s="24" t="s">
        <v>72</v>
      </c>
      <c r="I77" s="24" t="s">
        <v>95</v>
      </c>
      <c r="J77" s="24" t="s">
        <v>90</v>
      </c>
      <c r="K77" s="24" t="s">
        <v>75</v>
      </c>
      <c r="L77" s="21" t="s">
        <v>84</v>
      </c>
      <c r="M77" s="24" t="s">
        <v>85</v>
      </c>
      <c r="N77" s="21" t="s">
        <v>78</v>
      </c>
      <c r="O77" s="21" t="s">
        <v>79</v>
      </c>
      <c r="P77" s="21" t="s">
        <v>80</v>
      </c>
      <c r="Q77" s="24" t="s">
        <v>87</v>
      </c>
      <c r="R77" s="24" t="s">
        <v>87</v>
      </c>
      <c r="S77" s="25">
        <v>320.243790388107</v>
      </c>
      <c r="T77" s="25">
        <v>229.854962110519</v>
      </c>
      <c r="U77" s="25">
        <v>1.5915618901569</v>
      </c>
      <c r="V77" s="25">
        <v>4.29909725585868</v>
      </c>
      <c r="W77" s="25">
        <v>2.07342645296588</v>
      </c>
      <c r="X77" s="25">
        <v>0.836095410513975</v>
      </c>
      <c r="Y77" s="25">
        <v>0.0615771250860799</v>
      </c>
      <c r="Z77" s="25">
        <v>0.0060571635721512</v>
      </c>
      <c r="AA77" s="25">
        <v>0.0778277814931866</v>
      </c>
      <c r="AB77" s="25">
        <v>0.872654253714022</v>
      </c>
      <c r="AC77" s="25">
        <v>0.0613852385591593</v>
      </c>
      <c r="AD77" s="25">
        <v>0.077567456562954</v>
      </c>
      <c r="AE77" s="25">
        <v>0.874272566254455</v>
      </c>
      <c r="AF77" s="25">
        <v>0.0720548081101789</v>
      </c>
      <c r="AG77" s="25">
        <v>0.0944740543439671</v>
      </c>
      <c r="AH77" s="25">
        <v>0.81588967145512</v>
      </c>
      <c r="AI77" s="25">
        <v>10.0</v>
      </c>
      <c r="AJ77" s="25">
        <v>1.5915618901569</v>
      </c>
      <c r="AK77" s="25">
        <v>4.29909725585868</v>
      </c>
      <c r="AL77" s="25">
        <v>2.07342645296588</v>
      </c>
      <c r="AM77" s="25">
        <v>0.835990306220079</v>
      </c>
      <c r="AN77" s="25">
        <v>1.4314696602893</v>
      </c>
      <c r="AO77" s="25">
        <v>3.27186594725433</v>
      </c>
      <c r="AP77" s="25">
        <v>1.80882999401666</v>
      </c>
      <c r="AQ77" s="25">
        <v>0.874272566254455</v>
      </c>
      <c r="AR77" s="25">
        <v>1.68027809468043</v>
      </c>
      <c r="AS77" s="25">
        <v>4.8535723331187</v>
      </c>
      <c r="AT77" s="25">
        <v>2.20308246171556</v>
      </c>
      <c r="AU77" s="25">
        <v>0.81588967145512</v>
      </c>
      <c r="AV77" s="26">
        <f t="shared" ref="AV77:AW77" si="157">(AC77-AC$289)/AC$290</f>
        <v>0.08191817698</v>
      </c>
      <c r="AW77" s="27">
        <f t="shared" si="157"/>
        <v>0.0798753006</v>
      </c>
      <c r="AX77" s="27">
        <f t="shared" si="5"/>
        <v>-0.05663808353</v>
      </c>
      <c r="AY77" s="28">
        <f t="shared" si="6"/>
        <v>-0.03429590829</v>
      </c>
      <c r="AZ77" s="29">
        <f t="shared" si="7"/>
        <v>-0.03746433103</v>
      </c>
      <c r="BA77" s="28">
        <f t="shared" si="8"/>
        <v>-0.02205301719</v>
      </c>
      <c r="BB77" s="29">
        <f t="shared" si="9"/>
        <v>0.009023029855</v>
      </c>
      <c r="BC77" s="27">
        <f t="shared" si="10"/>
        <v>-0.01863212157</v>
      </c>
      <c r="BD77" s="28">
        <f t="shared" si="11"/>
        <v>-0.004934570374</v>
      </c>
      <c r="BE77" s="30">
        <f t="shared" ref="BE77:BF77" si="158">((S77-S$289)/S$290)</f>
        <v>-0.7535266992</v>
      </c>
      <c r="BF77" s="30">
        <f t="shared" si="158"/>
        <v>-0.7622464244</v>
      </c>
    </row>
    <row r="78">
      <c r="A78" s="21" t="s">
        <v>88</v>
      </c>
      <c r="B78" s="22">
        <f t="shared" si="3"/>
        <v>0.1778571486</v>
      </c>
      <c r="C78" s="21" t="s">
        <v>68</v>
      </c>
      <c r="D78" s="21" t="s">
        <v>69</v>
      </c>
      <c r="E78" s="23">
        <v>161.0</v>
      </c>
      <c r="F78" s="24" t="s">
        <v>97</v>
      </c>
      <c r="G78" s="21" t="s">
        <v>82</v>
      </c>
      <c r="H78" s="24" t="s">
        <v>98</v>
      </c>
      <c r="I78" s="24" t="s">
        <v>73</v>
      </c>
      <c r="J78" s="24" t="s">
        <v>90</v>
      </c>
      <c r="K78" s="24" t="s">
        <v>75</v>
      </c>
      <c r="L78" s="21" t="s">
        <v>92</v>
      </c>
      <c r="M78" s="24" t="s">
        <v>77</v>
      </c>
      <c r="N78" s="21" t="s">
        <v>86</v>
      </c>
      <c r="O78" s="21" t="s">
        <v>79</v>
      </c>
      <c r="P78" s="21" t="s">
        <v>80</v>
      </c>
      <c r="Q78" s="24" t="s">
        <v>96</v>
      </c>
      <c r="S78" s="25">
        <v>307.021923303604</v>
      </c>
      <c r="T78" s="25">
        <v>421.588991880416</v>
      </c>
      <c r="U78" s="25">
        <v>1.55665623609652</v>
      </c>
      <c r="V78" s="25">
        <v>4.04538748261551</v>
      </c>
      <c r="W78" s="25">
        <v>2.01131486411638</v>
      </c>
      <c r="X78" s="25">
        <v>0.850152467065665</v>
      </c>
      <c r="Y78" s="25">
        <v>0.0442256906483913</v>
      </c>
      <c r="Z78" s="25">
        <v>0.00310184077668257</v>
      </c>
      <c r="AA78" s="25">
        <v>0.0556941718376579</v>
      </c>
      <c r="AB78" s="25">
        <v>0.93050610292352</v>
      </c>
      <c r="AC78" s="25">
        <v>0.0440136064922459</v>
      </c>
      <c r="AD78" s="25">
        <v>0.0555310290320203</v>
      </c>
      <c r="AE78" s="25">
        <v>0.931237231518919</v>
      </c>
      <c r="AF78" s="25">
        <v>0.070666326572268</v>
      </c>
      <c r="AG78" s="25">
        <v>0.090199326879274</v>
      </c>
      <c r="AH78" s="25">
        <v>0.819457268514918</v>
      </c>
      <c r="AI78" s="25">
        <v>10.0</v>
      </c>
      <c r="AJ78" s="25">
        <v>1.55665623609654</v>
      </c>
      <c r="AK78" s="25">
        <v>4.04538748261551</v>
      </c>
      <c r="AL78" s="25">
        <v>2.01131486411638</v>
      </c>
      <c r="AM78" s="25">
        <v>0.850118456219706</v>
      </c>
      <c r="AN78" s="25">
        <v>1.07833335905997</v>
      </c>
      <c r="AO78" s="25">
        <v>1.85098803500939</v>
      </c>
      <c r="AP78" s="25">
        <v>1.36051021128449</v>
      </c>
      <c r="AQ78" s="25">
        <v>0.931237231518919</v>
      </c>
      <c r="AR78" s="25">
        <v>1.73132500102054</v>
      </c>
      <c r="AS78" s="25">
        <v>4.88358512132684</v>
      </c>
      <c r="AT78" s="25">
        <v>2.20988350854221</v>
      </c>
      <c r="AU78" s="25">
        <v>0.819457268514918</v>
      </c>
      <c r="AV78" s="26">
        <f t="shared" ref="AV78:AW78" si="159">(AC78-AC$289)/AC$290</f>
        <v>-0.2746286648</v>
      </c>
      <c r="AW78" s="27">
        <f t="shared" si="159"/>
        <v>-0.2762190198</v>
      </c>
      <c r="AX78" s="27">
        <f t="shared" si="5"/>
        <v>-0.03501787759</v>
      </c>
      <c r="AY78" s="28">
        <f t="shared" si="6"/>
        <v>-0.03203236251</v>
      </c>
      <c r="AZ78" s="29">
        <f t="shared" si="7"/>
        <v>-0.0553811223</v>
      </c>
      <c r="BA78" s="28">
        <f t="shared" si="8"/>
        <v>-0.04668144167</v>
      </c>
      <c r="BB78" s="29">
        <f t="shared" si="9"/>
        <v>-0.05325357366</v>
      </c>
      <c r="BC78" s="27">
        <f t="shared" si="10"/>
        <v>-0.02398566973</v>
      </c>
      <c r="BD78" s="28">
        <f t="shared" si="11"/>
        <v>-0.02341297155</v>
      </c>
      <c r="BE78" s="30">
        <f t="shared" ref="BE78:BF78" si="160">((S78-S$289)/S$290)</f>
        <v>-0.7569858152</v>
      </c>
      <c r="BF78" s="30">
        <f t="shared" si="160"/>
        <v>-0.378830116</v>
      </c>
    </row>
    <row r="79">
      <c r="A79" s="21" t="s">
        <v>88</v>
      </c>
      <c r="B79" s="22">
        <f t="shared" si="3"/>
        <v>0.1861102803</v>
      </c>
      <c r="C79" s="21" t="s">
        <v>68</v>
      </c>
      <c r="D79" s="21" t="s">
        <v>69</v>
      </c>
      <c r="E79" s="23">
        <v>82.0</v>
      </c>
      <c r="F79" s="24" t="s">
        <v>70</v>
      </c>
      <c r="G79" s="21" t="s">
        <v>71</v>
      </c>
      <c r="H79" s="24" t="s">
        <v>72</v>
      </c>
      <c r="I79" s="24" t="s">
        <v>95</v>
      </c>
      <c r="J79" s="24" t="s">
        <v>74</v>
      </c>
      <c r="K79" s="24" t="s">
        <v>75</v>
      </c>
      <c r="L79" s="21" t="s">
        <v>92</v>
      </c>
      <c r="M79" s="24" t="s">
        <v>85</v>
      </c>
      <c r="N79" s="21" t="s">
        <v>104</v>
      </c>
      <c r="O79" s="21" t="s">
        <v>79</v>
      </c>
      <c r="P79" s="21" t="s">
        <v>80</v>
      </c>
      <c r="Q79" s="24" t="s">
        <v>94</v>
      </c>
      <c r="R79" s="24" t="s">
        <v>93</v>
      </c>
      <c r="S79" s="25">
        <v>366.391715764999</v>
      </c>
      <c r="T79" s="25">
        <v>194.766499042511</v>
      </c>
      <c r="U79" s="25">
        <v>1.61073885865762</v>
      </c>
      <c r="V79" s="25">
        <v>4.26540077434204</v>
      </c>
      <c r="W79" s="25">
        <v>2.06528467150222</v>
      </c>
      <c r="X79" s="25">
        <v>0.837382357631344</v>
      </c>
      <c r="Y79" s="25">
        <v>0.0513206170740424</v>
      </c>
      <c r="Z79" s="25">
        <v>0.00426358009107592</v>
      </c>
      <c r="AA79" s="25">
        <v>0.0652960955270369</v>
      </c>
      <c r="AB79" s="25">
        <v>0.91036253485965</v>
      </c>
      <c r="AC79" s="25">
        <v>0.05103788143566</v>
      </c>
      <c r="AD79" s="25">
        <v>0.0650129482567048</v>
      </c>
      <c r="AE79" s="25">
        <v>0.911677638736097</v>
      </c>
      <c r="AF79" s="25">
        <v>0.0723973745343155</v>
      </c>
      <c r="AG79" s="25">
        <v>0.0928279509156188</v>
      </c>
      <c r="AH79" s="25">
        <v>0.822249605216172</v>
      </c>
      <c r="AI79" s="25">
        <v>10.0</v>
      </c>
      <c r="AJ79" s="25">
        <v>1.61073885865762</v>
      </c>
      <c r="AK79" s="25">
        <v>4.26540077434204</v>
      </c>
      <c r="AL79" s="25">
        <v>2.06528467150222</v>
      </c>
      <c r="AM79" s="25">
        <v>0.837275820198037</v>
      </c>
      <c r="AN79" s="25">
        <v>1.19017504070101</v>
      </c>
      <c r="AO79" s="25">
        <v>2.2984556161809</v>
      </c>
      <c r="AP79" s="25">
        <v>1.51606583504177</v>
      </c>
      <c r="AQ79" s="25">
        <v>0.911677638736097</v>
      </c>
      <c r="AR79" s="25">
        <v>1.68826655337662</v>
      </c>
      <c r="AS79" s="25">
        <v>4.68590982994965</v>
      </c>
      <c r="AT79" s="25">
        <v>2.16469624426838</v>
      </c>
      <c r="AU79" s="25">
        <v>0.822249605216172</v>
      </c>
      <c r="AV79" s="26">
        <f t="shared" ref="AV79:AW79" si="161">(AC79-AC$289)/AC$290</f>
        <v>-0.1304578099</v>
      </c>
      <c r="AW79" s="27">
        <f t="shared" si="161"/>
        <v>-0.1229973791</v>
      </c>
      <c r="AX79" s="27">
        <f t="shared" si="5"/>
        <v>-0.05325468316</v>
      </c>
      <c r="AY79" s="28">
        <f t="shared" si="6"/>
        <v>-0.04707172986</v>
      </c>
      <c r="AZ79" s="29">
        <f t="shared" si="7"/>
        <v>-0.02762094745</v>
      </c>
      <c r="BA79" s="28">
        <f t="shared" si="8"/>
        <v>-0.02528138815</v>
      </c>
      <c r="BB79" s="29">
        <f t="shared" si="9"/>
        <v>-0.03187005461</v>
      </c>
      <c r="BC79" s="27">
        <f t="shared" si="10"/>
        <v>-0.02817585959</v>
      </c>
      <c r="BD79" s="28">
        <f t="shared" si="11"/>
        <v>-0.006615911739</v>
      </c>
      <c r="BE79" s="30">
        <f t="shared" ref="BE79:BF79" si="162">((S79-S$289)/S$290)</f>
        <v>-0.7414534403</v>
      </c>
      <c r="BF79" s="30">
        <f t="shared" si="162"/>
        <v>-0.8324138798</v>
      </c>
    </row>
    <row r="80">
      <c r="A80" s="21" t="s">
        <v>67</v>
      </c>
      <c r="B80" s="22">
        <f t="shared" si="3"/>
        <v>0.09088903913</v>
      </c>
      <c r="C80" s="21" t="s">
        <v>68</v>
      </c>
      <c r="D80" s="21" t="s">
        <v>69</v>
      </c>
      <c r="E80" s="23">
        <v>143.0</v>
      </c>
      <c r="F80" s="24" t="s">
        <v>70</v>
      </c>
      <c r="G80" s="21" t="s">
        <v>71</v>
      </c>
      <c r="H80" s="24" t="s">
        <v>72</v>
      </c>
      <c r="I80" s="24" t="s">
        <v>95</v>
      </c>
      <c r="J80" s="24" t="s">
        <v>99</v>
      </c>
      <c r="K80" s="24" t="s">
        <v>75</v>
      </c>
      <c r="L80" s="21" t="s">
        <v>92</v>
      </c>
      <c r="M80" s="24" t="s">
        <v>77</v>
      </c>
      <c r="N80" s="21" t="s">
        <v>86</v>
      </c>
      <c r="O80" s="21" t="s">
        <v>79</v>
      </c>
      <c r="P80" s="21" t="s">
        <v>80</v>
      </c>
      <c r="Q80" s="24" t="s">
        <v>96</v>
      </c>
      <c r="S80" s="25">
        <v>281.792896986007</v>
      </c>
      <c r="T80" s="25">
        <v>226.093720912933</v>
      </c>
      <c r="U80" s="25">
        <v>1.76465878675243</v>
      </c>
      <c r="V80" s="25">
        <v>5.06096709503991</v>
      </c>
      <c r="W80" s="25">
        <v>2.24965932866287</v>
      </c>
      <c r="X80" s="25">
        <v>0.807021449061782</v>
      </c>
      <c r="Y80" s="25">
        <v>0.060387943868421</v>
      </c>
      <c r="Z80" s="25">
        <v>0.00598358909773082</v>
      </c>
      <c r="AA80" s="25">
        <v>0.0773536624713454</v>
      </c>
      <c r="AB80" s="25">
        <v>0.87420108272748</v>
      </c>
      <c r="AC80" s="25">
        <v>0.0601160409769277</v>
      </c>
      <c r="AD80" s="25">
        <v>0.0770535214957527</v>
      </c>
      <c r="AE80" s="25">
        <v>0.875933099659362</v>
      </c>
      <c r="AF80" s="25">
        <v>0.0880380853639836</v>
      </c>
      <c r="AG80" s="25">
        <v>0.10997064819948</v>
      </c>
      <c r="AH80" s="25">
        <v>0.750536727074872</v>
      </c>
      <c r="AI80" s="25">
        <v>10.0</v>
      </c>
      <c r="AJ80" s="25">
        <v>1.76465878675243</v>
      </c>
      <c r="AK80" s="25">
        <v>5.06096709503991</v>
      </c>
      <c r="AL80" s="25">
        <v>2.24965932866287</v>
      </c>
      <c r="AM80" s="25">
        <v>0.806925125418694</v>
      </c>
      <c r="AN80" s="25">
        <v>1.40187267778142</v>
      </c>
      <c r="AO80" s="25">
        <v>3.22865308161365</v>
      </c>
      <c r="AP80" s="25">
        <v>1.79684531376901</v>
      </c>
      <c r="AQ80" s="25">
        <v>0.875933099659362</v>
      </c>
      <c r="AR80" s="25">
        <v>2.05299924064068</v>
      </c>
      <c r="AS80" s="25">
        <v>6.57642647844981</v>
      </c>
      <c r="AT80" s="25">
        <v>2.56445442120732</v>
      </c>
      <c r="AU80" s="25">
        <v>0.750536727074872</v>
      </c>
      <c r="AV80" s="26">
        <f t="shared" ref="AV80:AW80" si="163">(AC80-AC$289)/AC$290</f>
        <v>0.05586832814</v>
      </c>
      <c r="AW80" s="27">
        <f t="shared" si="163"/>
        <v>0.07157044455</v>
      </c>
      <c r="AX80" s="27">
        <f t="shared" si="5"/>
        <v>0.1012227647</v>
      </c>
      <c r="AY80" s="28">
        <f t="shared" si="6"/>
        <v>0.08597704327</v>
      </c>
      <c r="AZ80" s="29">
        <f t="shared" si="7"/>
        <v>0.05138491276</v>
      </c>
      <c r="BA80" s="28">
        <f t="shared" si="8"/>
        <v>0.0478266647</v>
      </c>
      <c r="BB80" s="29">
        <f t="shared" si="9"/>
        <v>0.0072076522</v>
      </c>
      <c r="BC80" s="27">
        <f t="shared" si="10"/>
        <v>0.07943672689</v>
      </c>
      <c r="BD80" s="28">
        <f t="shared" si="11"/>
        <v>0.03308017828</v>
      </c>
      <c r="BE80" s="30">
        <f t="shared" ref="BE80:BF80" si="164">((S80-S$289)/S$290)</f>
        <v>-0.7635862543</v>
      </c>
      <c r="BF80" s="30">
        <f t="shared" si="164"/>
        <v>-0.7697678916</v>
      </c>
    </row>
    <row r="81">
      <c r="A81" s="21" t="s">
        <v>67</v>
      </c>
      <c r="B81" s="22">
        <f t="shared" si="3"/>
        <v>-0.05397120452</v>
      </c>
      <c r="C81" s="21" t="s">
        <v>68</v>
      </c>
      <c r="D81" s="21" t="s">
        <v>69</v>
      </c>
      <c r="E81" s="23">
        <v>142.0</v>
      </c>
      <c r="F81" s="24" t="s">
        <v>70</v>
      </c>
      <c r="G81" s="21" t="s">
        <v>71</v>
      </c>
      <c r="H81" s="24" t="s">
        <v>72</v>
      </c>
      <c r="I81" s="24" t="s">
        <v>95</v>
      </c>
      <c r="J81" s="24" t="s">
        <v>90</v>
      </c>
      <c r="K81" s="24" t="s">
        <v>75</v>
      </c>
      <c r="L81" s="21" t="s">
        <v>76</v>
      </c>
      <c r="M81" s="24" t="s">
        <v>77</v>
      </c>
      <c r="N81" s="21" t="s">
        <v>78</v>
      </c>
      <c r="O81" s="21" t="s">
        <v>91</v>
      </c>
      <c r="P81" s="21" t="s">
        <v>80</v>
      </c>
      <c r="Q81" s="24" t="s">
        <v>81</v>
      </c>
      <c r="S81" s="25">
        <v>190.494035482406</v>
      </c>
      <c r="T81" s="25">
        <v>211.586391925811</v>
      </c>
      <c r="U81" s="25">
        <v>1.81227892696635</v>
      </c>
      <c r="V81" s="25">
        <v>5.47861703652458</v>
      </c>
      <c r="W81" s="25">
        <v>2.34064457714634</v>
      </c>
      <c r="X81" s="25">
        <v>0.791124878292282</v>
      </c>
      <c r="Y81" s="25">
        <v>0.0943111225771441</v>
      </c>
      <c r="Z81" s="25">
        <v>0.0136082451532036</v>
      </c>
      <c r="AA81" s="25">
        <v>0.116654383343291</v>
      </c>
      <c r="AB81" s="25">
        <v>0.71390039016863</v>
      </c>
      <c r="AC81" s="25">
        <v>0.0942624727477524</v>
      </c>
      <c r="AD81" s="25">
        <v>0.116420366459494</v>
      </c>
      <c r="AE81" s="25">
        <v>0.716776769053407</v>
      </c>
      <c r="AF81" s="25">
        <v>0.0892337588446745</v>
      </c>
      <c r="AG81" s="25">
        <v>0.112849941616307</v>
      </c>
      <c r="AH81" s="25">
        <v>0.737302630795377</v>
      </c>
      <c r="AI81" s="25">
        <v>10.0</v>
      </c>
      <c r="AJ81" s="25">
        <v>1.81227892696635</v>
      </c>
      <c r="AK81" s="25">
        <v>5.47861703652458</v>
      </c>
      <c r="AL81" s="25">
        <v>2.34064457714634</v>
      </c>
      <c r="AM81" s="25">
        <v>0.790991864333066</v>
      </c>
      <c r="AN81" s="25">
        <v>2.19814849643718</v>
      </c>
      <c r="AO81" s="25">
        <v>7.37045541453552</v>
      </c>
      <c r="AP81" s="25">
        <v>2.71485826785405</v>
      </c>
      <c r="AQ81" s="25">
        <v>0.716776769053407</v>
      </c>
      <c r="AR81" s="25">
        <v>2.08088168194734</v>
      </c>
      <c r="AS81" s="25">
        <v>6.92530773928755</v>
      </c>
      <c r="AT81" s="25">
        <v>2.63159794408027</v>
      </c>
      <c r="AU81" s="25">
        <v>0.737302630795377</v>
      </c>
      <c r="AV81" s="26">
        <f t="shared" ref="AV81:AW81" si="165">(AC81-AC$289)/AC$290</f>
        <v>0.7567122304</v>
      </c>
      <c r="AW81" s="27">
        <f t="shared" si="165"/>
        <v>0.7077130264</v>
      </c>
      <c r="AX81" s="27">
        <f t="shared" si="5"/>
        <v>0.1130319842</v>
      </c>
      <c r="AY81" s="28">
        <f t="shared" si="6"/>
        <v>0.1083239616</v>
      </c>
      <c r="AZ81" s="29">
        <f t="shared" si="7"/>
        <v>0.07582794744</v>
      </c>
      <c r="BA81" s="28">
        <f t="shared" si="8"/>
        <v>0.08390404355</v>
      </c>
      <c r="BB81" s="29">
        <f t="shared" si="9"/>
        <v>0.1812052637</v>
      </c>
      <c r="BC81" s="27">
        <f t="shared" si="10"/>
        <v>0.09929585634</v>
      </c>
      <c r="BD81" s="28">
        <f t="shared" si="11"/>
        <v>0.05391950902</v>
      </c>
      <c r="BE81" s="30">
        <f t="shared" ref="BE81:BF81" si="166">((S81-S$289)/S$290)</f>
        <v>-0.7874719391</v>
      </c>
      <c r="BF81" s="30">
        <f t="shared" si="166"/>
        <v>-0.7987786339</v>
      </c>
    </row>
    <row r="82">
      <c r="A82" s="21" t="s">
        <v>88</v>
      </c>
      <c r="B82" s="22">
        <f t="shared" si="3"/>
        <v>0.1641496521</v>
      </c>
      <c r="C82" s="21" t="s">
        <v>68</v>
      </c>
      <c r="D82" s="21" t="s">
        <v>69</v>
      </c>
      <c r="E82" s="23">
        <v>17.0</v>
      </c>
      <c r="F82" s="24" t="s">
        <v>70</v>
      </c>
      <c r="G82" s="21" t="s">
        <v>82</v>
      </c>
      <c r="H82" s="24" t="s">
        <v>83</v>
      </c>
      <c r="I82" s="24" t="s">
        <v>95</v>
      </c>
      <c r="J82" s="24" t="s">
        <v>74</v>
      </c>
      <c r="K82" s="24" t="s">
        <v>101</v>
      </c>
      <c r="L82" s="21" t="s">
        <v>76</v>
      </c>
      <c r="M82" s="24" t="s">
        <v>77</v>
      </c>
      <c r="N82" s="21" t="s">
        <v>78</v>
      </c>
      <c r="O82" s="21" t="s">
        <v>91</v>
      </c>
      <c r="P82" s="21" t="s">
        <v>80</v>
      </c>
      <c r="Q82" s="24" t="s">
        <v>81</v>
      </c>
      <c r="S82" s="25">
        <v>355.217630386352</v>
      </c>
      <c r="T82" s="25">
        <v>174.975541114807</v>
      </c>
      <c r="U82" s="25">
        <v>1.62168315951129</v>
      </c>
      <c r="V82" s="25">
        <v>4.39478999275949</v>
      </c>
      <c r="W82" s="25">
        <v>2.09637544174689</v>
      </c>
      <c r="X82" s="25">
        <v>0.832424246245413</v>
      </c>
      <c r="Y82" s="25">
        <v>0.0551140964182358</v>
      </c>
      <c r="Z82" s="25">
        <v>0.00496754169362776</v>
      </c>
      <c r="AA82" s="25">
        <v>0.0704807895360698</v>
      </c>
      <c r="AB82" s="25">
        <v>0.896023806859767</v>
      </c>
      <c r="AC82" s="25">
        <v>0.054942436142143</v>
      </c>
      <c r="AD82" s="25">
        <v>0.070301836423177</v>
      </c>
      <c r="AE82" s="25">
        <v>0.897071460129483</v>
      </c>
      <c r="AF82" s="25">
        <v>0.0752496856428442</v>
      </c>
      <c r="AG82" s="25">
        <v>0.0964490460202236</v>
      </c>
      <c r="AH82" s="25">
        <v>0.807692729568778</v>
      </c>
      <c r="AI82" s="25">
        <v>10.0</v>
      </c>
      <c r="AJ82" s="25">
        <v>1.62168315951129</v>
      </c>
      <c r="AK82" s="25">
        <v>4.39478999275949</v>
      </c>
      <c r="AL82" s="25">
        <v>2.09637544174689</v>
      </c>
      <c r="AM82" s="25">
        <v>0.832360530231156</v>
      </c>
      <c r="AN82" s="25">
        <v>1.28122708725914</v>
      </c>
      <c r="AO82" s="25">
        <v>2.68763160198313</v>
      </c>
      <c r="AP82" s="25">
        <v>1.6393997688127</v>
      </c>
      <c r="AQ82" s="25">
        <v>0.897071460129483</v>
      </c>
      <c r="AR82" s="25">
        <v>1.75478086381023</v>
      </c>
      <c r="AS82" s="25">
        <v>5.05862250949751</v>
      </c>
      <c r="AT82" s="25">
        <v>2.24913817038827</v>
      </c>
      <c r="AU82" s="25">
        <v>0.807692729568778</v>
      </c>
      <c r="AV82" s="26">
        <f t="shared" ref="AV82:AW82" si="167">(AC82-AC$289)/AC$290</f>
        <v>-0.05031815206</v>
      </c>
      <c r="AW82" s="27">
        <f t="shared" si="167"/>
        <v>-0.03753239004</v>
      </c>
      <c r="AX82" s="27">
        <f t="shared" si="5"/>
        <v>-0.02508347372</v>
      </c>
      <c r="AY82" s="28">
        <f t="shared" si="6"/>
        <v>-0.01896750255</v>
      </c>
      <c r="AZ82" s="29">
        <f t="shared" si="7"/>
        <v>-0.02200332591</v>
      </c>
      <c r="BA82" s="28">
        <f t="shared" si="8"/>
        <v>-0.01295330733</v>
      </c>
      <c r="BB82" s="29">
        <f t="shared" si="9"/>
        <v>-0.01590185416</v>
      </c>
      <c r="BC82" s="27">
        <f t="shared" si="10"/>
        <v>-0.006331762963</v>
      </c>
      <c r="BD82" s="28">
        <f t="shared" si="11"/>
        <v>-0.0001871365681</v>
      </c>
      <c r="BE82" s="30">
        <f t="shared" ref="BE82:BF82" si="168">((S82-S$289)/S$290)</f>
        <v>-0.7443768139</v>
      </c>
      <c r="BF82" s="30">
        <f t="shared" si="168"/>
        <v>-0.8719904539</v>
      </c>
    </row>
    <row r="83">
      <c r="A83" s="21" t="s">
        <v>67</v>
      </c>
      <c r="B83" s="22">
        <f t="shared" si="3"/>
        <v>0.1314728286</v>
      </c>
      <c r="C83" s="21" t="s">
        <v>68</v>
      </c>
      <c r="D83" s="21" t="s">
        <v>69</v>
      </c>
      <c r="E83" s="23">
        <v>48.0</v>
      </c>
      <c r="F83" s="24" t="s">
        <v>70</v>
      </c>
      <c r="G83" s="21" t="s">
        <v>82</v>
      </c>
      <c r="H83" s="24" t="s">
        <v>83</v>
      </c>
      <c r="I83" s="24" t="s">
        <v>73</v>
      </c>
      <c r="J83" s="24" t="s">
        <v>99</v>
      </c>
      <c r="K83" s="24" t="s">
        <v>101</v>
      </c>
      <c r="L83" s="21" t="s">
        <v>92</v>
      </c>
      <c r="M83" s="24" t="s">
        <v>85</v>
      </c>
      <c r="N83" s="21" t="s">
        <v>78</v>
      </c>
      <c r="O83" s="21" t="s">
        <v>102</v>
      </c>
      <c r="P83" s="21" t="s">
        <v>80</v>
      </c>
      <c r="Q83" s="24" t="s">
        <v>93</v>
      </c>
      <c r="R83" s="24" t="s">
        <v>93</v>
      </c>
      <c r="S83" s="25">
        <v>335.843795537948</v>
      </c>
      <c r="T83" s="25">
        <v>169.392922401428</v>
      </c>
      <c r="U83" s="25">
        <v>1.63433200637848</v>
      </c>
      <c r="V83" s="25">
        <v>4.46417606368409</v>
      </c>
      <c r="W83" s="25">
        <v>2.11285968859365</v>
      </c>
      <c r="X83" s="25">
        <v>0.828569681712428</v>
      </c>
      <c r="Y83" s="25">
        <v>0.0625651069698618</v>
      </c>
      <c r="Z83" s="25">
        <v>0.00637974644823747</v>
      </c>
      <c r="AA83" s="25">
        <v>0.0798733149946681</v>
      </c>
      <c r="AB83" s="25">
        <v>0.865805333109026</v>
      </c>
      <c r="AC83" s="25">
        <v>0.0626968993830319</v>
      </c>
      <c r="AD83" s="25">
        <v>0.0799105709095672</v>
      </c>
      <c r="AE83" s="25">
        <v>0.866333411857981</v>
      </c>
      <c r="AF83" s="25">
        <v>0.0751103761161593</v>
      </c>
      <c r="AG83" s="25">
        <v>0.0970727319508194</v>
      </c>
      <c r="AH83" s="25">
        <v>0.80358550645607</v>
      </c>
      <c r="AI83" s="25">
        <v>10.0</v>
      </c>
      <c r="AJ83" s="25">
        <v>1.63433200637848</v>
      </c>
      <c r="AK83" s="25">
        <v>4.46417606368409</v>
      </c>
      <c r="AL83" s="25">
        <v>2.11285968859365</v>
      </c>
      <c r="AM83" s="25">
        <v>0.828547162910642</v>
      </c>
      <c r="AN83" s="25">
        <v>1.46205686200154</v>
      </c>
      <c r="AO83" s="25">
        <v>3.47252088384494</v>
      </c>
      <c r="AP83" s="25">
        <v>1.86347011884949</v>
      </c>
      <c r="AQ83" s="25">
        <v>0.866333411857981</v>
      </c>
      <c r="AR83" s="25">
        <v>1.75153224304212</v>
      </c>
      <c r="AS83" s="25">
        <v>5.12425701113312</v>
      </c>
      <c r="AT83" s="25">
        <v>2.26368217979758</v>
      </c>
      <c r="AU83" s="25">
        <v>0.80358550645607</v>
      </c>
      <c r="AV83" s="26">
        <f t="shared" ref="AV83:AW83" si="169">(AC83-AC$289)/AC$290</f>
        <v>0.1088395694</v>
      </c>
      <c r="AW83" s="27">
        <f t="shared" si="169"/>
        <v>0.1177385028</v>
      </c>
      <c r="AX83" s="27">
        <f t="shared" si="5"/>
        <v>-0.02645938178</v>
      </c>
      <c r="AY83" s="28">
        <f t="shared" si="6"/>
        <v>-0.01412691962</v>
      </c>
      <c r="AZ83" s="29">
        <f t="shared" si="7"/>
        <v>-0.01551077462</v>
      </c>
      <c r="BA83" s="28">
        <f t="shared" si="8"/>
        <v>-0.006416990419</v>
      </c>
      <c r="BB83" s="29">
        <f t="shared" si="9"/>
        <v>0.01770250806</v>
      </c>
      <c r="BC83" s="27">
        <f t="shared" si="10"/>
        <v>-0.0001684501262</v>
      </c>
      <c r="BD83" s="28">
        <f t="shared" si="11"/>
        <v>0.004800418859</v>
      </c>
      <c r="BE83" s="30">
        <f t="shared" ref="BE83:BF83" si="170">((S83-S$289)/S$290)</f>
        <v>-0.7494454128</v>
      </c>
      <c r="BF83" s="30">
        <f t="shared" si="170"/>
        <v>-0.8831541845</v>
      </c>
    </row>
    <row r="84">
      <c r="A84" s="21" t="s">
        <v>67</v>
      </c>
      <c r="B84" s="22">
        <f t="shared" si="3"/>
        <v>-0.1763119681</v>
      </c>
      <c r="C84" s="21" t="s">
        <v>68</v>
      </c>
      <c r="D84" s="21" t="s">
        <v>69</v>
      </c>
      <c r="E84" s="23">
        <v>60.0</v>
      </c>
      <c r="F84" s="24" t="s">
        <v>70</v>
      </c>
      <c r="G84" s="21" t="s">
        <v>82</v>
      </c>
      <c r="H84" s="24" t="s">
        <v>83</v>
      </c>
      <c r="I84" s="24" t="s">
        <v>73</v>
      </c>
      <c r="J84" s="24" t="s">
        <v>90</v>
      </c>
      <c r="K84" s="24" t="s">
        <v>75</v>
      </c>
      <c r="L84" s="21" t="s">
        <v>76</v>
      </c>
      <c r="M84" s="24" t="s">
        <v>85</v>
      </c>
      <c r="N84" s="21" t="s">
        <v>78</v>
      </c>
      <c r="O84" s="21" t="s">
        <v>102</v>
      </c>
      <c r="P84" s="21" t="s">
        <v>80</v>
      </c>
      <c r="Q84" s="24" t="s">
        <v>100</v>
      </c>
      <c r="R84" s="24" t="s">
        <v>81</v>
      </c>
      <c r="S84" s="25">
        <v>85.0672242641449</v>
      </c>
      <c r="T84" s="25">
        <v>221.311272621154</v>
      </c>
      <c r="U84" s="25">
        <v>2.37583092735077</v>
      </c>
      <c r="V84" s="25">
        <v>8.7414991658028</v>
      </c>
      <c r="W84" s="25">
        <v>2.95660263914561</v>
      </c>
      <c r="X84" s="25">
        <v>0.664277588861891</v>
      </c>
      <c r="Y84" s="25">
        <v>0.0972534339136383</v>
      </c>
      <c r="Z84" s="25">
        <v>0.0149567499570476</v>
      </c>
      <c r="AA84" s="25">
        <v>0.12229779211845</v>
      </c>
      <c r="AB84" s="25">
        <v>0.68539250038501</v>
      </c>
      <c r="AC84" s="25">
        <v>0.0970445267333012</v>
      </c>
      <c r="AD84" s="25">
        <v>0.122027337082161</v>
      </c>
      <c r="AE84" s="25">
        <v>0.688305840886725</v>
      </c>
      <c r="AF84" s="25">
        <v>0.1057697319019</v>
      </c>
      <c r="AG84" s="25">
        <v>0.132814410142906</v>
      </c>
      <c r="AH84" s="25">
        <v>0.632320494822455</v>
      </c>
      <c r="AI84" s="25">
        <v>10.0</v>
      </c>
      <c r="AJ84" s="25">
        <v>2.37583092735077</v>
      </c>
      <c r="AK84" s="25">
        <v>8.7414991658028</v>
      </c>
      <c r="AL84" s="25">
        <v>2.95660263914561</v>
      </c>
      <c r="AM84" s="25">
        <v>0.664270671449664</v>
      </c>
      <c r="AN84" s="25">
        <v>2.26302444979463</v>
      </c>
      <c r="AO84" s="25">
        <v>8.09749460907418</v>
      </c>
      <c r="AP84" s="25">
        <v>2.84560970779096</v>
      </c>
      <c r="AQ84" s="25">
        <v>0.688305840886725</v>
      </c>
      <c r="AR84" s="25">
        <v>2.46649138699016</v>
      </c>
      <c r="AS84" s="25">
        <v>9.59238927973814</v>
      </c>
      <c r="AT84" s="25">
        <v>3.09715825874916</v>
      </c>
      <c r="AU84" s="25">
        <v>0.632320494822455</v>
      </c>
      <c r="AV84" s="26">
        <f t="shared" ref="AV84:AW84" si="171">(AC84-AC$289)/AC$290</f>
        <v>0.8138129425</v>
      </c>
      <c r="AW84" s="27">
        <f t="shared" si="171"/>
        <v>0.7983180208</v>
      </c>
      <c r="AX84" s="27">
        <f t="shared" si="5"/>
        <v>0.2763516021</v>
      </c>
      <c r="AY84" s="28">
        <f t="shared" si="6"/>
        <v>0.2632732091</v>
      </c>
      <c r="AZ84" s="29">
        <f t="shared" si="7"/>
        <v>0.3650946533</v>
      </c>
      <c r="BA84" s="28">
        <f t="shared" si="8"/>
        <v>0.3281431122</v>
      </c>
      <c r="BB84" s="29">
        <f t="shared" si="9"/>
        <v>0.2123310976</v>
      </c>
      <c r="BC84" s="27">
        <f t="shared" si="10"/>
        <v>0.2568324032</v>
      </c>
      <c r="BD84" s="28">
        <f t="shared" si="11"/>
        <v>0.2196598954</v>
      </c>
      <c r="BE84" s="30">
        <f t="shared" ref="BE84:BF84" si="172">((S84-S$289)/S$290)</f>
        <v>-0.81505379</v>
      </c>
      <c r="BF84" s="30">
        <f t="shared" si="172"/>
        <v>-0.7793314974</v>
      </c>
    </row>
    <row r="85">
      <c r="A85" s="21" t="s">
        <v>67</v>
      </c>
      <c r="B85" s="22">
        <f t="shared" si="3"/>
        <v>0.1536432592</v>
      </c>
      <c r="C85" s="21" t="s">
        <v>68</v>
      </c>
      <c r="D85" s="21" t="s">
        <v>69</v>
      </c>
      <c r="E85" s="23">
        <v>43.0</v>
      </c>
      <c r="F85" s="24" t="s">
        <v>70</v>
      </c>
      <c r="G85" s="21" t="s">
        <v>82</v>
      </c>
      <c r="H85" s="24" t="s">
        <v>83</v>
      </c>
      <c r="I85" s="24" t="s">
        <v>73</v>
      </c>
      <c r="J85" s="24" t="s">
        <v>90</v>
      </c>
      <c r="K85" s="24" t="s">
        <v>101</v>
      </c>
      <c r="L85" s="21" t="s">
        <v>92</v>
      </c>
      <c r="M85" s="24" t="s">
        <v>77</v>
      </c>
      <c r="N85" s="21" t="s">
        <v>86</v>
      </c>
      <c r="O85" s="21" t="s">
        <v>79</v>
      </c>
      <c r="P85" s="21" t="s">
        <v>80</v>
      </c>
      <c r="Q85" s="24" t="s">
        <v>93</v>
      </c>
      <c r="S85" s="25">
        <v>332.518143653869</v>
      </c>
      <c r="T85" s="25">
        <v>221.848075151443</v>
      </c>
      <c r="U85" s="25">
        <v>1.69933308205014</v>
      </c>
      <c r="V85" s="25">
        <v>4.80646028411183</v>
      </c>
      <c r="W85" s="25">
        <v>2.19236408566456</v>
      </c>
      <c r="X85" s="25">
        <v>0.815458974571301</v>
      </c>
      <c r="Y85" s="25">
        <v>0.048310389847017</v>
      </c>
      <c r="Z85" s="25">
        <v>0.00374542366978672</v>
      </c>
      <c r="AA85" s="25">
        <v>0.0611998665830794</v>
      </c>
      <c r="AB85" s="25">
        <v>0.921216950264307</v>
      </c>
      <c r="AC85" s="25">
        <v>0.0482609627816845</v>
      </c>
      <c r="AD85" s="25">
        <v>0.0611076416306491</v>
      </c>
      <c r="AE85" s="25">
        <v>0.921836240114549</v>
      </c>
      <c r="AF85" s="25">
        <v>0.0841820377529191</v>
      </c>
      <c r="AG85" s="25">
        <v>0.107056601291591</v>
      </c>
      <c r="AH85" s="25">
        <v>0.761105621427374</v>
      </c>
      <c r="AI85" s="25">
        <v>10.0</v>
      </c>
      <c r="AJ85" s="25">
        <v>1.69933308205014</v>
      </c>
      <c r="AK85" s="25">
        <v>4.80646028411183</v>
      </c>
      <c r="AL85" s="25">
        <v>2.19236408566456</v>
      </c>
      <c r="AM85" s="25">
        <v>0.815401265471547</v>
      </c>
      <c r="AN85" s="25">
        <v>1.1254188404229</v>
      </c>
      <c r="AO85" s="25">
        <v>2.03061432430431</v>
      </c>
      <c r="AP85" s="25">
        <v>1.42499625413694</v>
      </c>
      <c r="AQ85" s="25">
        <v>0.921836240114549</v>
      </c>
      <c r="AR85" s="25">
        <v>1.96307835259933</v>
      </c>
      <c r="AS85" s="25">
        <v>6.23251457788819</v>
      </c>
      <c r="AT85" s="25">
        <v>2.49650046623031</v>
      </c>
      <c r="AU85" s="25">
        <v>0.761105621427374</v>
      </c>
      <c r="AV85" s="26">
        <f t="shared" ref="AV85:AW85" si="173">(AC85-AC$289)/AC$290</f>
        <v>-0.1874531211</v>
      </c>
      <c r="AW85" s="27">
        <f t="shared" si="173"/>
        <v>-0.1861045913</v>
      </c>
      <c r="AX85" s="27">
        <f t="shared" si="5"/>
        <v>0.06313802543</v>
      </c>
      <c r="AY85" s="28">
        <f t="shared" si="6"/>
        <v>0.06336039436</v>
      </c>
      <c r="AZ85" s="29">
        <f t="shared" si="7"/>
        <v>0.01785375433</v>
      </c>
      <c r="BA85" s="28">
        <f t="shared" si="8"/>
        <v>0.02510801281</v>
      </c>
      <c r="BB85" s="29">
        <f t="shared" si="9"/>
        <v>-0.04297594258</v>
      </c>
      <c r="BC85" s="27">
        <f t="shared" si="10"/>
        <v>0.06357700843</v>
      </c>
      <c r="BD85" s="28">
        <f t="shared" si="11"/>
        <v>0.02199411844</v>
      </c>
      <c r="BE85" s="30">
        <f t="shared" ref="BE85:BF85" si="174">((S85-S$289)/S$290)</f>
        <v>-0.7503154726</v>
      </c>
      <c r="BF85" s="30">
        <f t="shared" si="174"/>
        <v>-0.7782580372</v>
      </c>
    </row>
    <row r="86">
      <c r="A86" s="21" t="s">
        <v>88</v>
      </c>
      <c r="B86" s="22">
        <f t="shared" si="3"/>
        <v>0.1609926635</v>
      </c>
      <c r="C86" s="21" t="s">
        <v>68</v>
      </c>
      <c r="D86" s="21" t="s">
        <v>69</v>
      </c>
      <c r="E86" s="23">
        <v>34.0</v>
      </c>
      <c r="F86" s="24" t="s">
        <v>70</v>
      </c>
      <c r="G86" s="21" t="s">
        <v>82</v>
      </c>
      <c r="H86" s="24" t="s">
        <v>83</v>
      </c>
      <c r="I86" s="24" t="s">
        <v>95</v>
      </c>
      <c r="J86" s="24" t="s">
        <v>74</v>
      </c>
      <c r="K86" s="24" t="s">
        <v>101</v>
      </c>
      <c r="L86" s="21" t="s">
        <v>84</v>
      </c>
      <c r="M86" s="24" t="s">
        <v>77</v>
      </c>
      <c r="N86" s="21" t="s">
        <v>78</v>
      </c>
      <c r="O86" s="21" t="s">
        <v>79</v>
      </c>
      <c r="P86" s="21" t="s">
        <v>80</v>
      </c>
      <c r="Q86" s="24" t="s">
        <v>81</v>
      </c>
      <c r="S86" s="25">
        <v>365.698027133941</v>
      </c>
      <c r="T86" s="25">
        <v>171.025606393814</v>
      </c>
      <c r="U86" s="25">
        <v>1.62193406511263</v>
      </c>
      <c r="V86" s="25">
        <v>4.38832721202601</v>
      </c>
      <c r="W86" s="25">
        <v>2.09483345687097</v>
      </c>
      <c r="X86" s="25">
        <v>0.832659974850537</v>
      </c>
      <c r="Y86" s="25">
        <v>0.0563908327730924</v>
      </c>
      <c r="Z86" s="25">
        <v>0.0051670556670383</v>
      </c>
      <c r="AA86" s="25">
        <v>0.0718822347109374</v>
      </c>
      <c r="AB86" s="25">
        <v>0.891847756669767</v>
      </c>
      <c r="AC86" s="25">
        <v>0.0562171198735687</v>
      </c>
      <c r="AD86" s="25">
        <v>0.0717003293870136</v>
      </c>
      <c r="AE86" s="25">
        <v>0.892935677295233</v>
      </c>
      <c r="AF86" s="25">
        <v>0.0747633136652701</v>
      </c>
      <c r="AG86" s="25">
        <v>0.0958815749757287</v>
      </c>
      <c r="AH86" s="25">
        <v>0.809949004255454</v>
      </c>
      <c r="AI86" s="25">
        <v>10.0</v>
      </c>
      <c r="AJ86" s="25">
        <v>1.62193406511263</v>
      </c>
      <c r="AK86" s="25">
        <v>4.38832721202601</v>
      </c>
      <c r="AL86" s="25">
        <v>2.09483345687097</v>
      </c>
      <c r="AM86" s="25">
        <v>0.832607053304426</v>
      </c>
      <c r="AN86" s="25">
        <v>1.31095200371837</v>
      </c>
      <c r="AO86" s="25">
        <v>2.79562361914623</v>
      </c>
      <c r="AP86" s="25">
        <v>1.67201184778883</v>
      </c>
      <c r="AQ86" s="25">
        <v>0.892935677295233</v>
      </c>
      <c r="AR86" s="25">
        <v>1.74343893949986</v>
      </c>
      <c r="AS86" s="25">
        <v>4.99927144132399</v>
      </c>
      <c r="AT86" s="25">
        <v>2.23590506089234</v>
      </c>
      <c r="AU86" s="25">
        <v>0.809949004255454</v>
      </c>
      <c r="AV86" s="26">
        <f t="shared" ref="AV86:AW86" si="175">(AC86-AC$289)/AC$290</f>
        <v>-0.02415570187</v>
      </c>
      <c r="AW86" s="27">
        <f t="shared" si="175"/>
        <v>-0.01493365433</v>
      </c>
      <c r="AX86" s="27">
        <f t="shared" si="5"/>
        <v>-0.02988718773</v>
      </c>
      <c r="AY86" s="28">
        <f t="shared" si="6"/>
        <v>-0.02337178765</v>
      </c>
      <c r="AZ86" s="29">
        <f t="shared" si="7"/>
        <v>-0.02187453808</v>
      </c>
      <c r="BA86" s="28">
        <f t="shared" si="8"/>
        <v>-0.01356473362</v>
      </c>
      <c r="BB86" s="29">
        <f t="shared" si="9"/>
        <v>-0.01138041079</v>
      </c>
      <c r="BC86" s="27">
        <f t="shared" si="10"/>
        <v>-0.009717536357</v>
      </c>
      <c r="BD86" s="28">
        <f t="shared" si="11"/>
        <v>-0.0005095674772</v>
      </c>
      <c r="BE86" s="30">
        <f t="shared" ref="BE86:BF86" si="176">((S86-S$289)/S$290)</f>
        <v>-0.7416349237</v>
      </c>
      <c r="BF86" s="30">
        <f t="shared" si="176"/>
        <v>-0.8798892572</v>
      </c>
    </row>
    <row r="87">
      <c r="A87" s="21" t="s">
        <v>67</v>
      </c>
      <c r="B87" s="22">
        <f t="shared" si="3"/>
        <v>0.09590665326</v>
      </c>
      <c r="C87" s="21" t="s">
        <v>68</v>
      </c>
      <c r="D87" s="21" t="s">
        <v>69</v>
      </c>
      <c r="E87" s="23">
        <v>257.0</v>
      </c>
      <c r="F87" s="24" t="s">
        <v>97</v>
      </c>
      <c r="G87" s="21" t="s">
        <v>71</v>
      </c>
      <c r="H87" s="24" t="s">
        <v>105</v>
      </c>
      <c r="I87" s="24" t="s">
        <v>95</v>
      </c>
      <c r="J87" s="24" t="s">
        <v>74</v>
      </c>
      <c r="K87" s="24" t="s">
        <v>75</v>
      </c>
      <c r="L87" s="21" t="s">
        <v>76</v>
      </c>
      <c r="M87" s="24" t="s">
        <v>85</v>
      </c>
      <c r="N87" s="21" t="s">
        <v>78</v>
      </c>
      <c r="O87" s="21" t="s">
        <v>79</v>
      </c>
      <c r="P87" s="21" t="s">
        <v>80</v>
      </c>
      <c r="Q87" s="24" t="s">
        <v>89</v>
      </c>
      <c r="R87" s="24" t="s">
        <v>103</v>
      </c>
      <c r="S87" s="25">
        <v>257.709400653839</v>
      </c>
      <c r="T87" s="25">
        <v>444.446068048477</v>
      </c>
      <c r="U87" s="25">
        <v>1.64376056947058</v>
      </c>
      <c r="V87" s="25">
        <v>4.61221429248579</v>
      </c>
      <c r="W87" s="25">
        <v>2.14760664286684</v>
      </c>
      <c r="X87" s="25">
        <v>0.829159623491389</v>
      </c>
      <c r="Y87" s="25">
        <v>0.0573619009401705</v>
      </c>
      <c r="Z87" s="25">
        <v>0.00522827004458011</v>
      </c>
      <c r="AA87" s="25">
        <v>0.0723067773073874</v>
      </c>
      <c r="AB87" s="25">
        <v>0.882522092568625</v>
      </c>
      <c r="AC87" s="25">
        <v>0.057530579678423</v>
      </c>
      <c r="AD87" s="25">
        <v>0.072345507984011</v>
      </c>
      <c r="AE87" s="25">
        <v>0.883050093547758</v>
      </c>
      <c r="AF87" s="25">
        <v>0.0747385727395418</v>
      </c>
      <c r="AG87" s="25">
        <v>0.0970771562928108</v>
      </c>
      <c r="AH87" s="25">
        <v>0.79130495693791</v>
      </c>
      <c r="AI87" s="25">
        <v>10.0</v>
      </c>
      <c r="AJ87" s="25">
        <v>1.64376056947058</v>
      </c>
      <c r="AK87" s="25">
        <v>4.61221429248579</v>
      </c>
      <c r="AL87" s="25">
        <v>2.14760664286684</v>
      </c>
      <c r="AM87" s="25">
        <v>0.829101088756717</v>
      </c>
      <c r="AN87" s="25">
        <v>1.4094992021214</v>
      </c>
      <c r="AO87" s="25">
        <v>3.14163198341012</v>
      </c>
      <c r="AP87" s="25">
        <v>1.77246494560826</v>
      </c>
      <c r="AQ87" s="25">
        <v>0.883050093547758</v>
      </c>
      <c r="AR87" s="25">
        <v>1.83109503211883</v>
      </c>
      <c r="AS87" s="25">
        <v>5.65674055790776</v>
      </c>
      <c r="AT87" s="25">
        <v>2.37839032917386</v>
      </c>
      <c r="AU87" s="25">
        <v>0.79130495693791</v>
      </c>
      <c r="AV87" s="26">
        <f t="shared" ref="AV87:AW87" si="177">(AC87-AC$289)/AC$290</f>
        <v>0.002802614047</v>
      </c>
      <c r="AW87" s="27">
        <f t="shared" si="177"/>
        <v>-0.004507988298</v>
      </c>
      <c r="AX87" s="27">
        <f t="shared" si="5"/>
        <v>0.007238328977</v>
      </c>
      <c r="AY87" s="28">
        <f t="shared" si="6"/>
        <v>0.02405060725</v>
      </c>
      <c r="AZ87" s="29">
        <f t="shared" si="7"/>
        <v>-0.01067116908</v>
      </c>
      <c r="BA87" s="28">
        <f t="shared" si="8"/>
        <v>0.007360836798</v>
      </c>
      <c r="BB87" s="29">
        <f t="shared" si="9"/>
        <v>-0.0005729992719</v>
      </c>
      <c r="BC87" s="27">
        <f t="shared" si="10"/>
        <v>0.01825978384</v>
      </c>
      <c r="BD87" s="28">
        <f t="shared" si="11"/>
        <v>0.004075931646</v>
      </c>
      <c r="BE87" s="30">
        <f t="shared" ref="BE87:BF87" si="178">((S87-S$289)/S$290)</f>
        <v>-0.7698869988</v>
      </c>
      <c r="BF87" s="30">
        <f t="shared" si="178"/>
        <v>-0.333122133</v>
      </c>
    </row>
    <row r="88">
      <c r="A88" s="21" t="s">
        <v>67</v>
      </c>
      <c r="B88" s="22">
        <f t="shared" si="3"/>
        <v>-0.2120510442</v>
      </c>
      <c r="C88" s="21" t="s">
        <v>68</v>
      </c>
      <c r="D88" s="21" t="s">
        <v>69</v>
      </c>
      <c r="E88" s="23">
        <v>113.0</v>
      </c>
      <c r="F88" s="24" t="s">
        <v>70</v>
      </c>
      <c r="G88" s="21" t="s">
        <v>71</v>
      </c>
      <c r="H88" s="24" t="s">
        <v>72</v>
      </c>
      <c r="I88" s="24" t="s">
        <v>73</v>
      </c>
      <c r="J88" s="24" t="s">
        <v>99</v>
      </c>
      <c r="K88" s="24" t="s">
        <v>75</v>
      </c>
      <c r="L88" s="21" t="s">
        <v>84</v>
      </c>
      <c r="M88" s="24" t="s">
        <v>77</v>
      </c>
      <c r="N88" s="21" t="s">
        <v>86</v>
      </c>
      <c r="O88" s="21" t="s">
        <v>91</v>
      </c>
      <c r="P88" s="21" t="s">
        <v>80</v>
      </c>
      <c r="Q88" s="24" t="s">
        <v>87</v>
      </c>
      <c r="S88" s="25">
        <v>76.3375167846679</v>
      </c>
      <c r="T88" s="25">
        <v>165.524524927139</v>
      </c>
      <c r="U88" s="25">
        <v>2.74116191254</v>
      </c>
      <c r="V88" s="25">
        <v>11.514428854909</v>
      </c>
      <c r="W88" s="25">
        <v>3.3932917432648</v>
      </c>
      <c r="X88" s="25">
        <v>0.557499486403112</v>
      </c>
      <c r="Y88" s="25">
        <v>0.0991314649595729</v>
      </c>
      <c r="Z88" s="25">
        <v>0.014431430509993</v>
      </c>
      <c r="AA88" s="25">
        <v>0.120130889075179</v>
      </c>
      <c r="AB88" s="25">
        <v>0.695155119948325</v>
      </c>
      <c r="AC88" s="25">
        <v>0.0995624010997977</v>
      </c>
      <c r="AD88" s="25">
        <v>0.12037629083934</v>
      </c>
      <c r="AE88" s="25">
        <v>0.695689698557969</v>
      </c>
      <c r="AF88" s="25">
        <v>0.105546006972686</v>
      </c>
      <c r="AG88" s="25">
        <v>0.132393915613691</v>
      </c>
      <c r="AH88" s="25">
        <v>0.63554888741063</v>
      </c>
      <c r="AI88" s="25">
        <v>10.0</v>
      </c>
      <c r="AJ88" s="25">
        <v>2.74116191254</v>
      </c>
      <c r="AK88" s="25">
        <v>11.514428854909</v>
      </c>
      <c r="AL88" s="25">
        <v>3.3932917432648</v>
      </c>
      <c r="AM88" s="25">
        <v>0.557469561462644</v>
      </c>
      <c r="AN88" s="25">
        <v>2.32173988120223</v>
      </c>
      <c r="AO88" s="25">
        <v>7.87985659616132</v>
      </c>
      <c r="AP88" s="25">
        <v>2.80710822665627</v>
      </c>
      <c r="AQ88" s="25">
        <v>0.695689698557968</v>
      </c>
      <c r="AR88" s="25">
        <v>2.46127424593253</v>
      </c>
      <c r="AS88" s="25">
        <v>9.531745829343</v>
      </c>
      <c r="AT88" s="25">
        <v>3.08735255993594</v>
      </c>
      <c r="AU88" s="25">
        <v>0.63554888741063</v>
      </c>
      <c r="AV88" s="26">
        <f t="shared" ref="AV88:AW88" si="179">(AC88-AC$289)/AC$290</f>
        <v>0.8654914578</v>
      </c>
      <c r="AW88" s="27">
        <f t="shared" si="179"/>
        <v>0.7716381886</v>
      </c>
      <c r="AX88" s="27">
        <f t="shared" si="5"/>
        <v>0.2741419547</v>
      </c>
      <c r="AY88" s="28">
        <f t="shared" si="6"/>
        <v>0.2600096456</v>
      </c>
      <c r="AZ88" s="29">
        <f t="shared" si="7"/>
        <v>0.5526161074</v>
      </c>
      <c r="BA88" s="28">
        <f t="shared" si="8"/>
        <v>0.5012986348</v>
      </c>
      <c r="BB88" s="29">
        <f t="shared" si="9"/>
        <v>0.2042586973</v>
      </c>
      <c r="BC88" s="27">
        <f t="shared" si="10"/>
        <v>0.2519878664</v>
      </c>
      <c r="BD88" s="28">
        <f t="shared" si="11"/>
        <v>0.3593465322</v>
      </c>
      <c r="BE88" s="30">
        <f t="shared" ref="BE88:BF88" si="180">((S88-S$289)/S$290)</f>
        <v>-0.8173376634</v>
      </c>
      <c r="BF88" s="30">
        <f t="shared" si="180"/>
        <v>-0.8908899353</v>
      </c>
    </row>
    <row r="89">
      <c r="A89" s="21" t="s">
        <v>67</v>
      </c>
      <c r="B89" s="22">
        <f t="shared" si="3"/>
        <v>0.1244107477</v>
      </c>
      <c r="C89" s="21" t="s">
        <v>68</v>
      </c>
      <c r="D89" s="21" t="s">
        <v>69</v>
      </c>
      <c r="E89" s="23">
        <v>63.0</v>
      </c>
      <c r="F89" s="24" t="s">
        <v>70</v>
      </c>
      <c r="G89" s="21" t="s">
        <v>82</v>
      </c>
      <c r="H89" s="24" t="s">
        <v>83</v>
      </c>
      <c r="I89" s="24" t="s">
        <v>95</v>
      </c>
      <c r="J89" s="24" t="s">
        <v>99</v>
      </c>
      <c r="K89" s="24" t="s">
        <v>101</v>
      </c>
      <c r="L89" s="21" t="s">
        <v>84</v>
      </c>
      <c r="M89" s="24" t="s">
        <v>77</v>
      </c>
      <c r="N89" s="21" t="s">
        <v>86</v>
      </c>
      <c r="O89" s="21" t="s">
        <v>79</v>
      </c>
      <c r="P89" s="21" t="s">
        <v>80</v>
      </c>
      <c r="Q89" s="24" t="s">
        <v>87</v>
      </c>
      <c r="S89" s="25">
        <v>347.140841960907</v>
      </c>
      <c r="T89" s="25">
        <v>169.233476877212</v>
      </c>
      <c r="U89" s="25">
        <v>1.67982635845258</v>
      </c>
      <c r="V89" s="25">
        <v>4.68150307545644</v>
      </c>
      <c r="W89" s="25">
        <v>2.16367813582714</v>
      </c>
      <c r="X89" s="25">
        <v>0.821464127035457</v>
      </c>
      <c r="Y89" s="25">
        <v>0.0628752943699366</v>
      </c>
      <c r="Z89" s="25">
        <v>0.00642886189253799</v>
      </c>
      <c r="AA89" s="25">
        <v>0.0801801839143437</v>
      </c>
      <c r="AB89" s="25">
        <v>0.86543674375841</v>
      </c>
      <c r="AC89" s="25">
        <v>0.0628121619994788</v>
      </c>
      <c r="AD89" s="25">
        <v>0.0800505316281352</v>
      </c>
      <c r="AE89" s="25">
        <v>0.866546209579239</v>
      </c>
      <c r="AF89" s="25">
        <v>0.0760306446302739</v>
      </c>
      <c r="AG89" s="25">
        <v>0.09788106639582</v>
      </c>
      <c r="AH89" s="25">
        <v>0.801939799032604</v>
      </c>
      <c r="AI89" s="25">
        <v>10.0</v>
      </c>
      <c r="AJ89" s="25">
        <v>1.67982635845258</v>
      </c>
      <c r="AK89" s="25">
        <v>4.68150307545644</v>
      </c>
      <c r="AL89" s="25">
        <v>2.16367813582714</v>
      </c>
      <c r="AM89" s="25">
        <v>0.821423846285326</v>
      </c>
      <c r="AN89" s="25">
        <v>1.4647447221823</v>
      </c>
      <c r="AO89" s="25">
        <v>3.4846955469346</v>
      </c>
      <c r="AP89" s="25">
        <v>1.86673392505054</v>
      </c>
      <c r="AQ89" s="25">
        <v>0.866546209579239</v>
      </c>
      <c r="AR89" s="25">
        <v>1.77299239353099</v>
      </c>
      <c r="AS89" s="25">
        <v>5.20995274178985</v>
      </c>
      <c r="AT89" s="25">
        <v>2.2825320899803</v>
      </c>
      <c r="AU89" s="25">
        <v>0.801939799032604</v>
      </c>
      <c r="AV89" s="26">
        <f t="shared" ref="AV89:AW89" si="181">(AC89-AC$289)/AC$290</f>
        <v>0.1112052954</v>
      </c>
      <c r="AW89" s="27">
        <f t="shared" si="181"/>
        <v>0.1200001769</v>
      </c>
      <c r="AX89" s="27">
        <f t="shared" si="5"/>
        <v>-0.01737023405</v>
      </c>
      <c r="AY89" s="28">
        <f t="shared" si="6"/>
        <v>-0.007853233257</v>
      </c>
      <c r="AZ89" s="29">
        <f t="shared" si="7"/>
        <v>0.007841110118</v>
      </c>
      <c r="BA89" s="28">
        <f t="shared" si="8"/>
        <v>0.01373348896</v>
      </c>
      <c r="BB89" s="29">
        <f t="shared" si="9"/>
        <v>0.01746986701</v>
      </c>
      <c r="BC89" s="27">
        <f t="shared" si="10"/>
        <v>0.002301103977</v>
      </c>
      <c r="BD89" s="28">
        <f t="shared" si="11"/>
        <v>0.01411710238</v>
      </c>
      <c r="BE89" s="30">
        <f t="shared" ref="BE89:BF89" si="182">((S89-S$289)/S$290)</f>
        <v>-0.74648987</v>
      </c>
      <c r="BF89" s="30">
        <f t="shared" si="182"/>
        <v>-0.8834730325</v>
      </c>
    </row>
    <row r="90">
      <c r="A90" s="21" t="s">
        <v>88</v>
      </c>
      <c r="B90" s="22">
        <f t="shared" si="3"/>
        <v>0.1414689316</v>
      </c>
      <c r="C90" s="21" t="s">
        <v>68</v>
      </c>
      <c r="D90" s="21" t="s">
        <v>69</v>
      </c>
      <c r="E90" s="23">
        <v>2.0</v>
      </c>
      <c r="F90" s="24" t="s">
        <v>70</v>
      </c>
      <c r="G90" s="21" t="s">
        <v>82</v>
      </c>
      <c r="H90" s="24" t="s">
        <v>83</v>
      </c>
      <c r="I90" s="24" t="s">
        <v>73</v>
      </c>
      <c r="J90" s="24" t="s">
        <v>74</v>
      </c>
      <c r="K90" s="24" t="s">
        <v>101</v>
      </c>
      <c r="L90" s="21" t="s">
        <v>92</v>
      </c>
      <c r="M90" s="24" t="s">
        <v>77</v>
      </c>
      <c r="N90" s="21" t="s">
        <v>86</v>
      </c>
      <c r="O90" s="21" t="s">
        <v>79</v>
      </c>
      <c r="P90" s="21" t="s">
        <v>80</v>
      </c>
      <c r="Q90" s="24" t="s">
        <v>93</v>
      </c>
      <c r="S90" s="25">
        <v>353.084204912185</v>
      </c>
      <c r="T90" s="25">
        <v>170.73169183731</v>
      </c>
      <c r="U90" s="25">
        <v>1.65668223653716</v>
      </c>
      <c r="V90" s="25">
        <v>4.58750581203758</v>
      </c>
      <c r="W90" s="25">
        <v>2.14184635584291</v>
      </c>
      <c r="X90" s="25">
        <v>0.823847315149102</v>
      </c>
      <c r="Y90" s="25">
        <v>0.0556283622448562</v>
      </c>
      <c r="Z90" s="25">
        <v>0.00506725560458222</v>
      </c>
      <c r="AA90" s="25">
        <v>0.0711846584917159</v>
      </c>
      <c r="AB90" s="25">
        <v>0.893412899176236</v>
      </c>
      <c r="AC90" s="25">
        <v>0.0554803135809647</v>
      </c>
      <c r="AD90" s="25">
        <v>0.0710152378739007</v>
      </c>
      <c r="AE90" s="25">
        <v>0.894435598909808</v>
      </c>
      <c r="AF90" s="25">
        <v>0.0817984679425845</v>
      </c>
      <c r="AG90" s="25">
        <v>0.104901713682011</v>
      </c>
      <c r="AH90" s="25">
        <v>0.770625997610447</v>
      </c>
      <c r="AI90" s="25">
        <v>10.0</v>
      </c>
      <c r="AJ90" s="25">
        <v>1.65668223653716</v>
      </c>
      <c r="AK90" s="25">
        <v>4.58750581203758</v>
      </c>
      <c r="AL90" s="25">
        <v>2.14184635584291</v>
      </c>
      <c r="AM90" s="25">
        <v>0.823810513873715</v>
      </c>
      <c r="AN90" s="25">
        <v>1.29377009031167</v>
      </c>
      <c r="AO90" s="25">
        <v>2.74245488324124</v>
      </c>
      <c r="AP90" s="25">
        <v>1.65603589430943</v>
      </c>
      <c r="AQ90" s="25">
        <v>0.894435598909808</v>
      </c>
      <c r="AR90" s="25">
        <v>1.90749482882778</v>
      </c>
      <c r="AS90" s="25">
        <v>5.98413751810758</v>
      </c>
      <c r="AT90" s="25">
        <v>2.44624968433469</v>
      </c>
      <c r="AU90" s="25">
        <v>0.770625997610447</v>
      </c>
      <c r="AV90" s="26">
        <f t="shared" ref="AV90:AW90" si="183">(AC90-AC$289)/AC$290</f>
        <v>-0.03927840051</v>
      </c>
      <c r="AW90" s="27">
        <f t="shared" si="183"/>
        <v>-0.02600428711</v>
      </c>
      <c r="AX90" s="27">
        <f t="shared" si="5"/>
        <v>0.03959639839</v>
      </c>
      <c r="AY90" s="28">
        <f t="shared" si="6"/>
        <v>0.04663577116</v>
      </c>
      <c r="AZ90" s="29">
        <f t="shared" si="7"/>
        <v>-0.004038581376</v>
      </c>
      <c r="BA90" s="28">
        <f t="shared" si="8"/>
        <v>0.005076773605</v>
      </c>
      <c r="BB90" s="29">
        <f t="shared" si="9"/>
        <v>-0.01302019965</v>
      </c>
      <c r="BC90" s="27">
        <f t="shared" si="10"/>
        <v>0.04929069986</v>
      </c>
      <c r="BD90" s="28">
        <f t="shared" si="11"/>
        <v>0.01099554711</v>
      </c>
      <c r="BE90" s="30">
        <f t="shared" ref="BE90:BF90" si="184">((S90-S$289)/S$290)</f>
        <v>-0.7449349624</v>
      </c>
      <c r="BF90" s="30">
        <f t="shared" si="184"/>
        <v>-0.880477007</v>
      </c>
    </row>
    <row r="91">
      <c r="A91" s="21" t="s">
        <v>88</v>
      </c>
      <c r="B91" s="22">
        <f t="shared" si="3"/>
        <v>-0.0254226414</v>
      </c>
      <c r="C91" s="21" t="s">
        <v>68</v>
      </c>
      <c r="D91" s="21" t="s">
        <v>69</v>
      </c>
      <c r="E91" s="23">
        <v>101.0</v>
      </c>
      <c r="F91" s="24" t="s">
        <v>70</v>
      </c>
      <c r="G91" s="21" t="s">
        <v>71</v>
      </c>
      <c r="H91" s="24" t="s">
        <v>72</v>
      </c>
      <c r="I91" s="24" t="s">
        <v>95</v>
      </c>
      <c r="J91" s="24" t="s">
        <v>99</v>
      </c>
      <c r="K91" s="24" t="s">
        <v>75</v>
      </c>
      <c r="L91" s="21" t="s">
        <v>84</v>
      </c>
      <c r="M91" s="24" t="s">
        <v>85</v>
      </c>
      <c r="N91" s="21" t="s">
        <v>86</v>
      </c>
      <c r="O91" s="21" t="s">
        <v>79</v>
      </c>
      <c r="P91" s="21" t="s">
        <v>80</v>
      </c>
      <c r="Q91" s="24" t="s">
        <v>87</v>
      </c>
      <c r="R91" s="24" t="s">
        <v>87</v>
      </c>
      <c r="S91" s="25">
        <v>230.338127851486</v>
      </c>
      <c r="T91" s="25">
        <v>234.411147356033</v>
      </c>
      <c r="U91" s="25">
        <v>1.90900159679102</v>
      </c>
      <c r="V91" s="25">
        <v>5.96066422837621</v>
      </c>
      <c r="W91" s="25">
        <v>2.44144715862871</v>
      </c>
      <c r="X91" s="25">
        <v>0.772704014170253</v>
      </c>
      <c r="Y91" s="25">
        <v>0.0880937074245492</v>
      </c>
      <c r="Z91" s="25">
        <v>0.011329258362264</v>
      </c>
      <c r="AA91" s="25">
        <v>0.106438988919775</v>
      </c>
      <c r="AB91" s="25">
        <v>0.761813785640135</v>
      </c>
      <c r="AC91" s="25">
        <v>0.0885689392399301</v>
      </c>
      <c r="AD91" s="25">
        <v>0.106770577001734</v>
      </c>
      <c r="AE91" s="25">
        <v>0.761782244571187</v>
      </c>
      <c r="AF91" s="25">
        <v>0.0839916631826875</v>
      </c>
      <c r="AG91" s="25">
        <v>0.105270337739895</v>
      </c>
      <c r="AH91" s="25">
        <v>0.771405867589133</v>
      </c>
      <c r="AI91" s="25">
        <v>10.0</v>
      </c>
      <c r="AJ91" s="25">
        <v>1.90900159679102</v>
      </c>
      <c r="AK91" s="25">
        <v>5.96066422837621</v>
      </c>
      <c r="AL91" s="25">
        <v>2.44144715862871</v>
      </c>
      <c r="AM91" s="25">
        <v>0.772601861125925</v>
      </c>
      <c r="AN91" s="25">
        <v>2.06537845810894</v>
      </c>
      <c r="AO91" s="25">
        <v>6.19925611140942</v>
      </c>
      <c r="AP91" s="25">
        <v>2.48983053869323</v>
      </c>
      <c r="AQ91" s="25">
        <v>0.761782244571187</v>
      </c>
      <c r="AR91" s="25">
        <v>1.95863892338519</v>
      </c>
      <c r="AS91" s="25">
        <v>6.02626786531533</v>
      </c>
      <c r="AT91" s="25">
        <v>2.4548457925734</v>
      </c>
      <c r="AU91" s="25">
        <v>0.771405867589133</v>
      </c>
      <c r="AV91" s="26">
        <f t="shared" ref="AV91:AW91" si="185">(AC91-AC$289)/AC$290</f>
        <v>0.639854391</v>
      </c>
      <c r="AW91" s="27">
        <f t="shared" si="185"/>
        <v>0.551778712</v>
      </c>
      <c r="AX91" s="27">
        <f t="shared" si="5"/>
        <v>0.06125776705</v>
      </c>
      <c r="AY91" s="28">
        <f t="shared" si="6"/>
        <v>0.04949675492</v>
      </c>
      <c r="AZ91" s="29">
        <f t="shared" si="7"/>
        <v>0.1254749153</v>
      </c>
      <c r="BA91" s="28">
        <f t="shared" si="8"/>
        <v>0.1238741814</v>
      </c>
      <c r="BB91" s="29">
        <f t="shared" si="9"/>
        <v>0.1320030409</v>
      </c>
      <c r="BC91" s="27">
        <f t="shared" si="10"/>
        <v>0.04812042435</v>
      </c>
      <c r="BD91" s="28">
        <f t="shared" si="11"/>
        <v>0.07797204647</v>
      </c>
      <c r="BE91" s="30">
        <f t="shared" ref="BE91:BF91" si="186">((S91-S$289)/S$290)</f>
        <v>-0.7770478942</v>
      </c>
      <c r="BF91" s="30">
        <f t="shared" si="186"/>
        <v>-0.7531352837</v>
      </c>
    </row>
    <row r="92">
      <c r="A92" s="21" t="s">
        <v>67</v>
      </c>
      <c r="B92" s="22">
        <f t="shared" si="3"/>
        <v>0.1282625598</v>
      </c>
      <c r="C92" s="21" t="s">
        <v>68</v>
      </c>
      <c r="D92" s="21" t="s">
        <v>69</v>
      </c>
      <c r="E92" s="23">
        <v>205.0</v>
      </c>
      <c r="F92" s="24" t="s">
        <v>97</v>
      </c>
      <c r="G92" s="21" t="s">
        <v>82</v>
      </c>
      <c r="H92" s="24" t="s">
        <v>98</v>
      </c>
      <c r="I92" s="24" t="s">
        <v>95</v>
      </c>
      <c r="J92" s="24" t="s">
        <v>90</v>
      </c>
      <c r="K92" s="24" t="s">
        <v>75</v>
      </c>
      <c r="L92" s="21" t="s">
        <v>76</v>
      </c>
      <c r="M92" s="24" t="s">
        <v>77</v>
      </c>
      <c r="N92" s="21" t="s">
        <v>86</v>
      </c>
      <c r="O92" s="21" t="s">
        <v>91</v>
      </c>
      <c r="P92" s="21" t="s">
        <v>80</v>
      </c>
      <c r="Q92" s="24" t="s">
        <v>81</v>
      </c>
      <c r="S92" s="25">
        <v>303.064502477645</v>
      </c>
      <c r="T92" s="25">
        <v>434.23106598854</v>
      </c>
      <c r="U92" s="25">
        <v>1.66997894211782</v>
      </c>
      <c r="V92" s="25">
        <v>4.51977155626655</v>
      </c>
      <c r="W92" s="25">
        <v>2.12597543642125</v>
      </c>
      <c r="X92" s="25">
        <v>0.83272170590304</v>
      </c>
      <c r="Y92" s="25">
        <v>0.0539936853894051</v>
      </c>
      <c r="Z92" s="25">
        <v>0.00453244609746333</v>
      </c>
      <c r="AA92" s="25">
        <v>0.0673234438918816</v>
      </c>
      <c r="AB92" s="25">
        <v>0.898564344463773</v>
      </c>
      <c r="AC92" s="25">
        <v>0.0539332361702672</v>
      </c>
      <c r="AD92" s="25">
        <v>0.0672169320526367</v>
      </c>
      <c r="AE92" s="25">
        <v>0.899368676056269</v>
      </c>
      <c r="AF92" s="25">
        <v>0.0696443058061789</v>
      </c>
      <c r="AG92" s="25">
        <v>0.0886631945771286</v>
      </c>
      <c r="AH92" s="25">
        <v>0.82562918159059</v>
      </c>
      <c r="AI92" s="25">
        <v>10.0</v>
      </c>
      <c r="AJ92" s="25">
        <v>1.66997894211782</v>
      </c>
      <c r="AK92" s="25">
        <v>4.51977155626655</v>
      </c>
      <c r="AL92" s="25">
        <v>2.12597543642125</v>
      </c>
      <c r="AM92" s="25">
        <v>0.832700590013937</v>
      </c>
      <c r="AN92" s="25">
        <v>1.32136428617157</v>
      </c>
      <c r="AO92" s="25">
        <v>2.7119991017299</v>
      </c>
      <c r="AP92" s="25">
        <v>1.64681483528959</v>
      </c>
      <c r="AQ92" s="25">
        <v>0.899368676056269</v>
      </c>
      <c r="AR92" s="25">
        <v>1.70628549225134</v>
      </c>
      <c r="AS92" s="25">
        <v>4.7186625340912</v>
      </c>
      <c r="AT92" s="25">
        <v>2.17224826713964</v>
      </c>
      <c r="AU92" s="25">
        <v>0.82562918159059</v>
      </c>
      <c r="AV92" s="26">
        <f t="shared" ref="AV92:AW92" si="187">(AC92-AC$289)/AC$290</f>
        <v>-0.07103163836</v>
      </c>
      <c r="AW92" s="27">
        <f t="shared" si="187"/>
        <v>-0.087382436</v>
      </c>
      <c r="AX92" s="27">
        <f t="shared" si="5"/>
        <v>-0.04562301265</v>
      </c>
      <c r="AY92" s="28">
        <f t="shared" si="6"/>
        <v>-0.04455824186</v>
      </c>
      <c r="AZ92" s="29">
        <f t="shared" si="7"/>
        <v>0.002786510574</v>
      </c>
      <c r="BA92" s="28">
        <f t="shared" si="8"/>
        <v>-0.001216347336</v>
      </c>
      <c r="BB92" s="29">
        <f t="shared" si="9"/>
        <v>-0.01841328479</v>
      </c>
      <c r="BC92" s="27">
        <f t="shared" si="10"/>
        <v>-0.03324726328</v>
      </c>
      <c r="BD92" s="28">
        <f t="shared" si="11"/>
        <v>-0.0006319054226</v>
      </c>
      <c r="BE92" s="30">
        <f t="shared" ref="BE92:BF92" si="188">((S92-S$289)/S$290)</f>
        <v>-0.758021159</v>
      </c>
      <c r="BF92" s="30">
        <f t="shared" si="188"/>
        <v>-0.35354938</v>
      </c>
    </row>
    <row r="93">
      <c r="A93" s="21" t="s">
        <v>88</v>
      </c>
      <c r="B93" s="22">
        <f t="shared" si="3"/>
        <v>-0.02297861728</v>
      </c>
      <c r="C93" s="21" t="s">
        <v>68</v>
      </c>
      <c r="D93" s="21" t="s">
        <v>69</v>
      </c>
      <c r="E93" s="23">
        <v>237.0</v>
      </c>
      <c r="F93" s="24" t="s">
        <v>97</v>
      </c>
      <c r="G93" s="21" t="s">
        <v>71</v>
      </c>
      <c r="H93" s="24" t="s">
        <v>105</v>
      </c>
      <c r="I93" s="24" t="s">
        <v>73</v>
      </c>
      <c r="J93" s="24" t="s">
        <v>99</v>
      </c>
      <c r="K93" s="24" t="s">
        <v>75</v>
      </c>
      <c r="L93" s="21" t="s">
        <v>84</v>
      </c>
      <c r="M93" s="24" t="s">
        <v>85</v>
      </c>
      <c r="N93" s="21" t="s">
        <v>78</v>
      </c>
      <c r="O93" s="21" t="s">
        <v>102</v>
      </c>
      <c r="P93" s="21" t="s">
        <v>80</v>
      </c>
      <c r="Q93" s="24" t="s">
        <v>81</v>
      </c>
      <c r="R93" s="24" t="s">
        <v>87</v>
      </c>
      <c r="S93" s="25">
        <v>191.695053577423</v>
      </c>
      <c r="T93" s="25">
        <v>418.542134284973</v>
      </c>
      <c r="U93" s="25">
        <v>2.05157070032734</v>
      </c>
      <c r="V93" s="25">
        <v>6.46882885383787</v>
      </c>
      <c r="W93" s="25">
        <v>2.54338924544354</v>
      </c>
      <c r="X93" s="25">
        <v>0.76017580627324</v>
      </c>
      <c r="Y93" s="25">
        <v>0.0765902098910634</v>
      </c>
      <c r="Z93" s="25">
        <v>0.00835758760129973</v>
      </c>
      <c r="AA93" s="25">
        <v>0.0914198424922058</v>
      </c>
      <c r="AB93" s="25">
        <v>0.812022789349588</v>
      </c>
      <c r="AC93" s="25">
        <v>0.0763646456745788</v>
      </c>
      <c r="AD93" s="25">
        <v>0.0911317232431802</v>
      </c>
      <c r="AE93" s="25">
        <v>0.814220653170464</v>
      </c>
      <c r="AF93" s="25">
        <v>0.0826633138769252</v>
      </c>
      <c r="AG93" s="25">
        <v>0.101957179944148</v>
      </c>
      <c r="AH93" s="25">
        <v>0.769385700914188</v>
      </c>
      <c r="AI93" s="25">
        <v>10.0</v>
      </c>
      <c r="AJ93" s="25">
        <v>2.05157070032727</v>
      </c>
      <c r="AK93" s="25">
        <v>6.46882885383787</v>
      </c>
      <c r="AL93" s="25">
        <v>2.54338924544354</v>
      </c>
      <c r="AM93" s="25">
        <v>0.760099396746148</v>
      </c>
      <c r="AN93" s="25">
        <v>1.87093381902728</v>
      </c>
      <c r="AO93" s="25">
        <v>4.98507083650828</v>
      </c>
      <c r="AP93" s="25">
        <v>2.23272721945791</v>
      </c>
      <c r="AQ93" s="25">
        <v>0.814220653170464</v>
      </c>
      <c r="AR93" s="25">
        <v>2.02525118998469</v>
      </c>
      <c r="AS93" s="25">
        <v>6.23975874193357</v>
      </c>
      <c r="AT93" s="25">
        <v>2.49795090863162</v>
      </c>
      <c r="AU93" s="25">
        <v>0.769385700914188</v>
      </c>
      <c r="AV93" s="26">
        <f t="shared" ref="AV93:AW93" si="189">(AC93-AC$289)/AC$290</f>
        <v>0.389365415</v>
      </c>
      <c r="AW93" s="27">
        <f t="shared" si="189"/>
        <v>0.2990650181</v>
      </c>
      <c r="AX93" s="27">
        <f t="shared" si="5"/>
        <v>0.08947046445</v>
      </c>
      <c r="AY93" s="28">
        <f t="shared" si="6"/>
        <v>0.06384313516</v>
      </c>
      <c r="AZ93" s="29">
        <f t="shared" si="7"/>
        <v>0.1986544887</v>
      </c>
      <c r="BA93" s="28">
        <f t="shared" si="8"/>
        <v>0.1642961547</v>
      </c>
      <c r="BB93" s="29">
        <f t="shared" si="9"/>
        <v>0.07467476614</v>
      </c>
      <c r="BC93" s="27">
        <f t="shared" si="10"/>
        <v>0.05115189326</v>
      </c>
      <c r="BD93" s="28">
        <f t="shared" si="11"/>
        <v>0.09432419113</v>
      </c>
      <c r="BE93" s="30">
        <f t="shared" ref="BE93:BF93" si="190">((S93-S$289)/S$290)</f>
        <v>-0.7871577277</v>
      </c>
      <c r="BF93" s="30">
        <f t="shared" si="190"/>
        <v>-0.3849230088</v>
      </c>
    </row>
    <row r="94">
      <c r="A94" s="21" t="s">
        <v>88</v>
      </c>
      <c r="B94" s="22">
        <f t="shared" si="3"/>
        <v>0.1648543375</v>
      </c>
      <c r="C94" s="21" t="s">
        <v>68</v>
      </c>
      <c r="D94" s="21" t="s">
        <v>69</v>
      </c>
      <c r="E94" s="23">
        <v>180.0</v>
      </c>
      <c r="F94" s="24" t="s">
        <v>97</v>
      </c>
      <c r="G94" s="21" t="s">
        <v>82</v>
      </c>
      <c r="H94" s="24" t="s">
        <v>98</v>
      </c>
      <c r="I94" s="24" t="s">
        <v>73</v>
      </c>
      <c r="J94" s="24" t="s">
        <v>90</v>
      </c>
      <c r="K94" s="24" t="s">
        <v>75</v>
      </c>
      <c r="L94" s="21" t="s">
        <v>84</v>
      </c>
      <c r="M94" s="24" t="s">
        <v>77</v>
      </c>
      <c r="N94" s="21" t="s">
        <v>86</v>
      </c>
      <c r="O94" s="21" t="s">
        <v>79</v>
      </c>
      <c r="P94" s="21" t="s">
        <v>80</v>
      </c>
      <c r="Q94" s="24" t="s">
        <v>81</v>
      </c>
      <c r="S94" s="25">
        <v>307.970534086227</v>
      </c>
      <c r="T94" s="25">
        <v>520.372775793075</v>
      </c>
      <c r="U94" s="25">
        <v>1.60300873641192</v>
      </c>
      <c r="V94" s="25">
        <v>4.32244167347995</v>
      </c>
      <c r="W94" s="25">
        <v>2.07904826146002</v>
      </c>
      <c r="X94" s="25">
        <v>0.839890085891844</v>
      </c>
      <c r="Y94" s="25">
        <v>0.0411057559260817</v>
      </c>
      <c r="Z94" s="25">
        <v>0.0027306050308644</v>
      </c>
      <c r="AA94" s="25">
        <v>0.0522551914250096</v>
      </c>
      <c r="AB94" s="25">
        <v>0.938823299249306</v>
      </c>
      <c r="AC94" s="25">
        <v>0.0409306933567305</v>
      </c>
      <c r="AD94" s="25">
        <v>0.0521069490312889</v>
      </c>
      <c r="AE94" s="25">
        <v>0.939455708538153</v>
      </c>
      <c r="AF94" s="25">
        <v>0.0708126161754871</v>
      </c>
      <c r="AG94" s="25">
        <v>0.0907099534137032</v>
      </c>
      <c r="AH94" s="25">
        <v>0.817407345079924</v>
      </c>
      <c r="AI94" s="25">
        <v>10.0</v>
      </c>
      <c r="AJ94" s="25">
        <v>1.60300873641193</v>
      </c>
      <c r="AK94" s="25">
        <v>4.32244167347995</v>
      </c>
      <c r="AL94" s="25">
        <v>2.07904826146002</v>
      </c>
      <c r="AM94" s="25">
        <v>0.839853602725198</v>
      </c>
      <c r="AN94" s="25">
        <v>1.00280198723987</v>
      </c>
      <c r="AO94" s="25">
        <v>1.62975926594393</v>
      </c>
      <c r="AP94" s="25">
        <v>1.27662025126657</v>
      </c>
      <c r="AQ94" s="25">
        <v>0.939455708538153</v>
      </c>
      <c r="AR94" s="25">
        <v>1.73490909629939</v>
      </c>
      <c r="AS94" s="25">
        <v>4.93903446290181</v>
      </c>
      <c r="AT94" s="25">
        <v>2.22239385863573</v>
      </c>
      <c r="AU94" s="25">
        <v>0.817407345079924</v>
      </c>
      <c r="AV94" s="26">
        <f t="shared" ref="AV94:AW94" si="191">(AC94-AC$289)/AC$290</f>
        <v>-0.3379044087</v>
      </c>
      <c r="AW94" s="27">
        <f t="shared" si="191"/>
        <v>-0.3315499231</v>
      </c>
      <c r="AX94" s="27">
        <f t="shared" si="5"/>
        <v>-0.03349988397</v>
      </c>
      <c r="AY94" s="28">
        <f t="shared" si="6"/>
        <v>-0.02786862846</v>
      </c>
      <c r="AZ94" s="29">
        <f t="shared" si="7"/>
        <v>-0.03158875698</v>
      </c>
      <c r="BA94" s="28">
        <f t="shared" si="8"/>
        <v>-0.01982386336</v>
      </c>
      <c r="BB94" s="29">
        <f t="shared" si="9"/>
        <v>-0.06223842124</v>
      </c>
      <c r="BC94" s="27">
        <f t="shared" si="10"/>
        <v>-0.02090954772</v>
      </c>
      <c r="BD94" s="28">
        <f t="shared" si="11"/>
        <v>-0.009987428866</v>
      </c>
      <c r="BE94" s="30">
        <f t="shared" ref="BE94:BF94" si="192">((S94-S$289)/S$290)</f>
        <v>-0.7567376389</v>
      </c>
      <c r="BF94" s="30">
        <f t="shared" si="192"/>
        <v>-0.1812892109</v>
      </c>
    </row>
    <row r="95">
      <c r="A95" s="21" t="s">
        <v>88</v>
      </c>
      <c r="B95" s="22">
        <f t="shared" si="3"/>
        <v>0.02016178902</v>
      </c>
      <c r="C95" s="21" t="s">
        <v>68</v>
      </c>
      <c r="D95" s="21" t="s">
        <v>69</v>
      </c>
      <c r="E95" s="23">
        <v>100.0</v>
      </c>
      <c r="F95" s="24" t="s">
        <v>70</v>
      </c>
      <c r="G95" s="21" t="s">
        <v>71</v>
      </c>
      <c r="H95" s="24" t="s">
        <v>72</v>
      </c>
      <c r="I95" s="24" t="s">
        <v>73</v>
      </c>
      <c r="J95" s="24" t="s">
        <v>99</v>
      </c>
      <c r="K95" s="24" t="s">
        <v>101</v>
      </c>
      <c r="L95" s="21" t="s">
        <v>76</v>
      </c>
      <c r="M95" s="24" t="s">
        <v>85</v>
      </c>
      <c r="N95" s="21" t="s">
        <v>78</v>
      </c>
      <c r="O95" s="21" t="s">
        <v>102</v>
      </c>
      <c r="P95" s="21" t="s">
        <v>80</v>
      </c>
      <c r="Q95" s="24" t="s">
        <v>89</v>
      </c>
      <c r="R95" s="24" t="s">
        <v>89</v>
      </c>
      <c r="S95" s="25">
        <v>262.57262802124</v>
      </c>
      <c r="T95" s="25">
        <v>221.933913230896</v>
      </c>
      <c r="U95" s="25">
        <v>1.90581850493456</v>
      </c>
      <c r="V95" s="25">
        <v>6.01970675941689</v>
      </c>
      <c r="W95" s="25">
        <v>2.4535090705797</v>
      </c>
      <c r="X95" s="25">
        <v>0.768719123521366</v>
      </c>
      <c r="Y95" s="25">
        <v>0.0713031555515887</v>
      </c>
      <c r="Z95" s="25">
        <v>0.00821599998639203</v>
      </c>
      <c r="AA95" s="25">
        <v>0.090642153473933</v>
      </c>
      <c r="AB95" s="25">
        <v>0.826447868170661</v>
      </c>
      <c r="AC95" s="25">
        <v>0.0713492531944185</v>
      </c>
      <c r="AD95" s="25">
        <v>0.0905180400812573</v>
      </c>
      <c r="AE95" s="25">
        <v>0.827930053530733</v>
      </c>
      <c r="AF95" s="25">
        <v>0.0892773601129592</v>
      </c>
      <c r="AG95" s="25">
        <v>0.114853862556943</v>
      </c>
      <c r="AH95" s="25">
        <v>0.725719812875483</v>
      </c>
      <c r="AI95" s="25">
        <v>10.0</v>
      </c>
      <c r="AJ95" s="25">
        <v>1.90581850493456</v>
      </c>
      <c r="AK95" s="25">
        <v>6.01970675941689</v>
      </c>
      <c r="AL95" s="25">
        <v>2.4535090705797</v>
      </c>
      <c r="AM95" s="25">
        <v>0.768646495134206</v>
      </c>
      <c r="AN95" s="25">
        <v>1.66382494601986</v>
      </c>
      <c r="AO95" s="25">
        <v>4.45560500667199</v>
      </c>
      <c r="AP95" s="25">
        <v>2.11083040689487</v>
      </c>
      <c r="AQ95" s="25">
        <v>0.827930053530733</v>
      </c>
      <c r="AR95" s="25">
        <v>2.08189843930082</v>
      </c>
      <c r="AS95" s="25">
        <v>7.17344230648888</v>
      </c>
      <c r="AT95" s="25">
        <v>2.6783282671265</v>
      </c>
      <c r="AU95" s="25">
        <v>0.725719812875483</v>
      </c>
      <c r="AV95" s="26">
        <f t="shared" ref="AV95:AW95" si="193">(AC95-AC$289)/AC$290</f>
        <v>0.2864261896</v>
      </c>
      <c r="AW95" s="27">
        <f t="shared" si="193"/>
        <v>0.2891482978</v>
      </c>
      <c r="AX95" s="27">
        <f t="shared" si="5"/>
        <v>0.1134626176</v>
      </c>
      <c r="AY95" s="28">
        <f t="shared" si="6"/>
        <v>0.1238768946</v>
      </c>
      <c r="AZ95" s="29">
        <f t="shared" si="7"/>
        <v>0.1238410599</v>
      </c>
      <c r="BA95" s="28">
        <f t="shared" si="8"/>
        <v>0.1286569585</v>
      </c>
      <c r="BB95" s="29">
        <f t="shared" si="9"/>
        <v>0.05968696824</v>
      </c>
      <c r="BC95" s="27">
        <f t="shared" si="10"/>
        <v>0.1166770719</v>
      </c>
      <c r="BD95" s="28">
        <f t="shared" si="11"/>
        <v>0.0831453239</v>
      </c>
      <c r="BE95" s="30">
        <f t="shared" ref="BE95:BF95" si="194">((S95-S$289)/S$290)</f>
        <v>-0.7686146772</v>
      </c>
      <c r="BF95" s="30">
        <f t="shared" si="194"/>
        <v>-0.7780863842</v>
      </c>
    </row>
    <row r="96">
      <c r="A96" s="21" t="s">
        <v>88</v>
      </c>
      <c r="B96" s="22">
        <f t="shared" si="3"/>
        <v>0.1471873659</v>
      </c>
      <c r="C96" s="21" t="s">
        <v>68</v>
      </c>
      <c r="D96" s="21" t="s">
        <v>69</v>
      </c>
      <c r="E96" s="23">
        <v>149.0</v>
      </c>
      <c r="F96" s="24" t="s">
        <v>97</v>
      </c>
      <c r="G96" s="21" t="s">
        <v>82</v>
      </c>
      <c r="H96" s="24" t="s">
        <v>98</v>
      </c>
      <c r="I96" s="24" t="s">
        <v>95</v>
      </c>
      <c r="J96" s="24" t="s">
        <v>74</v>
      </c>
      <c r="K96" s="24" t="s">
        <v>75</v>
      </c>
      <c r="L96" s="21" t="s">
        <v>76</v>
      </c>
      <c r="M96" s="24" t="s">
        <v>85</v>
      </c>
      <c r="N96" s="21" t="s">
        <v>86</v>
      </c>
      <c r="O96" s="21" t="s">
        <v>91</v>
      </c>
      <c r="P96" s="21" t="s">
        <v>80</v>
      </c>
      <c r="Q96" s="24" t="s">
        <v>89</v>
      </c>
      <c r="R96" s="24" t="s">
        <v>89</v>
      </c>
      <c r="S96" s="25">
        <v>327.346050500869</v>
      </c>
      <c r="T96" s="25">
        <v>464.619311332702</v>
      </c>
      <c r="U96" s="25">
        <v>1.56735995644056</v>
      </c>
      <c r="V96" s="25">
        <v>4.12082163927503</v>
      </c>
      <c r="W96" s="25">
        <v>2.02998069923707</v>
      </c>
      <c r="X96" s="25">
        <v>0.8474849421836</v>
      </c>
      <c r="Y96" s="25">
        <v>0.0503778072707099</v>
      </c>
      <c r="Z96" s="25">
        <v>0.00418769106981697</v>
      </c>
      <c r="AA96" s="25">
        <v>0.0647123718450883</v>
      </c>
      <c r="AB96" s="25">
        <v>0.906279924853861</v>
      </c>
      <c r="AC96" s="25">
        <v>0.0502275060201334</v>
      </c>
      <c r="AD96" s="25">
        <v>0.0645553577246343</v>
      </c>
      <c r="AE96" s="25">
        <v>0.907180249232023</v>
      </c>
      <c r="AF96" s="25">
        <v>0.0679071525050769</v>
      </c>
      <c r="AG96" s="25">
        <v>0.0872635910681308</v>
      </c>
      <c r="AH96" s="25">
        <v>0.83109083386012</v>
      </c>
      <c r="AI96" s="25">
        <v>10.0</v>
      </c>
      <c r="AJ96" s="25">
        <v>1.56735995644057</v>
      </c>
      <c r="AK96" s="25">
        <v>4.12082163927503</v>
      </c>
      <c r="AL96" s="25">
        <v>2.02998069923707</v>
      </c>
      <c r="AM96" s="25">
        <v>0.847467727002117</v>
      </c>
      <c r="AN96" s="25">
        <v>1.23057389749326</v>
      </c>
      <c r="AO96" s="25">
        <v>2.50147837512604</v>
      </c>
      <c r="AP96" s="25">
        <v>1.58160626425354</v>
      </c>
      <c r="AQ96" s="25">
        <v>0.907180249232023</v>
      </c>
      <c r="AR96" s="25">
        <v>1.66372523637441</v>
      </c>
      <c r="AS96" s="25">
        <v>4.57086432924507</v>
      </c>
      <c r="AT96" s="25">
        <v>2.13795798116919</v>
      </c>
      <c r="AU96" s="25">
        <v>0.83109083386012</v>
      </c>
      <c r="AV96" s="26">
        <f t="shared" ref="AV96:AW96" si="195">(AC96-AC$289)/AC$290</f>
        <v>-0.1470904897</v>
      </c>
      <c r="AW96" s="27">
        <f t="shared" si="195"/>
        <v>-0.1303917441</v>
      </c>
      <c r="AX96" s="27">
        <f t="shared" si="5"/>
        <v>-0.06364881604</v>
      </c>
      <c r="AY96" s="28">
        <f t="shared" si="6"/>
        <v>-0.05597084263</v>
      </c>
      <c r="AZ96" s="29">
        <f t="shared" si="7"/>
        <v>-0.0498869888</v>
      </c>
      <c r="BA96" s="28">
        <f t="shared" si="8"/>
        <v>-0.03928008358</v>
      </c>
      <c r="BB96" s="29">
        <f t="shared" si="9"/>
        <v>-0.02695328486</v>
      </c>
      <c r="BC96" s="27">
        <f t="shared" si="10"/>
        <v>-0.04144303707</v>
      </c>
      <c r="BD96" s="28">
        <f t="shared" si="11"/>
        <v>-0.01994604645</v>
      </c>
      <c r="BE96" s="30">
        <f t="shared" ref="BE96:BF96" si="196">((S96-S$289)/S$290)</f>
        <v>-0.7516686</v>
      </c>
      <c r="BF96" s="30">
        <f t="shared" si="196"/>
        <v>-0.2927810914</v>
      </c>
    </row>
    <row r="97">
      <c r="A97" s="21" t="s">
        <v>88</v>
      </c>
      <c r="B97" s="22">
        <f t="shared" si="3"/>
        <v>0.2274723212</v>
      </c>
      <c r="C97" s="21" t="s">
        <v>68</v>
      </c>
      <c r="D97" s="21" t="s">
        <v>69</v>
      </c>
      <c r="E97" s="23">
        <v>155.0</v>
      </c>
      <c r="F97" s="24" t="s">
        <v>97</v>
      </c>
      <c r="G97" s="21" t="s">
        <v>82</v>
      </c>
      <c r="H97" s="24" t="s">
        <v>98</v>
      </c>
      <c r="I97" s="24" t="s">
        <v>95</v>
      </c>
      <c r="J97" s="24" t="s">
        <v>99</v>
      </c>
      <c r="K97" s="24" t="s">
        <v>75</v>
      </c>
      <c r="L97" s="21" t="s">
        <v>84</v>
      </c>
      <c r="M97" s="24" t="s">
        <v>85</v>
      </c>
      <c r="N97" s="21" t="s">
        <v>86</v>
      </c>
      <c r="O97" s="21" t="s">
        <v>79</v>
      </c>
      <c r="P97" s="21" t="s">
        <v>80</v>
      </c>
      <c r="Q97" s="24" t="s">
        <v>87</v>
      </c>
      <c r="R97" s="24" t="s">
        <v>81</v>
      </c>
      <c r="S97" s="25">
        <v>388.109767436981</v>
      </c>
      <c r="T97" s="25">
        <v>466.255665540695</v>
      </c>
      <c r="U97" s="25">
        <v>1.50143236985462</v>
      </c>
      <c r="V97" s="25">
        <v>3.84477935194992</v>
      </c>
      <c r="W97" s="25">
        <v>1.96081089142985</v>
      </c>
      <c r="X97" s="25">
        <v>0.857709792562187</v>
      </c>
      <c r="Y97" s="25">
        <v>0.0356121165686022</v>
      </c>
      <c r="Z97" s="25">
        <v>0.00211387230533947</v>
      </c>
      <c r="AA97" s="25">
        <v>0.0459768670674664</v>
      </c>
      <c r="AB97" s="25">
        <v>0.952691765461482</v>
      </c>
      <c r="AC97" s="25">
        <v>0.0354637307867604</v>
      </c>
      <c r="AD97" s="25">
        <v>0.0458488509702589</v>
      </c>
      <c r="AE97" s="25">
        <v>0.953179858034536</v>
      </c>
      <c r="AF97" s="25">
        <v>0.0604495753851134</v>
      </c>
      <c r="AG97" s="25">
        <v>0.0803687617604074</v>
      </c>
      <c r="AH97" s="25">
        <v>0.85672790540812</v>
      </c>
      <c r="AI97" s="25">
        <v>10.0</v>
      </c>
      <c r="AJ97" s="25">
        <v>1.50143236985463</v>
      </c>
      <c r="AK97" s="25">
        <v>3.84477935194992</v>
      </c>
      <c r="AL97" s="25">
        <v>1.96081089142985</v>
      </c>
      <c r="AM97" s="25">
        <v>0.857685436288036</v>
      </c>
      <c r="AN97" s="25">
        <v>0.868861404275631</v>
      </c>
      <c r="AO97" s="25">
        <v>1.26179581045962</v>
      </c>
      <c r="AP97" s="25">
        <v>1.12329684877134</v>
      </c>
      <c r="AQ97" s="25">
        <v>0.953179858034536</v>
      </c>
      <c r="AR97" s="25">
        <v>1.48101459693526</v>
      </c>
      <c r="AS97" s="25">
        <v>3.8770975046074</v>
      </c>
      <c r="AT97" s="25">
        <v>1.96903466312998</v>
      </c>
      <c r="AU97" s="25">
        <v>0.85672790540812</v>
      </c>
      <c r="AV97" s="26">
        <f t="shared" ref="AV97:AW97" si="197">(AC97-AC$289)/AC$290</f>
        <v>-0.4501119567</v>
      </c>
      <c r="AW97" s="27">
        <f t="shared" si="197"/>
        <v>-0.432676713</v>
      </c>
      <c r="AX97" s="27">
        <f t="shared" si="5"/>
        <v>-0.1410333617</v>
      </c>
      <c r="AY97" s="28">
        <f t="shared" si="6"/>
        <v>-0.1121924324</v>
      </c>
      <c r="AZ97" s="29">
        <f t="shared" si="7"/>
        <v>-0.08372708835</v>
      </c>
      <c r="BA97" s="28">
        <f t="shared" si="8"/>
        <v>-0.06670722591</v>
      </c>
      <c r="BB97" s="29">
        <f t="shared" si="9"/>
        <v>-0.07724234363</v>
      </c>
      <c r="BC97" s="27">
        <f t="shared" si="10"/>
        <v>-0.07991411299</v>
      </c>
      <c r="BD97" s="28">
        <f t="shared" si="11"/>
        <v>-0.03330992858</v>
      </c>
      <c r="BE97" s="30">
        <f t="shared" ref="BE97:BF97" si="198">((S97-S$289)/S$290)</f>
        <v>-0.7357715453</v>
      </c>
      <c r="BF97" s="30">
        <f t="shared" si="198"/>
        <v>-0.2895088246</v>
      </c>
    </row>
    <row r="98">
      <c r="A98" s="21" t="s">
        <v>67</v>
      </c>
      <c r="B98" s="22">
        <f t="shared" si="3"/>
        <v>0.08384409269</v>
      </c>
      <c r="C98" s="21" t="s">
        <v>68</v>
      </c>
      <c r="D98" s="21" t="s">
        <v>69</v>
      </c>
      <c r="E98" s="23">
        <v>259.0</v>
      </c>
      <c r="F98" s="24" t="s">
        <v>97</v>
      </c>
      <c r="G98" s="21" t="s">
        <v>71</v>
      </c>
      <c r="H98" s="24" t="s">
        <v>105</v>
      </c>
      <c r="I98" s="24" t="s">
        <v>95</v>
      </c>
      <c r="J98" s="24" t="s">
        <v>74</v>
      </c>
      <c r="K98" s="24" t="s">
        <v>75</v>
      </c>
      <c r="L98" s="21" t="s">
        <v>84</v>
      </c>
      <c r="M98" s="24" t="s">
        <v>85</v>
      </c>
      <c r="N98" s="21" t="s">
        <v>86</v>
      </c>
      <c r="O98" s="21" t="s">
        <v>79</v>
      </c>
      <c r="P98" s="21" t="s">
        <v>80</v>
      </c>
      <c r="Q98" s="24" t="s">
        <v>81</v>
      </c>
      <c r="R98" s="24" t="s">
        <v>81</v>
      </c>
      <c r="S98" s="25">
        <v>268.113845586776</v>
      </c>
      <c r="T98" s="25">
        <v>484.211159944534</v>
      </c>
      <c r="U98" s="25">
        <v>1.77157374508053</v>
      </c>
      <c r="V98" s="25">
        <v>5.19858471573896</v>
      </c>
      <c r="W98" s="25">
        <v>2.28004050747765</v>
      </c>
      <c r="X98" s="25">
        <v>0.807432213970358</v>
      </c>
      <c r="Y98" s="25">
        <v>0.0522356936245231</v>
      </c>
      <c r="Z98" s="25">
        <v>0.0044362416444144</v>
      </c>
      <c r="AA98" s="25">
        <v>0.0666051172539648</v>
      </c>
      <c r="AB98" s="25">
        <v>0.900318770682859</v>
      </c>
      <c r="AC98" s="25">
        <v>0.0520271573883859</v>
      </c>
      <c r="AD98" s="25">
        <v>0.066361906577089</v>
      </c>
      <c r="AE98" s="25">
        <v>0.901595615904162</v>
      </c>
      <c r="AF98" s="25">
        <v>0.0801931754715558</v>
      </c>
      <c r="AG98" s="25">
        <v>0.102302741871089</v>
      </c>
      <c r="AH98" s="25">
        <v>0.768232471729556</v>
      </c>
      <c r="AI98" s="25">
        <v>10.0</v>
      </c>
      <c r="AJ98" s="25">
        <v>1.77157374508051</v>
      </c>
      <c r="AK98" s="25">
        <v>5.19858471573897</v>
      </c>
      <c r="AL98" s="25">
        <v>2.28004050747765</v>
      </c>
      <c r="AM98" s="25">
        <v>0.807373983170471</v>
      </c>
      <c r="AN98" s="25">
        <v>1.27466535601545</v>
      </c>
      <c r="AO98" s="25">
        <v>2.64344256238891</v>
      </c>
      <c r="AP98" s="25">
        <v>1.62586671113868</v>
      </c>
      <c r="AQ98" s="25">
        <v>0.901595615904162</v>
      </c>
      <c r="AR98" s="25">
        <v>1.96473279905316</v>
      </c>
      <c r="AS98" s="25">
        <v>6.28212705935423</v>
      </c>
      <c r="AT98" s="25">
        <v>2.50641717584169</v>
      </c>
      <c r="AU98" s="25">
        <v>0.768232471729556</v>
      </c>
      <c r="AV98" s="26">
        <f t="shared" ref="AV98:AW98" si="199">(AC98-AC$289)/AC$290</f>
        <v>-0.1101532573</v>
      </c>
      <c r="AW98" s="27">
        <f t="shared" si="199"/>
        <v>-0.101199091</v>
      </c>
      <c r="AX98" s="27">
        <f t="shared" si="5"/>
        <v>0.06383874318</v>
      </c>
      <c r="AY98" s="28">
        <f t="shared" si="6"/>
        <v>0.06666090482</v>
      </c>
      <c r="AZ98" s="29">
        <f t="shared" si="7"/>
        <v>0.05493430521</v>
      </c>
      <c r="BA98" s="28">
        <f t="shared" si="8"/>
        <v>0.05987337905</v>
      </c>
      <c r="BB98" s="29">
        <f t="shared" si="9"/>
        <v>-0.02084788612</v>
      </c>
      <c r="BC98" s="27">
        <f t="shared" si="10"/>
        <v>0.05288243286</v>
      </c>
      <c r="BD98" s="28">
        <f t="shared" si="11"/>
        <v>0.03249311107</v>
      </c>
      <c r="BE98" s="30">
        <f t="shared" ref="BE98:BF98" si="200">((S98-S$289)/S$290)</f>
        <v>-0.7671649792</v>
      </c>
      <c r="BF98" s="30">
        <f t="shared" si="200"/>
        <v>-0.2536026822</v>
      </c>
    </row>
    <row r="99">
      <c r="A99" s="21" t="s">
        <v>67</v>
      </c>
      <c r="B99" s="22">
        <f t="shared" si="3"/>
        <v>-0.09906384797</v>
      </c>
      <c r="C99" s="21" t="s">
        <v>68</v>
      </c>
      <c r="D99" s="21" t="s">
        <v>69</v>
      </c>
      <c r="E99" s="23">
        <v>121.0</v>
      </c>
      <c r="F99" s="24" t="s">
        <v>70</v>
      </c>
      <c r="G99" s="21" t="s">
        <v>71</v>
      </c>
      <c r="H99" s="24" t="s">
        <v>72</v>
      </c>
      <c r="I99" s="24" t="s">
        <v>95</v>
      </c>
      <c r="J99" s="24" t="s">
        <v>74</v>
      </c>
      <c r="K99" s="24" t="s">
        <v>75</v>
      </c>
      <c r="L99" s="21" t="s">
        <v>84</v>
      </c>
      <c r="M99" s="24" t="s">
        <v>85</v>
      </c>
      <c r="N99" s="21" t="s">
        <v>104</v>
      </c>
      <c r="O99" s="21" t="s">
        <v>102</v>
      </c>
      <c r="P99" s="21" t="s">
        <v>80</v>
      </c>
      <c r="Q99" s="24" t="s">
        <v>87</v>
      </c>
      <c r="R99" s="24" t="s">
        <v>87</v>
      </c>
      <c r="S99" s="25">
        <v>193.85171341896</v>
      </c>
      <c r="T99" s="25">
        <v>176.228287458419</v>
      </c>
      <c r="U99" s="25">
        <v>2.17264235365783</v>
      </c>
      <c r="V99" s="25">
        <v>7.03115422042573</v>
      </c>
      <c r="W99" s="25">
        <v>2.65163236901832</v>
      </c>
      <c r="X99" s="25">
        <v>0.731811861343712</v>
      </c>
      <c r="Y99" s="25">
        <v>0.0884275391781635</v>
      </c>
      <c r="Z99" s="25">
        <v>0.011231303430967</v>
      </c>
      <c r="AA99" s="25">
        <v>0.105977844056986</v>
      </c>
      <c r="AB99" s="25">
        <v>0.763873189134828</v>
      </c>
      <c r="AC99" s="25">
        <v>0.0884860028004028</v>
      </c>
      <c r="AD99" s="25">
        <v>0.105879647100694</v>
      </c>
      <c r="AE99" s="25">
        <v>0.765741197411189</v>
      </c>
      <c r="AF99" s="25">
        <v>0.110175998932749</v>
      </c>
      <c r="AG99" s="25">
        <v>0.133371501430807</v>
      </c>
      <c r="AH99" s="25">
        <v>0.633073459170375</v>
      </c>
      <c r="AI99" s="25">
        <v>10.0</v>
      </c>
      <c r="AJ99" s="25">
        <v>2.17264235365783</v>
      </c>
      <c r="AK99" s="25">
        <v>7.03115422042573</v>
      </c>
      <c r="AL99" s="25">
        <v>2.65163236901832</v>
      </c>
      <c r="AM99" s="25">
        <v>0.731762883698454</v>
      </c>
      <c r="AN99" s="25">
        <v>2.06344442641496</v>
      </c>
      <c r="AO99" s="25">
        <v>6.09623036278718</v>
      </c>
      <c r="AP99" s="25">
        <v>2.46905454836202</v>
      </c>
      <c r="AQ99" s="25">
        <v>0.765741197411189</v>
      </c>
      <c r="AR99" s="25">
        <v>2.56924308622342</v>
      </c>
      <c r="AS99" s="25">
        <v>9.67302878080246</v>
      </c>
      <c r="AT99" s="25">
        <v>3.11014931808787</v>
      </c>
      <c r="AU99" s="25">
        <v>0.633073459170375</v>
      </c>
      <c r="AV99" s="26">
        <f t="shared" ref="AV99:AW99" si="201">(AC99-AC$289)/AC$290</f>
        <v>0.6381521487</v>
      </c>
      <c r="AW99" s="27">
        <f t="shared" si="201"/>
        <v>0.5373818649</v>
      </c>
      <c r="AX99" s="27">
        <f t="shared" si="5"/>
        <v>0.3198706526</v>
      </c>
      <c r="AY99" s="28">
        <f t="shared" si="6"/>
        <v>0.2675969343</v>
      </c>
      <c r="AZ99" s="29">
        <f t="shared" si="7"/>
        <v>0.2607995938</v>
      </c>
      <c r="BA99" s="28">
        <f t="shared" si="8"/>
        <v>0.2072166087</v>
      </c>
      <c r="BB99" s="29">
        <f t="shared" si="9"/>
        <v>0.1276749169</v>
      </c>
      <c r="BC99" s="27">
        <f t="shared" si="10"/>
        <v>0.2557025023</v>
      </c>
      <c r="BD99" s="28">
        <f t="shared" si="11"/>
        <v>0.1313859052</v>
      </c>
      <c r="BE99" s="30">
        <f t="shared" ref="BE99:BF99" si="202">((S99-S$289)/S$290)</f>
        <v>-0.7865935006</v>
      </c>
      <c r="BF99" s="30">
        <f t="shared" si="202"/>
        <v>-0.8694852993</v>
      </c>
    </row>
    <row r="100">
      <c r="A100" s="21" t="s">
        <v>67</v>
      </c>
      <c r="B100" s="22">
        <f t="shared" si="3"/>
        <v>0.0261136061</v>
      </c>
      <c r="C100" s="21" t="s">
        <v>68</v>
      </c>
      <c r="D100" s="21" t="s">
        <v>69</v>
      </c>
      <c r="E100" s="23">
        <v>286.0</v>
      </c>
      <c r="F100" s="24" t="s">
        <v>97</v>
      </c>
      <c r="G100" s="21" t="s">
        <v>71</v>
      </c>
      <c r="H100" s="24" t="s">
        <v>105</v>
      </c>
      <c r="I100" s="24" t="s">
        <v>95</v>
      </c>
      <c r="J100" s="24" t="s">
        <v>90</v>
      </c>
      <c r="K100" s="24" t="s">
        <v>75</v>
      </c>
      <c r="L100" s="21" t="s">
        <v>76</v>
      </c>
      <c r="M100" s="24" t="s">
        <v>77</v>
      </c>
      <c r="N100" s="21" t="s">
        <v>86</v>
      </c>
      <c r="O100" s="21" t="s">
        <v>91</v>
      </c>
      <c r="P100" s="21" t="s">
        <v>80</v>
      </c>
      <c r="Q100" s="24" t="s">
        <v>89</v>
      </c>
      <c r="S100" s="25">
        <v>227.243458986282</v>
      </c>
      <c r="T100" s="25">
        <v>526.699736595153</v>
      </c>
      <c r="U100" s="25">
        <v>1.80264938028005</v>
      </c>
      <c r="V100" s="25">
        <v>5.24655923805637</v>
      </c>
      <c r="W100" s="25">
        <v>2.29053688860414</v>
      </c>
      <c r="X100" s="25">
        <v>0.805653733058637</v>
      </c>
      <c r="Y100" s="25">
        <v>0.0665055179662619</v>
      </c>
      <c r="Z100" s="25">
        <v>0.00663024767775427</v>
      </c>
      <c r="AA100" s="25">
        <v>0.0814263328276195</v>
      </c>
      <c r="AB100" s="25">
        <v>0.851020009239622</v>
      </c>
      <c r="AC100" s="25">
        <v>0.0664198081888065</v>
      </c>
      <c r="AD100" s="25">
        <v>0.0812369379185627</v>
      </c>
      <c r="AE100" s="25">
        <v>0.852536740908965</v>
      </c>
      <c r="AF100" s="25">
        <v>0.0794854905775276</v>
      </c>
      <c r="AG100" s="25">
        <v>0.0993583282156533</v>
      </c>
      <c r="AH100" s="25">
        <v>0.781381659662421</v>
      </c>
      <c r="AI100" s="25">
        <v>10.0</v>
      </c>
      <c r="AJ100" s="25">
        <v>1.80264938028003</v>
      </c>
      <c r="AK100" s="25">
        <v>5.24655923805637</v>
      </c>
      <c r="AL100" s="25">
        <v>2.29053688860414</v>
      </c>
      <c r="AM100" s="25">
        <v>0.805596356826262</v>
      </c>
      <c r="AN100" s="25">
        <v>1.62728530062582</v>
      </c>
      <c r="AO100" s="25">
        <v>3.96131390945125</v>
      </c>
      <c r="AP100" s="25">
        <v>1.99030497900478</v>
      </c>
      <c r="AQ100" s="25">
        <v>0.852536740908965</v>
      </c>
      <c r="AR100" s="25">
        <v>1.94739451914947</v>
      </c>
      <c r="AS100" s="25">
        <v>5.92571445083215</v>
      </c>
      <c r="AT100" s="25">
        <v>2.4342790412835</v>
      </c>
      <c r="AU100" s="25">
        <v>0.781381659662421</v>
      </c>
      <c r="AV100" s="26">
        <f t="shared" ref="AV100:AW100" si="203">(AC100-AC$289)/AC$290</f>
        <v>0.1852510069</v>
      </c>
      <c r="AW100" s="27">
        <f t="shared" si="203"/>
        <v>0.13917173</v>
      </c>
      <c r="AX100" s="27">
        <f t="shared" si="5"/>
        <v>0.0564953563</v>
      </c>
      <c r="AY100" s="28">
        <f t="shared" si="6"/>
        <v>0.04265166411</v>
      </c>
      <c r="AZ100" s="29">
        <f t="shared" si="7"/>
        <v>0.07088517863</v>
      </c>
      <c r="BA100" s="28">
        <f t="shared" si="8"/>
        <v>0.06403539349</v>
      </c>
      <c r="BB100" s="29">
        <f t="shared" si="9"/>
        <v>0.03278571451</v>
      </c>
      <c r="BC100" s="27">
        <f t="shared" si="10"/>
        <v>0.03315071716</v>
      </c>
      <c r="BD100" s="28">
        <f t="shared" si="11"/>
        <v>0.03481809295</v>
      </c>
      <c r="BE100" s="30">
        <f t="shared" ref="BE100:BF100" si="204">((S100-S$289)/S$290)</f>
        <v>-0.777857524</v>
      </c>
      <c r="BF100" s="30">
        <f t="shared" si="204"/>
        <v>-0.168636997</v>
      </c>
    </row>
    <row r="101">
      <c r="A101" s="21" t="s">
        <v>88</v>
      </c>
      <c r="B101" s="22">
        <f t="shared" si="3"/>
        <v>0.1148508033</v>
      </c>
      <c r="C101" s="21" t="s">
        <v>68</v>
      </c>
      <c r="D101" s="21" t="s">
        <v>69</v>
      </c>
      <c r="E101" s="23">
        <v>158.0</v>
      </c>
      <c r="F101" s="24" t="s">
        <v>97</v>
      </c>
      <c r="G101" s="21" t="s">
        <v>82</v>
      </c>
      <c r="H101" s="24" t="s">
        <v>98</v>
      </c>
      <c r="I101" s="24" t="s">
        <v>73</v>
      </c>
      <c r="J101" s="24" t="s">
        <v>99</v>
      </c>
      <c r="K101" s="24" t="s">
        <v>101</v>
      </c>
      <c r="L101" s="21" t="s">
        <v>76</v>
      </c>
      <c r="M101" s="24" t="s">
        <v>77</v>
      </c>
      <c r="N101" s="21" t="s">
        <v>86</v>
      </c>
      <c r="O101" s="21" t="s">
        <v>79</v>
      </c>
      <c r="P101" s="21" t="s">
        <v>80</v>
      </c>
      <c r="Q101" s="24" t="s">
        <v>89</v>
      </c>
      <c r="S101" s="25">
        <v>321.714945316314</v>
      </c>
      <c r="T101" s="25">
        <v>417.451291322708</v>
      </c>
      <c r="U101" s="25">
        <v>1.62111521071996</v>
      </c>
      <c r="V101" s="25">
        <v>4.35431371220139</v>
      </c>
      <c r="W101" s="25">
        <v>2.08669923855868</v>
      </c>
      <c r="X101" s="25">
        <v>0.838706237687789</v>
      </c>
      <c r="Y101" s="25">
        <v>0.0568344432351445</v>
      </c>
      <c r="Z101" s="25">
        <v>0.00512033027013015</v>
      </c>
      <c r="AA101" s="25">
        <v>0.0715564830754709</v>
      </c>
      <c r="AB101" s="25">
        <v>0.885283697517649</v>
      </c>
      <c r="AC101" s="25">
        <v>0.0568024098244087</v>
      </c>
      <c r="AD101" s="25">
        <v>0.0714568530934232</v>
      </c>
      <c r="AE101" s="25">
        <v>0.886140392202008</v>
      </c>
      <c r="AF101" s="25">
        <v>0.0722859753339254</v>
      </c>
      <c r="AG101" s="25">
        <v>0.0925593803024679</v>
      </c>
      <c r="AH101" s="25">
        <v>0.809885915667753</v>
      </c>
      <c r="AI101" s="25">
        <v>10.0</v>
      </c>
      <c r="AJ101" s="25">
        <v>1.62111521071995</v>
      </c>
      <c r="AK101" s="25">
        <v>4.35431371220139</v>
      </c>
      <c r="AL101" s="25">
        <v>2.08669923855868</v>
      </c>
      <c r="AM101" s="25">
        <v>0.838672744182593</v>
      </c>
      <c r="AN101" s="25">
        <v>1.39165904069805</v>
      </c>
      <c r="AO101" s="25">
        <v>3.06492563287254</v>
      </c>
      <c r="AP101" s="25">
        <v>1.75069290078887</v>
      </c>
      <c r="AQ101" s="25">
        <v>0.886140392202008</v>
      </c>
      <c r="AR101" s="25">
        <v>1.77100639568116</v>
      </c>
      <c r="AS101" s="25">
        <v>5.1424851389066</v>
      </c>
      <c r="AT101" s="25">
        <v>2.26770481741045</v>
      </c>
      <c r="AU101" s="25">
        <v>0.809885915667753</v>
      </c>
      <c r="AV101" s="26">
        <f t="shared" ref="AV101:AW101" si="205">(AC101-AC$289)/AC$290</f>
        <v>-0.01214282463</v>
      </c>
      <c r="AW101" s="27">
        <f t="shared" si="205"/>
        <v>-0.0188680727</v>
      </c>
      <c r="AX101" s="27">
        <f t="shared" si="5"/>
        <v>-0.01821137577</v>
      </c>
      <c r="AY101" s="28">
        <f t="shared" si="6"/>
        <v>-0.01278809272</v>
      </c>
      <c r="AZ101" s="29">
        <f t="shared" si="7"/>
        <v>-0.02229484945</v>
      </c>
      <c r="BA101" s="28">
        <f t="shared" si="8"/>
        <v>-0.01679010565</v>
      </c>
      <c r="BB101" s="29">
        <f t="shared" si="9"/>
        <v>-0.003951467365</v>
      </c>
      <c r="BC101" s="27">
        <f t="shared" si="10"/>
        <v>-0.00962286541</v>
      </c>
      <c r="BD101" s="28">
        <f t="shared" si="11"/>
        <v>-0.00844296778</v>
      </c>
      <c r="BE101" s="30">
        <f t="shared" ref="BE101:BF101" si="206">((S101-S$289)/S$290)</f>
        <v>-0.7531418145</v>
      </c>
      <c r="BF101" s="30">
        <f t="shared" si="206"/>
        <v>-0.3871044003</v>
      </c>
    </row>
    <row r="102">
      <c r="A102" s="21" t="s">
        <v>88</v>
      </c>
      <c r="B102" s="22">
        <f t="shared" si="3"/>
        <v>0.09354524746</v>
      </c>
      <c r="C102" s="21" t="s">
        <v>68</v>
      </c>
      <c r="D102" s="21" t="s">
        <v>69</v>
      </c>
      <c r="E102" s="23">
        <v>97.0</v>
      </c>
      <c r="F102" s="24" t="s">
        <v>70</v>
      </c>
      <c r="G102" s="21" t="s">
        <v>71</v>
      </c>
      <c r="H102" s="24" t="s">
        <v>72</v>
      </c>
      <c r="I102" s="24" t="s">
        <v>95</v>
      </c>
      <c r="J102" s="24" t="s">
        <v>74</v>
      </c>
      <c r="K102" s="24" t="s">
        <v>101</v>
      </c>
      <c r="L102" s="21" t="s">
        <v>84</v>
      </c>
      <c r="M102" s="24" t="s">
        <v>77</v>
      </c>
      <c r="N102" s="21" t="s">
        <v>104</v>
      </c>
      <c r="O102" s="21" t="s">
        <v>102</v>
      </c>
      <c r="P102" s="21" t="s">
        <v>80</v>
      </c>
      <c r="Q102" s="24" t="s">
        <v>103</v>
      </c>
      <c r="S102" s="25">
        <v>352.042217254638</v>
      </c>
      <c r="T102" s="25">
        <v>218.399471521377</v>
      </c>
      <c r="U102" s="25">
        <v>1.76661003838388</v>
      </c>
      <c r="V102" s="25">
        <v>5.00971903626252</v>
      </c>
      <c r="W102" s="25">
        <v>2.23824016500967</v>
      </c>
      <c r="X102" s="25">
        <v>0.808976225133746</v>
      </c>
      <c r="Y102" s="25">
        <v>0.0674159652798011</v>
      </c>
      <c r="Z102" s="25">
        <v>0.00720118531698353</v>
      </c>
      <c r="AA102" s="25">
        <v>0.084859798002255</v>
      </c>
      <c r="AB102" s="25">
        <v>0.848602352006617</v>
      </c>
      <c r="AC102" s="25">
        <v>0.067013385662305</v>
      </c>
      <c r="AD102" s="25">
        <v>0.0844766850646977</v>
      </c>
      <c r="AE102" s="25">
        <v>0.850876985010608</v>
      </c>
      <c r="AF102" s="25">
        <v>0.0753287891696924</v>
      </c>
      <c r="AG102" s="25">
        <v>0.0965820939560108</v>
      </c>
      <c r="AH102" s="25">
        <v>0.807581741398516</v>
      </c>
      <c r="AI102" s="25">
        <v>10.0</v>
      </c>
      <c r="AJ102" s="25">
        <v>1.76661003838388</v>
      </c>
      <c r="AK102" s="25">
        <v>5.00971903626252</v>
      </c>
      <c r="AL102" s="25">
        <v>2.23824016500967</v>
      </c>
      <c r="AM102" s="25">
        <v>0.808880228531432</v>
      </c>
      <c r="AN102" s="25">
        <v>1.56271492398627</v>
      </c>
      <c r="AO102" s="25">
        <v>3.88070049757916</v>
      </c>
      <c r="AP102" s="25">
        <v>1.96994936421705</v>
      </c>
      <c r="AQ102" s="25">
        <v>0.850876985010608</v>
      </c>
      <c r="AR102" s="25">
        <v>1.75662551410993</v>
      </c>
      <c r="AS102" s="25">
        <v>5.07258850557851</v>
      </c>
      <c r="AT102" s="25">
        <v>2.2522407743353</v>
      </c>
      <c r="AU102" s="25">
        <v>0.807581741398516</v>
      </c>
      <c r="AV102" s="26">
        <f t="shared" ref="AV102:AW102" si="207">(AC102-AC$289)/AC$290</f>
        <v>0.1974339827</v>
      </c>
      <c r="AW102" s="27">
        <f t="shared" si="207"/>
        <v>0.1915239344</v>
      </c>
      <c r="AX102" s="27">
        <f t="shared" si="5"/>
        <v>-0.02430219779</v>
      </c>
      <c r="AY102" s="28">
        <f t="shared" si="6"/>
        <v>-0.01793488415</v>
      </c>
      <c r="AZ102" s="29">
        <f t="shared" si="7"/>
        <v>0.05238647451</v>
      </c>
      <c r="BA102" s="28">
        <f t="shared" si="8"/>
        <v>0.04329874947</v>
      </c>
      <c r="BB102" s="29">
        <f t="shared" si="9"/>
        <v>0.03460024216</v>
      </c>
      <c r="BC102" s="27">
        <f t="shared" si="10"/>
        <v>-0.006165213741</v>
      </c>
      <c r="BD102" s="28">
        <f t="shared" si="11"/>
        <v>0.03052307211</v>
      </c>
      <c r="BE102" s="30">
        <f t="shared" ref="BE102:BF102" si="208">((S102-S$289)/S$290)</f>
        <v>-0.7452075681</v>
      </c>
      <c r="BF102" s="30">
        <f t="shared" si="208"/>
        <v>-0.7851543137</v>
      </c>
    </row>
    <row r="103">
      <c r="A103" s="21" t="s">
        <v>67</v>
      </c>
      <c r="B103" s="22">
        <f t="shared" si="3"/>
        <v>-0.008781168232</v>
      </c>
      <c r="C103" s="21" t="s">
        <v>68</v>
      </c>
      <c r="D103" s="21" t="s">
        <v>69</v>
      </c>
      <c r="E103" s="23">
        <v>120.0</v>
      </c>
      <c r="F103" s="24" t="s">
        <v>70</v>
      </c>
      <c r="G103" s="21" t="s">
        <v>71</v>
      </c>
      <c r="H103" s="24" t="s">
        <v>72</v>
      </c>
      <c r="I103" s="24" t="s">
        <v>73</v>
      </c>
      <c r="J103" s="24" t="s">
        <v>99</v>
      </c>
      <c r="K103" s="24" t="s">
        <v>101</v>
      </c>
      <c r="L103" s="21" t="s">
        <v>84</v>
      </c>
      <c r="M103" s="24" t="s">
        <v>85</v>
      </c>
      <c r="N103" s="21" t="s">
        <v>86</v>
      </c>
      <c r="O103" s="21" t="s">
        <v>79</v>
      </c>
      <c r="P103" s="21" t="s">
        <v>80</v>
      </c>
      <c r="Q103" s="24" t="s">
        <v>87</v>
      </c>
      <c r="R103" s="24" t="s">
        <v>103</v>
      </c>
      <c r="S103" s="25">
        <v>275.69611287117</v>
      </c>
      <c r="T103" s="25">
        <v>169.47352862358</v>
      </c>
      <c r="U103" s="25">
        <v>1.98394086973044</v>
      </c>
      <c r="V103" s="25">
        <v>6.61142713007215</v>
      </c>
      <c r="W103" s="25">
        <v>2.57126955608939</v>
      </c>
      <c r="X103" s="25">
        <v>0.745983512110014</v>
      </c>
      <c r="Y103" s="25">
        <v>0.0751202609495854</v>
      </c>
      <c r="Z103" s="25">
        <v>0.00925434425006899</v>
      </c>
      <c r="AA103" s="25">
        <v>0.0961995023379486</v>
      </c>
      <c r="AB103" s="25">
        <v>0.804514219091745</v>
      </c>
      <c r="AC103" s="25">
        <v>0.0747268615531758</v>
      </c>
      <c r="AD103" s="25">
        <v>0.0957911707861733</v>
      </c>
      <c r="AE103" s="25">
        <v>0.807298230576594</v>
      </c>
      <c r="AF103" s="25">
        <v>0.0921388593468181</v>
      </c>
      <c r="AG103" s="25">
        <v>0.121327980346644</v>
      </c>
      <c r="AH103" s="25">
        <v>0.693926899230793</v>
      </c>
      <c r="AI103" s="25">
        <v>10.0</v>
      </c>
      <c r="AJ103" s="25">
        <v>1.98394086973044</v>
      </c>
      <c r="AK103" s="25">
        <v>6.61142713007215</v>
      </c>
      <c r="AL103" s="25">
        <v>2.57126955608939</v>
      </c>
      <c r="AM103" s="25">
        <v>0.745905091420906</v>
      </c>
      <c r="AN103" s="25">
        <v>1.74258889649699</v>
      </c>
      <c r="AO103" s="25">
        <v>4.98984852529625</v>
      </c>
      <c r="AP103" s="25">
        <v>2.23379688541645</v>
      </c>
      <c r="AQ103" s="25">
        <v>0.807298230576594</v>
      </c>
      <c r="AR103" s="25">
        <v>2.14862701171261</v>
      </c>
      <c r="AS103" s="25">
        <v>8.00494469890132</v>
      </c>
      <c r="AT103" s="25">
        <v>2.82930109725022</v>
      </c>
      <c r="AU103" s="25">
        <v>0.693926899230793</v>
      </c>
      <c r="AV103" s="26">
        <f t="shared" ref="AV103:AW103" si="209">(AC103-AC$289)/AC$290</f>
        <v>0.3557504528</v>
      </c>
      <c r="AW103" s="27">
        <f t="shared" si="209"/>
        <v>0.3743586565</v>
      </c>
      <c r="AX103" s="27">
        <f t="shared" si="5"/>
        <v>0.1417245747</v>
      </c>
      <c r="AY103" s="28">
        <f t="shared" si="6"/>
        <v>0.1741241466</v>
      </c>
      <c r="AZ103" s="29">
        <f t="shared" si="7"/>
        <v>0.163940641</v>
      </c>
      <c r="BA103" s="28">
        <f t="shared" si="8"/>
        <v>0.1753512273</v>
      </c>
      <c r="BB103" s="29">
        <f t="shared" si="9"/>
        <v>0.0822427026</v>
      </c>
      <c r="BC103" s="27">
        <f t="shared" si="10"/>
        <v>0.1643856252</v>
      </c>
      <c r="BD103" s="28">
        <f t="shared" si="11"/>
        <v>0.1128891178</v>
      </c>
      <c r="BE103" s="30">
        <f t="shared" ref="BE103:BF103" si="210">((S103-S$289)/S$290)</f>
        <v>-0.7651813</v>
      </c>
      <c r="BF103" s="30">
        <f t="shared" si="210"/>
        <v>-0.8829929938</v>
      </c>
    </row>
    <row r="104">
      <c r="A104" s="21" t="s">
        <v>88</v>
      </c>
      <c r="B104" s="22">
        <f t="shared" si="3"/>
        <v>0.1397996542</v>
      </c>
      <c r="C104" s="21" t="s">
        <v>68</v>
      </c>
      <c r="D104" s="21" t="s">
        <v>69</v>
      </c>
      <c r="E104" s="23">
        <v>167.0</v>
      </c>
      <c r="F104" s="24" t="s">
        <v>97</v>
      </c>
      <c r="G104" s="21" t="s">
        <v>82</v>
      </c>
      <c r="H104" s="24" t="s">
        <v>98</v>
      </c>
      <c r="I104" s="24" t="s">
        <v>95</v>
      </c>
      <c r="J104" s="24" t="s">
        <v>90</v>
      </c>
      <c r="K104" s="24" t="s">
        <v>75</v>
      </c>
      <c r="L104" s="21" t="s">
        <v>76</v>
      </c>
      <c r="M104" s="24" t="s">
        <v>77</v>
      </c>
      <c r="N104" s="21" t="s">
        <v>78</v>
      </c>
      <c r="O104" s="21" t="s">
        <v>91</v>
      </c>
      <c r="P104" s="21" t="s">
        <v>80</v>
      </c>
      <c r="Q104" s="24" t="s">
        <v>81</v>
      </c>
      <c r="S104" s="25">
        <v>340.905891895294</v>
      </c>
      <c r="T104" s="25">
        <v>437.036859035491</v>
      </c>
      <c r="U104" s="25">
        <v>1.53520704525221</v>
      </c>
      <c r="V104" s="25">
        <v>4.01001117152787</v>
      </c>
      <c r="W104" s="25">
        <v>2.00250122884553</v>
      </c>
      <c r="X104" s="25">
        <v>0.851586887203099</v>
      </c>
      <c r="Y104" s="25">
        <v>0.0532309139389124</v>
      </c>
      <c r="Z104" s="25">
        <v>0.00450275290881794</v>
      </c>
      <c r="AA104" s="25">
        <v>0.0671025551586372</v>
      </c>
      <c r="AB104" s="25">
        <v>0.899228874827828</v>
      </c>
      <c r="AC104" s="25">
        <v>0.0532140850186941</v>
      </c>
      <c r="AD104" s="25">
        <v>0.0670211750764854</v>
      </c>
      <c r="AE104" s="25">
        <v>0.899953963060802</v>
      </c>
      <c r="AF104" s="25">
        <v>0.069908679278507</v>
      </c>
      <c r="AG104" s="25">
        <v>0.0898137706739571</v>
      </c>
      <c r="AH104" s="25">
        <v>0.821074221503023</v>
      </c>
      <c r="AI104" s="25">
        <v>10.0</v>
      </c>
      <c r="AJ104" s="25">
        <v>1.53520704525222</v>
      </c>
      <c r="AK104" s="25">
        <v>4.01001117152787</v>
      </c>
      <c r="AL104" s="25">
        <v>2.00250122884553</v>
      </c>
      <c r="AM104" s="25">
        <v>0.851569378079742</v>
      </c>
      <c r="AN104" s="25">
        <v>1.30374508295804</v>
      </c>
      <c r="AO104" s="25">
        <v>2.69622570465689</v>
      </c>
      <c r="AP104" s="25">
        <v>1.64201878937389</v>
      </c>
      <c r="AQ104" s="25">
        <v>0.899953963060802</v>
      </c>
      <c r="AR104" s="25">
        <v>1.71276264232343</v>
      </c>
      <c r="AS104" s="25">
        <v>4.84192466995513</v>
      </c>
      <c r="AT104" s="25">
        <v>2.20043738151194</v>
      </c>
      <c r="AU104" s="25">
        <v>0.821074221503023</v>
      </c>
      <c r="AV104" s="26">
        <f t="shared" ref="AV104:AW104" si="211">(AC104-AC$289)/AC$290</f>
        <v>-0.08579197123</v>
      </c>
      <c r="AW104" s="27">
        <f t="shared" si="211"/>
        <v>-0.09054574128</v>
      </c>
      <c r="AX104" s="27">
        <f t="shared" si="5"/>
        <v>-0.04287970599</v>
      </c>
      <c r="AY104" s="28">
        <f t="shared" si="6"/>
        <v>-0.0351762522</v>
      </c>
      <c r="AZ104" s="29">
        <f t="shared" si="7"/>
        <v>-0.06639081932</v>
      </c>
      <c r="BA104" s="28">
        <f t="shared" si="8"/>
        <v>-0.05017621542</v>
      </c>
      <c r="BB104" s="29">
        <f t="shared" si="9"/>
        <v>-0.01905314964</v>
      </c>
      <c r="BC104" s="27">
        <f t="shared" si="10"/>
        <v>-0.02641207483</v>
      </c>
      <c r="BD104" s="28">
        <f t="shared" si="11"/>
        <v>-0.02531065216</v>
      </c>
      <c r="BE104" s="30">
        <f t="shared" ref="BE104:BF104" si="212">((S104-S$289)/S$290)</f>
        <v>-0.7481210629</v>
      </c>
      <c r="BF104" s="30">
        <f t="shared" si="212"/>
        <v>-0.3479385512</v>
      </c>
    </row>
    <row r="105">
      <c r="A105" s="21" t="s">
        <v>88</v>
      </c>
      <c r="B105" s="22">
        <f t="shared" si="3"/>
        <v>0.1923475139</v>
      </c>
      <c r="C105" s="21" t="s">
        <v>68</v>
      </c>
      <c r="D105" s="21" t="s">
        <v>69</v>
      </c>
      <c r="E105" s="23">
        <v>25.0</v>
      </c>
      <c r="F105" s="24" t="s">
        <v>70</v>
      </c>
      <c r="G105" s="21" t="s">
        <v>82</v>
      </c>
      <c r="H105" s="24" t="s">
        <v>83</v>
      </c>
      <c r="I105" s="24" t="s">
        <v>73</v>
      </c>
      <c r="J105" s="24" t="s">
        <v>90</v>
      </c>
      <c r="K105" s="24" t="s">
        <v>101</v>
      </c>
      <c r="L105" s="21" t="s">
        <v>92</v>
      </c>
      <c r="M105" s="24" t="s">
        <v>77</v>
      </c>
      <c r="N105" s="21" t="s">
        <v>86</v>
      </c>
      <c r="O105" s="21" t="s">
        <v>91</v>
      </c>
      <c r="P105" s="21" t="s">
        <v>80</v>
      </c>
      <c r="Q105" s="24" t="s">
        <v>94</v>
      </c>
      <c r="S105" s="25">
        <v>418.162572860717</v>
      </c>
      <c r="T105" s="25">
        <v>175.848952054977</v>
      </c>
      <c r="U105" s="25">
        <v>1.6545014784466</v>
      </c>
      <c r="V105" s="25">
        <v>4.7415684535874</v>
      </c>
      <c r="W105" s="25">
        <v>2.17751428321088</v>
      </c>
      <c r="X105" s="25">
        <v>0.817967009462605</v>
      </c>
      <c r="Y105" s="25">
        <v>0.0388758917736274</v>
      </c>
      <c r="Z105" s="25">
        <v>0.00246530537166656</v>
      </c>
      <c r="AA105" s="25">
        <v>0.0496518415737681</v>
      </c>
      <c r="AB105" s="25">
        <v>0.948143576579485</v>
      </c>
      <c r="AC105" s="25">
        <v>0.0388083186186384</v>
      </c>
      <c r="AD105" s="25">
        <v>0.049557580912452</v>
      </c>
      <c r="AE105" s="25">
        <v>0.948591540111155</v>
      </c>
      <c r="AF105" s="25">
        <v>0.0865027755970911</v>
      </c>
      <c r="AG105" s="25">
        <v>0.111371934949685</v>
      </c>
      <c r="AH105" s="25">
        <v>0.741458325660847</v>
      </c>
      <c r="AI105" s="25">
        <v>10.0</v>
      </c>
      <c r="AJ105" s="25">
        <v>1.6545014784466</v>
      </c>
      <c r="AK105" s="25">
        <v>4.7415684535874</v>
      </c>
      <c r="AL105" s="25">
        <v>2.17751428321088</v>
      </c>
      <c r="AM105" s="25">
        <v>0.817893525697984</v>
      </c>
      <c r="AN105" s="25">
        <v>0.904988430009643</v>
      </c>
      <c r="AO105" s="25">
        <v>1.33553906815252</v>
      </c>
      <c r="AP105" s="25">
        <v>1.15565525488898</v>
      </c>
      <c r="AQ105" s="25">
        <v>0.948591540111155</v>
      </c>
      <c r="AR105" s="25">
        <v>2.01719666982662</v>
      </c>
      <c r="AS105" s="25">
        <v>6.74509280602648</v>
      </c>
      <c r="AT105" s="25">
        <v>2.59713164972946</v>
      </c>
      <c r="AU105" s="25">
        <v>0.741458325660847</v>
      </c>
      <c r="AV105" s="26">
        <f t="shared" ref="AV105:AW105" si="213">(AC105-AC$289)/AC$290</f>
        <v>-0.3814654286</v>
      </c>
      <c r="AW105" s="27">
        <f t="shared" si="213"/>
        <v>-0.372746052</v>
      </c>
      <c r="AX105" s="27">
        <f t="shared" si="5"/>
        <v>0.08605908466</v>
      </c>
      <c r="AY105" s="28">
        <f t="shared" si="6"/>
        <v>0.09685278119</v>
      </c>
      <c r="AZ105" s="29">
        <f t="shared" si="7"/>
        <v>-0.005157946951</v>
      </c>
      <c r="BA105" s="28">
        <f t="shared" si="8"/>
        <v>0.01921978414</v>
      </c>
      <c r="BB105" s="29">
        <f t="shared" si="9"/>
        <v>-0.07222616642</v>
      </c>
      <c r="BC105" s="27">
        <f t="shared" si="10"/>
        <v>0.09305980663</v>
      </c>
      <c r="BD105" s="28">
        <f t="shared" si="11"/>
        <v>0.01873445711</v>
      </c>
      <c r="BE105" s="30">
        <f t="shared" ref="BE105:BF105" si="214">((S105-S$289)/S$290)</f>
        <v>-0.7279091052</v>
      </c>
      <c r="BF105" s="30">
        <f t="shared" si="214"/>
        <v>-0.8702438678</v>
      </c>
    </row>
    <row r="106">
      <c r="A106" s="21" t="s">
        <v>67</v>
      </c>
      <c r="B106" s="22">
        <f t="shared" si="3"/>
        <v>-0.006933784177</v>
      </c>
      <c r="C106" s="21" t="s">
        <v>68</v>
      </c>
      <c r="D106" s="21" t="s">
        <v>69</v>
      </c>
      <c r="E106" s="23">
        <v>133.0</v>
      </c>
      <c r="F106" s="24" t="s">
        <v>70</v>
      </c>
      <c r="G106" s="21" t="s">
        <v>71</v>
      </c>
      <c r="H106" s="24" t="s">
        <v>72</v>
      </c>
      <c r="I106" s="24" t="s">
        <v>95</v>
      </c>
      <c r="J106" s="24" t="s">
        <v>90</v>
      </c>
      <c r="K106" s="24" t="s">
        <v>101</v>
      </c>
      <c r="L106" s="21" t="s">
        <v>76</v>
      </c>
      <c r="M106" s="24" t="s">
        <v>77</v>
      </c>
      <c r="N106" s="21" t="s">
        <v>78</v>
      </c>
      <c r="O106" s="21" t="s">
        <v>79</v>
      </c>
      <c r="P106" s="21" t="s">
        <v>80</v>
      </c>
      <c r="Q106" s="24" t="s">
        <v>100</v>
      </c>
      <c r="S106" s="25">
        <v>270.425711393356</v>
      </c>
      <c r="T106" s="25">
        <v>211.265644311904</v>
      </c>
      <c r="U106" s="25">
        <v>1.93066702794172</v>
      </c>
      <c r="V106" s="25">
        <v>6.31639073189226</v>
      </c>
      <c r="W106" s="25">
        <v>2.51324307059469</v>
      </c>
      <c r="X106" s="25">
        <v>0.759118472334548</v>
      </c>
      <c r="Y106" s="25">
        <v>0.0737658053466327</v>
      </c>
      <c r="Z106" s="25">
        <v>0.008770242089392</v>
      </c>
      <c r="AA106" s="25">
        <v>0.0936495706845044</v>
      </c>
      <c r="AB106" s="25">
        <v>0.815614518135645</v>
      </c>
      <c r="AC106" s="25">
        <v>0.0737194307537966</v>
      </c>
      <c r="AD106" s="25">
        <v>0.0934468152782753</v>
      </c>
      <c r="AE106" s="25">
        <v>0.817526434257159</v>
      </c>
      <c r="AF106" s="25">
        <v>0.0944711430041156</v>
      </c>
      <c r="AG106" s="25">
        <v>0.122330853549626</v>
      </c>
      <c r="AH106" s="25">
        <v>0.691308224951552</v>
      </c>
      <c r="AI106" s="25">
        <v>10.0</v>
      </c>
      <c r="AJ106" s="25">
        <v>1.93066702794172</v>
      </c>
      <c r="AK106" s="25">
        <v>6.31639073189226</v>
      </c>
      <c r="AL106" s="25">
        <v>2.51324307059469</v>
      </c>
      <c r="AM106" s="25">
        <v>0.759030966717439</v>
      </c>
      <c r="AN106" s="25">
        <v>1.71909616993925</v>
      </c>
      <c r="AO106" s="25">
        <v>4.74859804453163</v>
      </c>
      <c r="AP106" s="25">
        <v>2.179127817392</v>
      </c>
      <c r="AQ106" s="25">
        <v>0.817526434257159</v>
      </c>
      <c r="AR106" s="25">
        <v>2.20301457088765</v>
      </c>
      <c r="AS106" s="25">
        <v>8.13782621908268</v>
      </c>
      <c r="AT106" s="25">
        <v>2.85268754319197</v>
      </c>
      <c r="AU106" s="25">
        <v>0.691308224951552</v>
      </c>
      <c r="AV106" s="26">
        <f t="shared" ref="AV106:AW106" si="215">(AC106-AC$289)/AC$290</f>
        <v>0.3350732781</v>
      </c>
      <c r="AW106" s="27">
        <f t="shared" si="215"/>
        <v>0.336475398</v>
      </c>
      <c r="AX106" s="27">
        <f t="shared" si="5"/>
        <v>0.1647596676</v>
      </c>
      <c r="AY106" s="28">
        <f t="shared" si="6"/>
        <v>0.181907697</v>
      </c>
      <c r="AZ106" s="29">
        <f t="shared" si="7"/>
        <v>0.1365956068</v>
      </c>
      <c r="BA106" s="28">
        <f t="shared" si="8"/>
        <v>0.1523426239</v>
      </c>
      <c r="BB106" s="29">
        <f t="shared" si="9"/>
        <v>0.07106072194</v>
      </c>
      <c r="BC106" s="27">
        <f t="shared" si="10"/>
        <v>0.1683152167</v>
      </c>
      <c r="BD106" s="28">
        <f t="shared" si="11"/>
        <v>0.09572160542</v>
      </c>
      <c r="BE106" s="30">
        <f t="shared" ref="BE106:BF106" si="216">((S106-S$289)/S$290)</f>
        <v>-0.7665601469</v>
      </c>
      <c r="BF106" s="30">
        <f t="shared" si="216"/>
        <v>-0.7994200426</v>
      </c>
    </row>
    <row r="107">
      <c r="A107" s="21" t="s">
        <v>88</v>
      </c>
      <c r="B107" s="22">
        <f t="shared" si="3"/>
        <v>0.2124680183</v>
      </c>
      <c r="C107" s="21" t="s">
        <v>68</v>
      </c>
      <c r="D107" s="21" t="s">
        <v>69</v>
      </c>
      <c r="E107" s="23">
        <v>31.0</v>
      </c>
      <c r="F107" s="24" t="s">
        <v>70</v>
      </c>
      <c r="G107" s="21" t="s">
        <v>82</v>
      </c>
      <c r="H107" s="24" t="s">
        <v>83</v>
      </c>
      <c r="I107" s="24" t="s">
        <v>95</v>
      </c>
      <c r="J107" s="24" t="s">
        <v>74</v>
      </c>
      <c r="K107" s="24" t="s">
        <v>75</v>
      </c>
      <c r="L107" s="21" t="s">
        <v>92</v>
      </c>
      <c r="M107" s="24" t="s">
        <v>77</v>
      </c>
      <c r="N107" s="21" t="s">
        <v>86</v>
      </c>
      <c r="O107" s="21" t="s">
        <v>79</v>
      </c>
      <c r="P107" s="21" t="s">
        <v>80</v>
      </c>
      <c r="Q107" s="24" t="s">
        <v>94</v>
      </c>
      <c r="S107" s="25">
        <v>447.291618108749</v>
      </c>
      <c r="T107" s="25">
        <v>186.895870923995</v>
      </c>
      <c r="U107" s="25">
        <v>1.38019508805277</v>
      </c>
      <c r="V107" s="25">
        <v>3.30477412617896</v>
      </c>
      <c r="W107" s="25">
        <v>1.81790377253004</v>
      </c>
      <c r="X107" s="25">
        <v>0.873993303792815</v>
      </c>
      <c r="Y107" s="25">
        <v>0.0478884607943432</v>
      </c>
      <c r="Z107" s="25">
        <v>0.00368562331449663</v>
      </c>
      <c r="AA107" s="25">
        <v>0.0607093346570083</v>
      </c>
      <c r="AB107" s="25">
        <v>0.922855789598741</v>
      </c>
      <c r="AC107" s="25">
        <v>0.0476956250634666</v>
      </c>
      <c r="AD107" s="25">
        <v>0.0605382949051518</v>
      </c>
      <c r="AE107" s="25">
        <v>0.92367569793165</v>
      </c>
      <c r="AF107" s="25">
        <v>0.0782114827294065</v>
      </c>
      <c r="AG107" s="25">
        <v>0.0975861500895005</v>
      </c>
      <c r="AH107" s="25">
        <v>0.803131514415443</v>
      </c>
      <c r="AI107" s="25">
        <v>10.0</v>
      </c>
      <c r="AJ107" s="25">
        <v>1.38019508805277</v>
      </c>
      <c r="AK107" s="25">
        <v>3.30477412617896</v>
      </c>
      <c r="AL107" s="25">
        <v>1.81790377253004</v>
      </c>
      <c r="AM107" s="25">
        <v>0.873939236429686</v>
      </c>
      <c r="AN107" s="25">
        <v>1.11223547891056</v>
      </c>
      <c r="AO107" s="25">
        <v>1.99295167789474</v>
      </c>
      <c r="AP107" s="25">
        <v>1.41171940480208</v>
      </c>
      <c r="AQ107" s="25">
        <v>0.92367569793165</v>
      </c>
      <c r="AR107" s="25">
        <v>1.82384832642604</v>
      </c>
      <c r="AS107" s="25">
        <v>5.17860479406524</v>
      </c>
      <c r="AT107" s="25">
        <v>2.27565480555932</v>
      </c>
      <c r="AU107" s="25">
        <v>0.803131514415443</v>
      </c>
      <c r="AV107" s="26">
        <f t="shared" ref="AV107:AW107" si="217">(AC107-AC$289)/AC$290</f>
        <v>-0.1990564855</v>
      </c>
      <c r="AW107" s="27">
        <f t="shared" si="217"/>
        <v>-0.1953048637</v>
      </c>
      <c r="AX107" s="27">
        <f t="shared" si="5"/>
        <v>0.004169087749</v>
      </c>
      <c r="AY107" s="28">
        <f t="shared" si="6"/>
        <v>-0.01014215268</v>
      </c>
      <c r="AZ107" s="29">
        <f t="shared" si="7"/>
        <v>-0.1459572093</v>
      </c>
      <c r="BA107" s="28">
        <f t="shared" si="8"/>
        <v>-0.1233726124</v>
      </c>
      <c r="BB107" s="29">
        <f t="shared" si="9"/>
        <v>-0.04498692929</v>
      </c>
      <c r="BC107" s="27">
        <f t="shared" si="10"/>
        <v>0.0005128118591</v>
      </c>
      <c r="BD107" s="28">
        <f t="shared" si="11"/>
        <v>-0.05456849674</v>
      </c>
      <c r="BE107" s="30">
        <f t="shared" ref="BE107:BF107" si="218">((S107-S$289)/S$290)</f>
        <v>-0.7202883399</v>
      </c>
      <c r="BF107" s="30">
        <f t="shared" si="218"/>
        <v>-0.8481530117</v>
      </c>
    </row>
    <row r="108">
      <c r="A108" s="21" t="s">
        <v>67</v>
      </c>
      <c r="B108" s="22">
        <f t="shared" si="3"/>
        <v>-0.1263007122</v>
      </c>
      <c r="C108" s="21" t="s">
        <v>68</v>
      </c>
      <c r="D108" s="21" t="s">
        <v>69</v>
      </c>
      <c r="E108" s="23">
        <v>67.0</v>
      </c>
      <c r="F108" s="24" t="s">
        <v>70</v>
      </c>
      <c r="G108" s="21" t="s">
        <v>82</v>
      </c>
      <c r="H108" s="24" t="s">
        <v>83</v>
      </c>
      <c r="I108" s="24" t="s">
        <v>95</v>
      </c>
      <c r="J108" s="24" t="s">
        <v>74</v>
      </c>
      <c r="K108" s="24" t="s">
        <v>101</v>
      </c>
      <c r="L108" s="21" t="s">
        <v>84</v>
      </c>
      <c r="M108" s="24" t="s">
        <v>77</v>
      </c>
      <c r="N108" s="21" t="s">
        <v>104</v>
      </c>
      <c r="O108" s="21" t="s">
        <v>91</v>
      </c>
      <c r="P108" s="21" t="s">
        <v>80</v>
      </c>
      <c r="Q108" s="24" t="s">
        <v>103</v>
      </c>
      <c r="S108" s="25">
        <v>203.227374792099</v>
      </c>
      <c r="T108" s="25">
        <v>173.670918703079</v>
      </c>
      <c r="U108" s="25">
        <v>2.31902194801084</v>
      </c>
      <c r="V108" s="25">
        <v>8.82636255238469</v>
      </c>
      <c r="W108" s="25">
        <v>2.97091947928325</v>
      </c>
      <c r="X108" s="25">
        <v>0.663374039581958</v>
      </c>
      <c r="Y108" s="25">
        <v>0.0959631180922319</v>
      </c>
      <c r="Z108" s="25">
        <v>0.0153603036422133</v>
      </c>
      <c r="AA108" s="25">
        <v>0.12393669207387</v>
      </c>
      <c r="AB108" s="25">
        <v>0.678491697363282</v>
      </c>
      <c r="AC108" s="25">
        <v>0.0965358139693637</v>
      </c>
      <c r="AD108" s="25">
        <v>0.124435471021941</v>
      </c>
      <c r="AE108" s="25">
        <v>0.677528851411107</v>
      </c>
      <c r="AF108" s="25">
        <v>0.0880272852837673</v>
      </c>
      <c r="AG108" s="25">
        <v>0.111700629466185</v>
      </c>
      <c r="AH108" s="25">
        <v>0.742064527859793</v>
      </c>
      <c r="AI108" s="25">
        <v>10.0</v>
      </c>
      <c r="AJ108" s="25">
        <v>2.31902194801084</v>
      </c>
      <c r="AK108" s="25">
        <v>8.82636255238469</v>
      </c>
      <c r="AL108" s="25">
        <v>2.97091947928325</v>
      </c>
      <c r="AM108" s="25">
        <v>0.663317987729312</v>
      </c>
      <c r="AN108" s="25">
        <v>2.25116155075781</v>
      </c>
      <c r="AO108" s="25">
        <v>8.42024622874847</v>
      </c>
      <c r="AP108" s="25">
        <v>2.90176605341444</v>
      </c>
      <c r="AQ108" s="25">
        <v>0.677528851411107</v>
      </c>
      <c r="AR108" s="25">
        <v>2.05274738877009</v>
      </c>
      <c r="AS108" s="25">
        <v>6.78496544847469</v>
      </c>
      <c r="AT108" s="25">
        <v>2.60479662324617</v>
      </c>
      <c r="AU108" s="25">
        <v>0.742064527859793</v>
      </c>
      <c r="AV108" s="26">
        <f t="shared" ref="AV108:AW108" si="219">(AC108-AC$289)/AC$290</f>
        <v>0.803371786</v>
      </c>
      <c r="AW108" s="27">
        <f t="shared" si="219"/>
        <v>0.8372318973</v>
      </c>
      <c r="AX108" s="27">
        <f t="shared" si="5"/>
        <v>0.1011160963</v>
      </c>
      <c r="AY108" s="28">
        <f t="shared" si="6"/>
        <v>0.09940386177</v>
      </c>
      <c r="AZ108" s="29">
        <f t="shared" si="7"/>
        <v>0.3359350614</v>
      </c>
      <c r="BA108" s="28">
        <f t="shared" si="8"/>
        <v>0.3338200112</v>
      </c>
      <c r="BB108" s="29">
        <f t="shared" si="9"/>
        <v>0.2241130381</v>
      </c>
      <c r="BC108" s="27">
        <f t="shared" si="10"/>
        <v>0.09215013757</v>
      </c>
      <c r="BD108" s="28">
        <f t="shared" si="11"/>
        <v>0.2209059235</v>
      </c>
      <c r="BE108" s="30">
        <f t="shared" ref="BE108:BF108" si="220">((S108-S$289)/S$290)</f>
        <v>-0.7841406322</v>
      </c>
      <c r="BF108" s="30">
        <f t="shared" si="220"/>
        <v>-0.8745993466</v>
      </c>
    </row>
    <row r="109">
      <c r="A109" s="21" t="s">
        <v>88</v>
      </c>
      <c r="B109" s="22">
        <f t="shared" si="3"/>
        <v>0.1512297383</v>
      </c>
      <c r="C109" s="21" t="s">
        <v>68</v>
      </c>
      <c r="D109" s="21" t="s">
        <v>69</v>
      </c>
      <c r="E109" s="23">
        <v>231.0</v>
      </c>
      <c r="F109" s="24" t="s">
        <v>97</v>
      </c>
      <c r="G109" s="21" t="s">
        <v>71</v>
      </c>
      <c r="H109" s="24" t="s">
        <v>105</v>
      </c>
      <c r="I109" s="24" t="s">
        <v>95</v>
      </c>
      <c r="J109" s="24" t="s">
        <v>90</v>
      </c>
      <c r="K109" s="24" t="s">
        <v>75</v>
      </c>
      <c r="L109" s="21" t="s">
        <v>76</v>
      </c>
      <c r="M109" s="24" t="s">
        <v>77</v>
      </c>
      <c r="N109" s="21" t="s">
        <v>86</v>
      </c>
      <c r="O109" s="21" t="s">
        <v>91</v>
      </c>
      <c r="P109" s="21" t="s">
        <v>80</v>
      </c>
      <c r="Q109" s="24" t="s">
        <v>89</v>
      </c>
      <c r="S109" s="25">
        <v>340.965084552764</v>
      </c>
      <c r="T109" s="25">
        <v>435.951068639755</v>
      </c>
      <c r="U109" s="25">
        <v>1.68098866783285</v>
      </c>
      <c r="V109" s="25">
        <v>4.72695143768818</v>
      </c>
      <c r="W109" s="25">
        <v>2.17415533890478</v>
      </c>
      <c r="X109" s="25">
        <v>0.824933018827359</v>
      </c>
      <c r="Y109" s="25">
        <v>0.0413816933603175</v>
      </c>
      <c r="Z109" s="25">
        <v>0.00274226586885318</v>
      </c>
      <c r="AA109" s="25">
        <v>0.0523666484401396</v>
      </c>
      <c r="AB109" s="25">
        <v>0.938381978523218</v>
      </c>
      <c r="AC109" s="25">
        <v>0.0410741681469766</v>
      </c>
      <c r="AD109" s="25">
        <v>0.0521169524201359</v>
      </c>
      <c r="AE109" s="25">
        <v>0.939307537032167</v>
      </c>
      <c r="AF109" s="25">
        <v>0.0783770638812909</v>
      </c>
      <c r="AG109" s="25">
        <v>0.0997885066874079</v>
      </c>
      <c r="AH109" s="25">
        <v>0.779484516422188</v>
      </c>
      <c r="AI109" s="25">
        <v>10.0</v>
      </c>
      <c r="AJ109" s="25">
        <v>1.68098866783285</v>
      </c>
      <c r="AK109" s="25">
        <v>4.72695143768818</v>
      </c>
      <c r="AL109" s="25">
        <v>2.17415533890478</v>
      </c>
      <c r="AM109" s="25">
        <v>0.82484967025125</v>
      </c>
      <c r="AN109" s="25">
        <v>1.0063171196009</v>
      </c>
      <c r="AO109" s="25">
        <v>1.63038508192002</v>
      </c>
      <c r="AP109" s="25">
        <v>1.27686533429333</v>
      </c>
      <c r="AQ109" s="25">
        <v>0.939307537032167</v>
      </c>
      <c r="AR109" s="25">
        <v>1.92023806509165</v>
      </c>
      <c r="AS109" s="25">
        <v>5.97713707665845</v>
      </c>
      <c r="AT109" s="25">
        <v>2.44481841384149</v>
      </c>
      <c r="AU109" s="25">
        <v>0.779484516422188</v>
      </c>
      <c r="AV109" s="26">
        <f t="shared" ref="AV109:AW109" si="221">(AC109-AC$289)/AC$290</f>
        <v>-0.3349596374</v>
      </c>
      <c r="AW109" s="27">
        <f t="shared" si="221"/>
        <v>-0.3313882749</v>
      </c>
      <c r="AX109" s="27">
        <f t="shared" si="5"/>
        <v>0.04499361856</v>
      </c>
      <c r="AY109" s="28">
        <f t="shared" si="6"/>
        <v>0.04615941121</v>
      </c>
      <c r="AZ109" s="29">
        <f t="shared" si="7"/>
        <v>0.008437714167</v>
      </c>
      <c r="BA109" s="28">
        <f t="shared" si="8"/>
        <v>0.01788789894</v>
      </c>
      <c r="BB109" s="29">
        <f t="shared" si="9"/>
        <v>-0.06207643278</v>
      </c>
      <c r="BC109" s="27">
        <f t="shared" si="10"/>
        <v>0.0359975767</v>
      </c>
      <c r="BD109" s="28">
        <f t="shared" si="11"/>
        <v>0.009636420226</v>
      </c>
      <c r="BE109" s="30">
        <f t="shared" ref="BE109:BF109" si="222">((S109-S$289)/S$290)</f>
        <v>-0.7481055769</v>
      </c>
      <c r="BF109" s="30">
        <f t="shared" si="222"/>
        <v>-0.3501098389</v>
      </c>
    </row>
    <row r="110">
      <c r="A110" s="21" t="s">
        <v>88</v>
      </c>
      <c r="B110" s="22">
        <f t="shared" si="3"/>
        <v>0.1782191653</v>
      </c>
      <c r="C110" s="21" t="s">
        <v>68</v>
      </c>
      <c r="D110" s="21" t="s">
        <v>69</v>
      </c>
      <c r="E110" s="23">
        <v>157.0</v>
      </c>
      <c r="F110" s="24" t="s">
        <v>97</v>
      </c>
      <c r="G110" s="21" t="s">
        <v>82</v>
      </c>
      <c r="H110" s="24" t="s">
        <v>98</v>
      </c>
      <c r="I110" s="24" t="s">
        <v>95</v>
      </c>
      <c r="J110" s="24" t="s">
        <v>74</v>
      </c>
      <c r="K110" s="24" t="s">
        <v>75</v>
      </c>
      <c r="L110" s="21" t="s">
        <v>84</v>
      </c>
      <c r="M110" s="24" t="s">
        <v>85</v>
      </c>
      <c r="N110" s="21" t="s">
        <v>78</v>
      </c>
      <c r="O110" s="21" t="s">
        <v>91</v>
      </c>
      <c r="P110" s="21" t="s">
        <v>80</v>
      </c>
      <c r="Q110" s="24" t="s">
        <v>103</v>
      </c>
      <c r="R110" s="24" t="s">
        <v>87</v>
      </c>
      <c r="S110" s="25">
        <v>383.026215076446</v>
      </c>
      <c r="T110" s="25">
        <v>465.056624650955</v>
      </c>
      <c r="U110" s="25">
        <v>1.46630744579721</v>
      </c>
      <c r="V110" s="25">
        <v>3.67395095488896</v>
      </c>
      <c r="W110" s="25">
        <v>1.91675531951497</v>
      </c>
      <c r="X110" s="25">
        <v>0.864033591625491</v>
      </c>
      <c r="Y110" s="25">
        <v>0.0474205499990782</v>
      </c>
      <c r="Z110" s="25">
        <v>0.0036627818047939</v>
      </c>
      <c r="AA110" s="25">
        <v>0.0605209203895141</v>
      </c>
      <c r="AB110" s="25">
        <v>0.918027337674601</v>
      </c>
      <c r="AC110" s="25">
        <v>0.0473529542991125</v>
      </c>
      <c r="AD110" s="25">
        <v>0.0604156535736674</v>
      </c>
      <c r="AE110" s="25">
        <v>0.918702953159435</v>
      </c>
      <c r="AF110" s="25">
        <v>0.0634904980925848</v>
      </c>
      <c r="AG110" s="25">
        <v>0.0833548579840785</v>
      </c>
      <c r="AH110" s="25">
        <v>0.845883588719688</v>
      </c>
      <c r="AI110" s="25">
        <v>10.0</v>
      </c>
      <c r="AJ110" s="25">
        <v>1.46630744579723</v>
      </c>
      <c r="AK110" s="25">
        <v>3.67395095488895</v>
      </c>
      <c r="AL110" s="25">
        <v>1.91675531951497</v>
      </c>
      <c r="AM110" s="25">
        <v>0.864008651893377</v>
      </c>
      <c r="AN110" s="25">
        <v>1.16014738032826</v>
      </c>
      <c r="AO110" s="25">
        <v>2.19094323083922</v>
      </c>
      <c r="AP110" s="25">
        <v>1.48018351255485</v>
      </c>
      <c r="AQ110" s="25">
        <v>0.918702953159435</v>
      </c>
      <c r="AR110" s="25">
        <v>1.55551720326832</v>
      </c>
      <c r="AS110" s="25">
        <v>4.1705564178149</v>
      </c>
      <c r="AT110" s="25">
        <v>2.04219402060992</v>
      </c>
      <c r="AU110" s="25">
        <v>0.845883588719688</v>
      </c>
      <c r="AV110" s="26">
        <f t="shared" ref="AV110:AW110" si="223">(AC110-AC$289)/AC$290</f>
        <v>-0.2060896865</v>
      </c>
      <c r="AW110" s="27">
        <f t="shared" si="223"/>
        <v>-0.1972866677</v>
      </c>
      <c r="AX110" s="27">
        <f t="shared" si="5"/>
        <v>-0.1094788208</v>
      </c>
      <c r="AY110" s="28">
        <f t="shared" si="6"/>
        <v>-0.08784330503</v>
      </c>
      <c r="AZ110" s="29">
        <f t="shared" si="7"/>
        <v>-0.1017564292</v>
      </c>
      <c r="BA110" s="28">
        <f t="shared" si="8"/>
        <v>-0.0841760968</v>
      </c>
      <c r="BB110" s="29">
        <f t="shared" si="9"/>
        <v>-0.03955047754</v>
      </c>
      <c r="BC110" s="27">
        <f t="shared" si="10"/>
        <v>-0.06364109484</v>
      </c>
      <c r="BD110" s="28">
        <f t="shared" si="11"/>
        <v>-0.04158014901</v>
      </c>
      <c r="BE110" s="30">
        <f t="shared" ref="BE110:BF110" si="224">((S110-S$289)/S$290)</f>
        <v>-0.7371015086</v>
      </c>
      <c r="BF110" s="30">
        <f t="shared" si="224"/>
        <v>-0.2919065828</v>
      </c>
    </row>
    <row r="111">
      <c r="A111" s="21" t="s">
        <v>88</v>
      </c>
      <c r="B111" s="22">
        <f t="shared" si="3"/>
        <v>-0.04705397355</v>
      </c>
      <c r="C111" s="21" t="s">
        <v>68</v>
      </c>
      <c r="D111" s="21" t="s">
        <v>69</v>
      </c>
      <c r="E111" s="23">
        <v>108.0</v>
      </c>
      <c r="F111" s="24" t="s">
        <v>70</v>
      </c>
      <c r="G111" s="21" t="s">
        <v>71</v>
      </c>
      <c r="H111" s="24" t="s">
        <v>72</v>
      </c>
      <c r="I111" s="24" t="s">
        <v>73</v>
      </c>
      <c r="J111" s="24" t="s">
        <v>90</v>
      </c>
      <c r="K111" s="24" t="s">
        <v>101</v>
      </c>
      <c r="L111" s="21" t="s">
        <v>84</v>
      </c>
      <c r="M111" s="24" t="s">
        <v>77</v>
      </c>
      <c r="N111" s="21" t="s">
        <v>78</v>
      </c>
      <c r="O111" s="21" t="s">
        <v>102</v>
      </c>
      <c r="P111" s="21" t="s">
        <v>80</v>
      </c>
      <c r="Q111" s="24" t="s">
        <v>81</v>
      </c>
      <c r="S111" s="25">
        <v>261.803190469741</v>
      </c>
      <c r="T111" s="25">
        <v>171.845674991607</v>
      </c>
      <c r="U111" s="25">
        <v>2.07663474375408</v>
      </c>
      <c r="V111" s="25">
        <v>7.11995474402727</v>
      </c>
      <c r="W111" s="25">
        <v>2.66832433261537</v>
      </c>
      <c r="X111" s="25">
        <v>0.72646892828893</v>
      </c>
      <c r="Y111" s="25">
        <v>0.0785523530519468</v>
      </c>
      <c r="Z111" s="25">
        <v>0.0100824695068015</v>
      </c>
      <c r="AA111" s="25">
        <v>0.10041150086918</v>
      </c>
      <c r="AB111" s="25">
        <v>0.78702116846301</v>
      </c>
      <c r="AC111" s="25">
        <v>0.0782856847109424</v>
      </c>
      <c r="AD111" s="25">
        <v>0.100047706072696</v>
      </c>
      <c r="AE111" s="25">
        <v>0.789792111123998</v>
      </c>
      <c r="AF111" s="25">
        <v>0.0982873478705134</v>
      </c>
      <c r="AG111" s="25">
        <v>0.126911128143495</v>
      </c>
      <c r="AH111" s="25">
        <v>0.665109647900742</v>
      </c>
      <c r="AI111" s="25">
        <v>10.0</v>
      </c>
      <c r="AJ111" s="25">
        <v>2.07663474375408</v>
      </c>
      <c r="AK111" s="25">
        <v>7.11995474402727</v>
      </c>
      <c r="AL111" s="25">
        <v>2.66832433261537</v>
      </c>
      <c r="AM111" s="25">
        <v>0.726361008874773</v>
      </c>
      <c r="AN111" s="25">
        <v>1.82557867541213</v>
      </c>
      <c r="AO111" s="25">
        <v>5.44315460855419</v>
      </c>
      <c r="AP111" s="25">
        <v>2.33305692355634</v>
      </c>
      <c r="AQ111" s="25">
        <v>0.789792111123998</v>
      </c>
      <c r="AR111" s="25">
        <v>2.29200634825823</v>
      </c>
      <c r="AS111" s="25">
        <v>8.75862250558105</v>
      </c>
      <c r="AT111" s="25">
        <v>2.95949700212401</v>
      </c>
      <c r="AU111" s="25">
        <v>0.665109647900742</v>
      </c>
      <c r="AV111" s="26">
        <f t="shared" ref="AV111:AW111" si="225">(AC111-AC$289)/AC$290</f>
        <v>0.4287940881</v>
      </c>
      <c r="AW111" s="27">
        <f t="shared" si="225"/>
        <v>0.4431414952</v>
      </c>
      <c r="AX111" s="27">
        <f t="shared" si="5"/>
        <v>0.202450895</v>
      </c>
      <c r="AY111" s="28">
        <f t="shared" si="6"/>
        <v>0.2174563569</v>
      </c>
      <c r="AZ111" s="29">
        <f t="shared" si="7"/>
        <v>0.2115196604</v>
      </c>
      <c r="BA111" s="28">
        <f t="shared" si="8"/>
        <v>0.2138352893</v>
      </c>
      <c r="BB111" s="29">
        <f t="shared" si="9"/>
        <v>0.1013812625</v>
      </c>
      <c r="BC111" s="27">
        <f t="shared" si="10"/>
        <v>0.2076288896</v>
      </c>
      <c r="BD111" s="28">
        <f t="shared" si="11"/>
        <v>0.1384510914</v>
      </c>
      <c r="BE111" s="30">
        <f t="shared" ref="BE111:BF111" si="226">((S111-S$289)/S$290)</f>
        <v>-0.7688159781</v>
      </c>
      <c r="BF111" s="30">
        <f t="shared" si="226"/>
        <v>-0.8782493414</v>
      </c>
    </row>
    <row r="112">
      <c r="A112" s="21" t="s">
        <v>67</v>
      </c>
      <c r="B112" s="22">
        <f t="shared" si="3"/>
        <v>0.07488327451</v>
      </c>
      <c r="C112" s="21" t="s">
        <v>68</v>
      </c>
      <c r="D112" s="21" t="s">
        <v>69</v>
      </c>
      <c r="E112" s="23">
        <v>198.0</v>
      </c>
      <c r="F112" s="24" t="s">
        <v>97</v>
      </c>
      <c r="G112" s="21" t="s">
        <v>82</v>
      </c>
      <c r="H112" s="24" t="s">
        <v>98</v>
      </c>
      <c r="I112" s="24" t="s">
        <v>73</v>
      </c>
      <c r="J112" s="24" t="s">
        <v>99</v>
      </c>
      <c r="K112" s="24" t="s">
        <v>101</v>
      </c>
      <c r="L112" s="21" t="s">
        <v>76</v>
      </c>
      <c r="M112" s="24" t="s">
        <v>77</v>
      </c>
      <c r="N112" s="21" t="s">
        <v>86</v>
      </c>
      <c r="O112" s="21" t="s">
        <v>91</v>
      </c>
      <c r="P112" s="21" t="s">
        <v>80</v>
      </c>
      <c r="Q112" s="24" t="s">
        <v>81</v>
      </c>
      <c r="S112" s="25">
        <v>293.969223260879</v>
      </c>
      <c r="T112" s="25">
        <v>517.023729562759</v>
      </c>
      <c r="U112" s="25">
        <v>1.72418619803092</v>
      </c>
      <c r="V112" s="25">
        <v>4.87243517795245</v>
      </c>
      <c r="W112" s="25">
        <v>2.20735932234705</v>
      </c>
      <c r="X112" s="25">
        <v>0.819513704994212</v>
      </c>
      <c r="Y112" s="25">
        <v>0.0595247266825378</v>
      </c>
      <c r="Z112" s="25">
        <v>0.00565591313412206</v>
      </c>
      <c r="AA112" s="25">
        <v>0.075205805188975</v>
      </c>
      <c r="AB112" s="25">
        <v>0.873284454775735</v>
      </c>
      <c r="AC112" s="25">
        <v>0.0593630916821794</v>
      </c>
      <c r="AD112" s="25">
        <v>0.0750274526321047</v>
      </c>
      <c r="AE112" s="25">
        <v>0.874477288087666</v>
      </c>
      <c r="AF112" s="25">
        <v>0.0725046357463266</v>
      </c>
      <c r="AG112" s="25">
        <v>0.0923254021823616</v>
      </c>
      <c r="AH112" s="25">
        <v>0.81084586835691</v>
      </c>
      <c r="AI112" s="25">
        <v>10.0</v>
      </c>
      <c r="AJ112" s="25">
        <v>1.7241861980309</v>
      </c>
      <c r="AK112" s="25">
        <v>4.87243517795244</v>
      </c>
      <c r="AL112" s="25">
        <v>2.20735932234705</v>
      </c>
      <c r="AM112" s="25">
        <v>0.819476351875009</v>
      </c>
      <c r="AN112" s="25">
        <v>1.45439574621338</v>
      </c>
      <c r="AO112" s="25">
        <v>3.37887846873976</v>
      </c>
      <c r="AP112" s="25">
        <v>1.83817258948657</v>
      </c>
      <c r="AQ112" s="25">
        <v>0.874477288087666</v>
      </c>
      <c r="AR112" s="25">
        <v>1.77636357578499</v>
      </c>
      <c r="AS112" s="25">
        <v>5.11651892785294</v>
      </c>
      <c r="AT112" s="25">
        <v>2.26197235346786</v>
      </c>
      <c r="AU112" s="25">
        <v>0.81084586835691</v>
      </c>
      <c r="AV112" s="26">
        <f t="shared" ref="AV112:AW112" si="227">(AC112-AC$289)/AC$290</f>
        <v>0.04041429987</v>
      </c>
      <c r="AW112" s="27">
        <f t="shared" si="227"/>
        <v>0.03883049093</v>
      </c>
      <c r="AX112" s="27">
        <f t="shared" si="5"/>
        <v>-0.01594241678</v>
      </c>
      <c r="AY112" s="28">
        <f t="shared" si="6"/>
        <v>-0.01469598939</v>
      </c>
      <c r="AZ112" s="29">
        <f t="shared" si="7"/>
        <v>0.03061065872</v>
      </c>
      <c r="BA112" s="28">
        <f t="shared" si="8"/>
        <v>0.03105390892</v>
      </c>
      <c r="BB112" s="29">
        <f t="shared" si="9"/>
        <v>0.008799217771</v>
      </c>
      <c r="BC112" s="27">
        <f t="shared" si="10"/>
        <v>-0.01106337365</v>
      </c>
      <c r="BD112" s="28">
        <f t="shared" si="11"/>
        <v>0.01666425704</v>
      </c>
      <c r="BE112" s="30">
        <f t="shared" ref="BE112:BF112" si="228">((S112-S$289)/S$290)</f>
        <v>-0.7604006736</v>
      </c>
      <c r="BF112" s="30">
        <f t="shared" si="228"/>
        <v>-0.1879863994</v>
      </c>
    </row>
    <row r="113">
      <c r="A113" s="21" t="s">
        <v>67</v>
      </c>
      <c r="B113" s="22">
        <f t="shared" si="3"/>
        <v>0.07892095506</v>
      </c>
      <c r="C113" s="21" t="s">
        <v>68</v>
      </c>
      <c r="D113" s="21" t="s">
        <v>69</v>
      </c>
      <c r="E113" s="23">
        <v>212.0</v>
      </c>
      <c r="F113" s="24" t="s">
        <v>97</v>
      </c>
      <c r="G113" s="21" t="s">
        <v>82</v>
      </c>
      <c r="H113" s="24" t="s">
        <v>98</v>
      </c>
      <c r="I113" s="24" t="s">
        <v>95</v>
      </c>
      <c r="J113" s="24" t="s">
        <v>74</v>
      </c>
      <c r="K113" s="24" t="s">
        <v>75</v>
      </c>
      <c r="L113" s="21" t="s">
        <v>76</v>
      </c>
      <c r="M113" s="24" t="s">
        <v>85</v>
      </c>
      <c r="N113" s="21" t="s">
        <v>78</v>
      </c>
      <c r="O113" s="21" t="s">
        <v>91</v>
      </c>
      <c r="P113" s="21" t="s">
        <v>80</v>
      </c>
      <c r="Q113" s="24" t="s">
        <v>81</v>
      </c>
      <c r="R113" s="24" t="s">
        <v>81</v>
      </c>
      <c r="S113" s="25">
        <v>306.173492908477</v>
      </c>
      <c r="T113" s="25">
        <v>499.277951002121</v>
      </c>
      <c r="U113" s="25">
        <v>1.64144639734134</v>
      </c>
      <c r="V113" s="25">
        <v>4.43537394569285</v>
      </c>
      <c r="W113" s="25">
        <v>2.10603275038468</v>
      </c>
      <c r="X113" s="25">
        <v>0.835843969909133</v>
      </c>
      <c r="Y113" s="25">
        <v>0.0634758093389175</v>
      </c>
      <c r="Z113" s="25">
        <v>0.00620108767989378</v>
      </c>
      <c r="AA113" s="25">
        <v>0.0787469852114592</v>
      </c>
      <c r="AB113" s="25">
        <v>0.86122032555452</v>
      </c>
      <c r="AC113" s="25">
        <v>0.0634722748106202</v>
      </c>
      <c r="AD113" s="25">
        <v>0.0786711325429702</v>
      </c>
      <c r="AE113" s="25">
        <v>0.862150048255784</v>
      </c>
      <c r="AF113" s="25">
        <v>0.0698983718428539</v>
      </c>
      <c r="AG113" s="25">
        <v>0.0896783298543281</v>
      </c>
      <c r="AH113" s="25">
        <v>0.821613461340335</v>
      </c>
      <c r="AI113" s="25">
        <v>10.0</v>
      </c>
      <c r="AJ113" s="25">
        <v>1.64144639734133</v>
      </c>
      <c r="AK113" s="25">
        <v>4.43537394569285</v>
      </c>
      <c r="AL113" s="25">
        <v>2.10603275038467</v>
      </c>
      <c r="AM113" s="25">
        <v>0.835824568798581</v>
      </c>
      <c r="AN113" s="25">
        <v>1.55507073286024</v>
      </c>
      <c r="AO113" s="25">
        <v>3.71503554413003</v>
      </c>
      <c r="AP113" s="25">
        <v>1.92744274730276</v>
      </c>
      <c r="AQ113" s="25">
        <v>0.862150048255784</v>
      </c>
      <c r="AR113" s="25">
        <v>1.71251011014994</v>
      </c>
      <c r="AS113" s="25">
        <v>4.82733225798835</v>
      </c>
      <c r="AT113" s="25">
        <v>2.19711908143103</v>
      </c>
      <c r="AU113" s="25">
        <v>0.821613461340335</v>
      </c>
      <c r="AV113" s="26">
        <f t="shared" ref="AV113:AW113" si="229">(AC113-AC$289)/AC$290</f>
        <v>0.1247538864</v>
      </c>
      <c r="AW113" s="27">
        <f t="shared" si="229"/>
        <v>0.0977099858</v>
      </c>
      <c r="AX113" s="27">
        <f t="shared" si="5"/>
        <v>-0.04298666247</v>
      </c>
      <c r="AY113" s="28">
        <f t="shared" si="6"/>
        <v>-0.03628065927</v>
      </c>
      <c r="AZ113" s="29">
        <f t="shared" si="7"/>
        <v>-0.011859015</v>
      </c>
      <c r="BA113" s="28">
        <f t="shared" si="8"/>
        <v>-0.009124001062</v>
      </c>
      <c r="BB113" s="29">
        <f t="shared" si="9"/>
        <v>0.02227596909</v>
      </c>
      <c r="BC113" s="27">
        <f t="shared" si="10"/>
        <v>-0.02722125995</v>
      </c>
      <c r="BD113" s="28">
        <f t="shared" si="11"/>
        <v>-0.004717800127</v>
      </c>
      <c r="BE113" s="30">
        <f t="shared" ref="BE113:BF113" si="230">((S113-S$289)/S$290)</f>
        <v>-0.7572077823</v>
      </c>
      <c r="BF113" s="30">
        <f t="shared" si="230"/>
        <v>-0.2234731668</v>
      </c>
    </row>
    <row r="114">
      <c r="A114" s="21" t="s">
        <v>67</v>
      </c>
      <c r="B114" s="22">
        <f t="shared" si="3"/>
        <v>-0.08535378959</v>
      </c>
      <c r="C114" s="21" t="s">
        <v>68</v>
      </c>
      <c r="D114" s="21" t="s">
        <v>69</v>
      </c>
      <c r="E114" s="23">
        <v>273.0</v>
      </c>
      <c r="F114" s="24" t="s">
        <v>97</v>
      </c>
      <c r="G114" s="21" t="s">
        <v>71</v>
      </c>
      <c r="H114" s="24" t="s">
        <v>105</v>
      </c>
      <c r="I114" s="24" t="s">
        <v>73</v>
      </c>
      <c r="J114" s="24" t="s">
        <v>74</v>
      </c>
      <c r="K114" s="24" t="s">
        <v>75</v>
      </c>
      <c r="L114" s="21" t="s">
        <v>84</v>
      </c>
      <c r="M114" s="24" t="s">
        <v>85</v>
      </c>
      <c r="N114" s="21" t="s">
        <v>78</v>
      </c>
      <c r="O114" s="21" t="s">
        <v>102</v>
      </c>
      <c r="P114" s="21" t="s">
        <v>80</v>
      </c>
      <c r="Q114" s="24" t="s">
        <v>81</v>
      </c>
      <c r="R114" s="24" t="s">
        <v>103</v>
      </c>
      <c r="S114" s="25">
        <v>187.106890201568</v>
      </c>
      <c r="T114" s="25">
        <v>425.020632028579</v>
      </c>
      <c r="U114" s="25">
        <v>2.01323999661515</v>
      </c>
      <c r="V114" s="25">
        <v>6.18466788723388</v>
      </c>
      <c r="W114" s="25">
        <v>2.48689925152465</v>
      </c>
      <c r="X114" s="25">
        <v>0.770686319669909</v>
      </c>
      <c r="Y114" s="25">
        <v>0.0846784001279322</v>
      </c>
      <c r="Z114" s="25">
        <v>0.0104157615172033</v>
      </c>
      <c r="AA114" s="25">
        <v>0.10205763821098</v>
      </c>
      <c r="AB114" s="25">
        <v>0.765730747889582</v>
      </c>
      <c r="AC114" s="25">
        <v>0.0847528977104289</v>
      </c>
      <c r="AD114" s="25">
        <v>0.101977969114309</v>
      </c>
      <c r="AE114" s="25">
        <v>0.767367180687346</v>
      </c>
      <c r="AF114" s="25">
        <v>0.0950358145787601</v>
      </c>
      <c r="AG114" s="25">
        <v>0.11516640154589</v>
      </c>
      <c r="AH114" s="25">
        <v>0.705759671380903</v>
      </c>
      <c r="AI114" s="25">
        <v>10.0</v>
      </c>
      <c r="AJ114" s="25">
        <v>2.01323999661509</v>
      </c>
      <c r="AK114" s="25">
        <v>6.18466788723388</v>
      </c>
      <c r="AL114" s="25">
        <v>2.48689925152465</v>
      </c>
      <c r="AM114" s="25">
        <v>0.770637685646627</v>
      </c>
      <c r="AN114" s="25">
        <v>2.07644599390559</v>
      </c>
      <c r="AO114" s="25">
        <v>6.24230358735356</v>
      </c>
      <c r="AP114" s="25">
        <v>2.49846024330057</v>
      </c>
      <c r="AQ114" s="25">
        <v>0.767367180687346</v>
      </c>
      <c r="AR114" s="25">
        <v>2.32837745717958</v>
      </c>
      <c r="AS114" s="25">
        <v>7.96129585202885</v>
      </c>
      <c r="AT114" s="25">
        <v>2.82157683787432</v>
      </c>
      <c r="AU114" s="25">
        <v>0.705759671380903</v>
      </c>
      <c r="AV114" s="26">
        <f t="shared" ref="AV114:AW114" si="231">(AC114-AC$289)/AC$290</f>
        <v>0.561531436</v>
      </c>
      <c r="AW114" s="27">
        <f t="shared" si="231"/>
        <v>0.4743332891</v>
      </c>
      <c r="AX114" s="27">
        <f t="shared" si="5"/>
        <v>0.2178553714</v>
      </c>
      <c r="AY114" s="28">
        <f t="shared" si="6"/>
        <v>0.1715533343</v>
      </c>
      <c r="AZ114" s="29">
        <f t="shared" si="7"/>
        <v>0.178979647</v>
      </c>
      <c r="BA114" s="28">
        <f t="shared" si="8"/>
        <v>0.1418967993</v>
      </c>
      <c r="BB114" s="29">
        <f t="shared" si="9"/>
        <v>0.1258973111</v>
      </c>
      <c r="BC114" s="27">
        <f t="shared" si="10"/>
        <v>0.1466293275</v>
      </c>
      <c r="BD114" s="28">
        <f t="shared" si="11"/>
        <v>0.08054101852</v>
      </c>
      <c r="BE114" s="30">
        <f t="shared" ref="BE114:BF114" si="232">((S114-S$289)/S$290)</f>
        <v>-0.7883580869</v>
      </c>
      <c r="BF114" s="30">
        <f t="shared" si="232"/>
        <v>-0.3719677619</v>
      </c>
    </row>
    <row r="115">
      <c r="A115" s="21" t="s">
        <v>67</v>
      </c>
      <c r="B115" s="22">
        <f t="shared" si="3"/>
        <v>0.06542325289</v>
      </c>
      <c r="C115" s="21" t="s">
        <v>68</v>
      </c>
      <c r="D115" s="21" t="s">
        <v>69</v>
      </c>
      <c r="E115" s="23">
        <v>45.0</v>
      </c>
      <c r="F115" s="24" t="s">
        <v>70</v>
      </c>
      <c r="G115" s="21" t="s">
        <v>82</v>
      </c>
      <c r="H115" s="24" t="s">
        <v>83</v>
      </c>
      <c r="I115" s="24" t="s">
        <v>73</v>
      </c>
      <c r="J115" s="24" t="s">
        <v>90</v>
      </c>
      <c r="K115" s="24" t="s">
        <v>75</v>
      </c>
      <c r="L115" s="21" t="s">
        <v>92</v>
      </c>
      <c r="M115" s="24" t="s">
        <v>85</v>
      </c>
      <c r="N115" s="21" t="s">
        <v>78</v>
      </c>
      <c r="O115" s="21" t="s">
        <v>91</v>
      </c>
      <c r="P115" s="21" t="s">
        <v>80</v>
      </c>
      <c r="Q115" s="24" t="s">
        <v>94</v>
      </c>
      <c r="R115" s="24" t="s">
        <v>94</v>
      </c>
      <c r="S115" s="25">
        <v>347.83946442604</v>
      </c>
      <c r="T115" s="25">
        <v>226.788275957107</v>
      </c>
      <c r="U115" s="25">
        <v>1.8136902871513</v>
      </c>
      <c r="V115" s="25">
        <v>5.12833743215548</v>
      </c>
      <c r="W115" s="25">
        <v>2.26458328002206</v>
      </c>
      <c r="X115" s="25">
        <v>0.803064236534553</v>
      </c>
      <c r="Y115" s="25">
        <v>0.0677950235421093</v>
      </c>
      <c r="Z115" s="25">
        <v>0.00725160792022323</v>
      </c>
      <c r="AA115" s="25">
        <v>0.085156373338836</v>
      </c>
      <c r="AB115" s="25">
        <v>0.847466177978413</v>
      </c>
      <c r="AC115" s="25">
        <v>0.067544238267016</v>
      </c>
      <c r="AD115" s="25">
        <v>0.0849287884644019</v>
      </c>
      <c r="AE115" s="25">
        <v>0.849018320022646</v>
      </c>
      <c r="AF115" s="25">
        <v>0.0851121476314665</v>
      </c>
      <c r="AG115" s="25">
        <v>0.105913792431933</v>
      </c>
      <c r="AH115" s="25">
        <v>0.766178703159753</v>
      </c>
      <c r="AI115" s="25">
        <v>10.0</v>
      </c>
      <c r="AJ115" s="25">
        <v>1.8136902871513</v>
      </c>
      <c r="AK115" s="25">
        <v>5.12833743215548</v>
      </c>
      <c r="AL115" s="25">
        <v>2.26458328002206</v>
      </c>
      <c r="AM115" s="25">
        <v>0.803039129785354</v>
      </c>
      <c r="AN115" s="25">
        <v>1.57509411181001</v>
      </c>
      <c r="AO115" s="25">
        <v>3.92234921297092</v>
      </c>
      <c r="AP115" s="25">
        <v>1.98049216432959</v>
      </c>
      <c r="AQ115" s="25">
        <v>0.849018320022646</v>
      </c>
      <c r="AR115" s="25">
        <v>1.98476799823934</v>
      </c>
      <c r="AS115" s="25">
        <v>6.10016296693447</v>
      </c>
      <c r="AT115" s="25">
        <v>2.46985079851688</v>
      </c>
      <c r="AU115" s="25">
        <v>0.766178703159753</v>
      </c>
      <c r="AV115" s="26">
        <f t="shared" ref="AV115:AW115" si="233">(AC115-AC$289)/AC$290</f>
        <v>0.2083295519</v>
      </c>
      <c r="AW115" s="27">
        <f t="shared" si="233"/>
        <v>0.198829631</v>
      </c>
      <c r="AX115" s="27">
        <f t="shared" si="5"/>
        <v>0.07232437264</v>
      </c>
      <c r="AY115" s="28">
        <f t="shared" si="6"/>
        <v>0.05449076817</v>
      </c>
      <c r="AZ115" s="29">
        <f t="shared" si="7"/>
        <v>0.07655238726</v>
      </c>
      <c r="BA115" s="28">
        <f t="shared" si="8"/>
        <v>0.05374429483</v>
      </c>
      <c r="BB115" s="29">
        <f t="shared" si="9"/>
        <v>0.03663222711</v>
      </c>
      <c r="BC115" s="27">
        <f t="shared" si="10"/>
        <v>0.05596432489</v>
      </c>
      <c r="BD115" s="28">
        <f t="shared" si="11"/>
        <v>0.03816272528</v>
      </c>
      <c r="BE115" s="30">
        <f t="shared" ref="BE115:BF115" si="234">((S115-S$289)/S$290)</f>
        <v>-0.7463070958</v>
      </c>
      <c r="BF115" s="30">
        <f t="shared" si="234"/>
        <v>-0.768378969</v>
      </c>
    </row>
    <row r="116">
      <c r="A116" s="21" t="s">
        <v>67</v>
      </c>
      <c r="B116" s="22">
        <f t="shared" si="3"/>
        <v>0.1105279197</v>
      </c>
      <c r="C116" s="21" t="s">
        <v>68</v>
      </c>
      <c r="D116" s="21" t="s">
        <v>69</v>
      </c>
      <c r="E116" s="23">
        <v>288.0</v>
      </c>
      <c r="F116" s="24" t="s">
        <v>97</v>
      </c>
      <c r="G116" s="21" t="s">
        <v>71</v>
      </c>
      <c r="H116" s="24" t="s">
        <v>105</v>
      </c>
      <c r="I116" s="24" t="s">
        <v>95</v>
      </c>
      <c r="J116" s="24" t="s">
        <v>99</v>
      </c>
      <c r="K116" s="24" t="s">
        <v>75</v>
      </c>
      <c r="L116" s="21" t="s">
        <v>84</v>
      </c>
      <c r="M116" s="24" t="s">
        <v>77</v>
      </c>
      <c r="N116" s="21" t="s">
        <v>86</v>
      </c>
      <c r="O116" s="21" t="s">
        <v>91</v>
      </c>
      <c r="P116" s="21" t="s">
        <v>80</v>
      </c>
      <c r="Q116" s="24" t="s">
        <v>87</v>
      </c>
      <c r="S116" s="25">
        <v>324.981045007705</v>
      </c>
      <c r="T116" s="25">
        <v>506.664033412933</v>
      </c>
      <c r="U116" s="25">
        <v>1.66076419758663</v>
      </c>
      <c r="V116" s="25">
        <v>4.6139762477629</v>
      </c>
      <c r="W116" s="25">
        <v>2.14801681738363</v>
      </c>
      <c r="X116" s="25">
        <v>0.829085442402917</v>
      </c>
      <c r="Y116" s="25">
        <v>0.0467487377519839</v>
      </c>
      <c r="Z116" s="25">
        <v>0.00357534812075479</v>
      </c>
      <c r="AA116" s="25">
        <v>0.0597942147766386</v>
      </c>
      <c r="AB116" s="25">
        <v>0.919662830729183</v>
      </c>
      <c r="AC116" s="25">
        <v>0.0464267996798563</v>
      </c>
      <c r="AD116" s="25">
        <v>0.05951355531668</v>
      </c>
      <c r="AE116" s="25">
        <v>0.920857725200513</v>
      </c>
      <c r="AF116" s="25">
        <v>0.0829365370718037</v>
      </c>
      <c r="AG116" s="25">
        <v>0.102467305085613</v>
      </c>
      <c r="AH116" s="25">
        <v>0.767486233946957</v>
      </c>
      <c r="AI116" s="25">
        <v>10.0</v>
      </c>
      <c r="AJ116" s="25">
        <v>1.66076419758665</v>
      </c>
      <c r="AK116" s="25">
        <v>4.6139762477629</v>
      </c>
      <c r="AL116" s="25">
        <v>2.14801681738363</v>
      </c>
      <c r="AM116" s="25">
        <v>0.829035802059391</v>
      </c>
      <c r="AN116" s="25">
        <v>1.13745659215645</v>
      </c>
      <c r="AO116" s="25">
        <v>2.12600342567553</v>
      </c>
      <c r="AP116" s="25">
        <v>1.45808210525866</v>
      </c>
      <c r="AQ116" s="25">
        <v>0.920857725200513</v>
      </c>
      <c r="AR116" s="25">
        <v>2.03194515825926</v>
      </c>
      <c r="AS116" s="25">
        <v>6.30235405405777</v>
      </c>
      <c r="AT116" s="25">
        <v>2.51044897459752</v>
      </c>
      <c r="AU116" s="25">
        <v>0.767486233946957</v>
      </c>
      <c r="AV116" s="26">
        <f t="shared" ref="AV116:AW116" si="235">(AC116-AC$289)/AC$290</f>
        <v>-0.2250986951</v>
      </c>
      <c r="AW116" s="27">
        <f t="shared" si="235"/>
        <v>-0.2118639882</v>
      </c>
      <c r="AX116" s="27">
        <f t="shared" si="5"/>
        <v>0.09230560145</v>
      </c>
      <c r="AY116" s="28">
        <f t="shared" si="6"/>
        <v>0.06800278076</v>
      </c>
      <c r="AZ116" s="29">
        <f t="shared" si="7"/>
        <v>-0.001943343625</v>
      </c>
      <c r="BA116" s="28">
        <f t="shared" si="8"/>
        <v>0.007523478783</v>
      </c>
      <c r="BB116" s="29">
        <f t="shared" si="9"/>
        <v>-0.04190618144</v>
      </c>
      <c r="BC116" s="27">
        <f t="shared" si="10"/>
        <v>0.05400223979</v>
      </c>
      <c r="BD116" s="28">
        <f t="shared" si="11"/>
        <v>0.004161321013</v>
      </c>
      <c r="BE116" s="30">
        <f t="shared" ref="BE116:BF116" si="236">((S116-S$289)/S$290)</f>
        <v>-0.7522873347</v>
      </c>
      <c r="BF116" s="30">
        <f t="shared" si="236"/>
        <v>-0.2087029956</v>
      </c>
    </row>
    <row r="117">
      <c r="A117" s="21" t="s">
        <v>88</v>
      </c>
      <c r="B117" s="22">
        <f t="shared" si="3"/>
        <v>-0.1238204968</v>
      </c>
      <c r="C117" s="21" t="s">
        <v>68</v>
      </c>
      <c r="D117" s="21" t="s">
        <v>69</v>
      </c>
      <c r="E117" s="23">
        <v>165.0</v>
      </c>
      <c r="F117" s="24" t="s">
        <v>97</v>
      </c>
      <c r="G117" s="21" t="s">
        <v>82</v>
      </c>
      <c r="H117" s="24" t="s">
        <v>98</v>
      </c>
      <c r="I117" s="24" t="s">
        <v>73</v>
      </c>
      <c r="J117" s="24" t="s">
        <v>99</v>
      </c>
      <c r="K117" s="24" t="s">
        <v>75</v>
      </c>
      <c r="L117" s="21" t="s">
        <v>84</v>
      </c>
      <c r="M117" s="24" t="s">
        <v>77</v>
      </c>
      <c r="N117" s="21" t="s">
        <v>86</v>
      </c>
      <c r="O117" s="21" t="s">
        <v>79</v>
      </c>
      <c r="P117" s="21" t="s">
        <v>80</v>
      </c>
      <c r="Q117" s="24" t="s">
        <v>87</v>
      </c>
      <c r="S117" s="25">
        <v>172.446977853775</v>
      </c>
      <c r="T117" s="25">
        <v>420.746223926544</v>
      </c>
      <c r="U117" s="25">
        <v>1.91231240529696</v>
      </c>
      <c r="V117" s="25">
        <v>5.92432142861485</v>
      </c>
      <c r="W117" s="25">
        <v>2.43399289822605</v>
      </c>
      <c r="X117" s="25">
        <v>0.780561752330469</v>
      </c>
      <c r="Y117" s="25">
        <v>0.0922212599818263</v>
      </c>
      <c r="Z117" s="25">
        <v>0.011760480611143</v>
      </c>
      <c r="AA117" s="25">
        <v>0.108445749622302</v>
      </c>
      <c r="AB117" s="25">
        <v>0.736517220579325</v>
      </c>
      <c r="AC117" s="25">
        <v>0.0924014964149013</v>
      </c>
      <c r="AD117" s="25">
        <v>0.108535605910107</v>
      </c>
      <c r="AE117" s="25">
        <v>0.737320378939754</v>
      </c>
      <c r="AF117" s="25">
        <v>0.102388940923086</v>
      </c>
      <c r="AG117" s="25">
        <v>0.124401545522332</v>
      </c>
      <c r="AH117" s="25">
        <v>0.656580487494567</v>
      </c>
      <c r="AI117" s="25">
        <v>10.0</v>
      </c>
      <c r="AJ117" s="25">
        <v>1.91231240529692</v>
      </c>
      <c r="AK117" s="25">
        <v>5.92432142861485</v>
      </c>
      <c r="AL117" s="25">
        <v>2.43399289822605</v>
      </c>
      <c r="AM117" s="25">
        <v>0.780503982526446</v>
      </c>
      <c r="AN117" s="25">
        <v>2.26383666216502</v>
      </c>
      <c r="AO117" s="25">
        <v>7.070931644602</v>
      </c>
      <c r="AP117" s="25">
        <v>2.65912234479762</v>
      </c>
      <c r="AQ117" s="25">
        <v>0.737320378939754</v>
      </c>
      <c r="AR117" s="25">
        <v>2.50852905261554</v>
      </c>
      <c r="AS117" s="25">
        <v>9.28931565313903</v>
      </c>
      <c r="AT117" s="25">
        <v>3.04783786529714</v>
      </c>
      <c r="AU117" s="25">
        <v>0.656580487494567</v>
      </c>
      <c r="AV117" s="26">
        <f t="shared" ref="AV117:AW117" si="237">(AC117-AC$289)/AC$290</f>
        <v>0.7185163239</v>
      </c>
      <c r="AW117" s="27">
        <f t="shared" si="237"/>
        <v>0.5803004299</v>
      </c>
      <c r="AX117" s="27">
        <f t="shared" si="5"/>
        <v>0.2941560696</v>
      </c>
      <c r="AY117" s="28">
        <f t="shared" si="6"/>
        <v>0.2468582407</v>
      </c>
      <c r="AZ117" s="29">
        <f t="shared" si="7"/>
        <v>0.1271743267</v>
      </c>
      <c r="BA117" s="28">
        <f t="shared" si="8"/>
        <v>0.1209184255</v>
      </c>
      <c r="BB117" s="29">
        <f t="shared" si="9"/>
        <v>0.1587459683</v>
      </c>
      <c r="BC117" s="27">
        <f t="shared" si="10"/>
        <v>0.2204277765</v>
      </c>
      <c r="BD117" s="28">
        <f t="shared" si="11"/>
        <v>0.06763675349</v>
      </c>
      <c r="BE117" s="30">
        <f t="shared" ref="BE117:BF117" si="238">((S117-S$289)/S$290)</f>
        <v>-0.7921934254</v>
      </c>
      <c r="BF117" s="30">
        <f t="shared" si="238"/>
        <v>-0.3805154244</v>
      </c>
    </row>
    <row r="118">
      <c r="A118" s="21" t="s">
        <v>67</v>
      </c>
      <c r="B118" s="22">
        <f t="shared" si="3"/>
        <v>-0.001192764105</v>
      </c>
      <c r="C118" s="21" t="s">
        <v>68</v>
      </c>
      <c r="D118" s="21" t="s">
        <v>69</v>
      </c>
      <c r="E118" s="23">
        <v>44.0</v>
      </c>
      <c r="F118" s="24" t="s">
        <v>70</v>
      </c>
      <c r="G118" s="21" t="s">
        <v>82</v>
      </c>
      <c r="H118" s="24" t="s">
        <v>83</v>
      </c>
      <c r="I118" s="24" t="s">
        <v>95</v>
      </c>
      <c r="J118" s="24" t="s">
        <v>90</v>
      </c>
      <c r="K118" s="24" t="s">
        <v>101</v>
      </c>
      <c r="L118" s="21" t="s">
        <v>76</v>
      </c>
      <c r="M118" s="24" t="s">
        <v>77</v>
      </c>
      <c r="N118" s="21" t="s">
        <v>78</v>
      </c>
      <c r="O118" s="21" t="s">
        <v>91</v>
      </c>
      <c r="P118" s="21" t="s">
        <v>80</v>
      </c>
      <c r="Q118" s="24" t="s">
        <v>103</v>
      </c>
      <c r="S118" s="25">
        <v>302.438658952713</v>
      </c>
      <c r="T118" s="25">
        <v>229.318075180053</v>
      </c>
      <c r="U118" s="25">
        <v>2.01648053599118</v>
      </c>
      <c r="V118" s="25">
        <v>6.74656503582483</v>
      </c>
      <c r="W118" s="25">
        <v>2.59741506806764</v>
      </c>
      <c r="X118" s="25">
        <v>0.742711283479301</v>
      </c>
      <c r="Y118" s="25">
        <v>0.067860628657868</v>
      </c>
      <c r="Z118" s="25">
        <v>0.0073825109648388</v>
      </c>
      <c r="AA118" s="25">
        <v>0.0859215395860596</v>
      </c>
      <c r="AB118" s="25">
        <v>0.845475804073345</v>
      </c>
      <c r="AC118" s="25">
        <v>0.067600103315949</v>
      </c>
      <c r="AD118" s="25">
        <v>0.0856844748877383</v>
      </c>
      <c r="AE118" s="25">
        <v>0.847100258408023</v>
      </c>
      <c r="AF118" s="25">
        <v>0.0976437633741747</v>
      </c>
      <c r="AG118" s="25">
        <v>0.125215808194882</v>
      </c>
      <c r="AH118" s="25">
        <v>0.675870803368565</v>
      </c>
      <c r="AI118" s="25">
        <v>10.0</v>
      </c>
      <c r="AJ118" s="25">
        <v>2.01648053599118</v>
      </c>
      <c r="AK118" s="25">
        <v>6.74656503582483</v>
      </c>
      <c r="AL118" s="25">
        <v>2.59741506806764</v>
      </c>
      <c r="AM118" s="25">
        <v>0.742651961247289</v>
      </c>
      <c r="AN118" s="25">
        <v>1.57639685371499</v>
      </c>
      <c r="AO118" s="25">
        <v>3.99246096325282</v>
      </c>
      <c r="AP118" s="25">
        <v>1.99811435189601</v>
      </c>
      <c r="AQ118" s="25">
        <v>0.847100258408023</v>
      </c>
      <c r="AR118" s="25">
        <v>2.27699831535055</v>
      </c>
      <c r="AS118" s="25">
        <v>8.52618440472087</v>
      </c>
      <c r="AT118" s="25">
        <v>2.91996308276678</v>
      </c>
      <c r="AU118" s="25">
        <v>0.675870803368565</v>
      </c>
      <c r="AV118" s="26">
        <f t="shared" ref="AV118:AW118" si="239">(AC118-AC$289)/AC$290</f>
        <v>0.2094761631</v>
      </c>
      <c r="AW118" s="27">
        <f t="shared" si="239"/>
        <v>0.2110410315</v>
      </c>
      <c r="AX118" s="27">
        <f t="shared" si="5"/>
        <v>0.1960944518</v>
      </c>
      <c r="AY118" s="28">
        <f t="shared" si="6"/>
        <v>0.2042985536</v>
      </c>
      <c r="AZ118" s="29">
        <f t="shared" si="7"/>
        <v>0.1806429897</v>
      </c>
      <c r="BA118" s="28">
        <f t="shared" si="8"/>
        <v>0.1857184193</v>
      </c>
      <c r="BB118" s="29">
        <f t="shared" si="9"/>
        <v>0.0387291474</v>
      </c>
      <c r="BC118" s="27">
        <f t="shared" si="10"/>
        <v>0.1914806635</v>
      </c>
      <c r="BD118" s="28">
        <f t="shared" si="11"/>
        <v>0.1171439313</v>
      </c>
      <c r="BE118" s="30">
        <f t="shared" ref="BE118:BF118" si="240">((S118-S$289)/S$290)</f>
        <v>-0.7581848927</v>
      </c>
      <c r="BF118" s="30">
        <f t="shared" si="240"/>
        <v>-0.7633200534</v>
      </c>
    </row>
    <row r="119">
      <c r="A119" s="21" t="s">
        <v>88</v>
      </c>
      <c r="B119" s="22">
        <f t="shared" si="3"/>
        <v>0.1276804012</v>
      </c>
      <c r="C119" s="21" t="s">
        <v>68</v>
      </c>
      <c r="D119" s="21" t="s">
        <v>69</v>
      </c>
      <c r="E119" s="23">
        <v>94.0</v>
      </c>
      <c r="F119" s="24" t="s">
        <v>70</v>
      </c>
      <c r="G119" s="21" t="s">
        <v>71</v>
      </c>
      <c r="H119" s="24" t="s">
        <v>72</v>
      </c>
      <c r="I119" s="24" t="s">
        <v>95</v>
      </c>
      <c r="J119" s="24" t="s">
        <v>74</v>
      </c>
      <c r="K119" s="24" t="s">
        <v>101</v>
      </c>
      <c r="L119" s="21" t="s">
        <v>76</v>
      </c>
      <c r="M119" s="24" t="s">
        <v>77</v>
      </c>
      <c r="N119" s="21" t="s">
        <v>78</v>
      </c>
      <c r="O119" s="21" t="s">
        <v>79</v>
      </c>
      <c r="P119" s="21" t="s">
        <v>80</v>
      </c>
      <c r="Q119" s="24" t="s">
        <v>81</v>
      </c>
      <c r="S119" s="25">
        <v>416.319520235061</v>
      </c>
      <c r="T119" s="25">
        <v>211.608872413635</v>
      </c>
      <c r="U119" s="25">
        <v>1.73211760476809</v>
      </c>
      <c r="V119" s="25">
        <v>5.06029039036342</v>
      </c>
      <c r="W119" s="25">
        <v>2.24950892204574</v>
      </c>
      <c r="X119" s="25">
        <v>0.80704460657018</v>
      </c>
      <c r="Y119" s="25">
        <v>0.0574771015442015</v>
      </c>
      <c r="Z119" s="25">
        <v>0.00546019402473846</v>
      </c>
      <c r="AA119" s="25">
        <v>0.0738931256933854</v>
      </c>
      <c r="AB119" s="25">
        <v>0.885204935500923</v>
      </c>
      <c r="AC119" s="25">
        <v>0.0572610860686985</v>
      </c>
      <c r="AD119" s="25">
        <v>0.0736178278292799</v>
      </c>
      <c r="AE119" s="25">
        <v>0.886750329578692</v>
      </c>
      <c r="AF119" s="25">
        <v>0.076423518069523</v>
      </c>
      <c r="AG119" s="25">
        <v>0.0991889955399006</v>
      </c>
      <c r="AH119" s="25">
        <v>0.797054217408342</v>
      </c>
      <c r="AI119" s="25">
        <v>10.0</v>
      </c>
      <c r="AJ119" s="25">
        <v>1.73211760476809</v>
      </c>
      <c r="AK119" s="25">
        <v>5.06029039036342</v>
      </c>
      <c r="AL119" s="25">
        <v>2.24950892204574</v>
      </c>
      <c r="AM119" s="25">
        <v>0.806950941565705</v>
      </c>
      <c r="AN119" s="25">
        <v>1.33529671540758</v>
      </c>
      <c r="AO119" s="25">
        <v>2.94715106441424</v>
      </c>
      <c r="AP119" s="25">
        <v>1.71672684618556</v>
      </c>
      <c r="AQ119" s="25">
        <v>0.886750329578692</v>
      </c>
      <c r="AR119" s="25">
        <v>1.78215398387126</v>
      </c>
      <c r="AS119" s="25">
        <v>5.35011828665485</v>
      </c>
      <c r="AT119" s="25">
        <v>2.31303227099296</v>
      </c>
      <c r="AU119" s="25">
        <v>0.797054217408342</v>
      </c>
      <c r="AV119" s="26">
        <f t="shared" ref="AV119:AW119" si="241">(AC119-AC$289)/AC$290</f>
        <v>-0.002728650664</v>
      </c>
      <c r="AW119" s="27">
        <f t="shared" si="241"/>
        <v>0.01605187196</v>
      </c>
      <c r="AX119" s="27">
        <f t="shared" si="5"/>
        <v>-0.01348997011</v>
      </c>
      <c r="AY119" s="28">
        <f t="shared" si="6"/>
        <v>0.002297932868</v>
      </c>
      <c r="AZ119" s="29">
        <f t="shared" si="7"/>
        <v>0.03468178596</v>
      </c>
      <c r="BA119" s="28">
        <f t="shared" si="8"/>
        <v>0.04776702562</v>
      </c>
      <c r="BB119" s="29">
        <f t="shared" si="9"/>
        <v>-0.004618281222</v>
      </c>
      <c r="BC119" s="27">
        <f t="shared" si="10"/>
        <v>0.009632424218</v>
      </c>
      <c r="BD119" s="28">
        <f t="shared" si="11"/>
        <v>0.03304641299</v>
      </c>
      <c r="BE119" s="30">
        <f t="shared" ref="BE119:BF119" si="242">((S119-S$289)/S$290)</f>
        <v>-0.7283912861</v>
      </c>
      <c r="BF119" s="30">
        <f t="shared" si="242"/>
        <v>-0.798733679</v>
      </c>
    </row>
    <row r="120">
      <c r="A120" s="21" t="s">
        <v>67</v>
      </c>
      <c r="B120" s="22">
        <f t="shared" si="3"/>
        <v>0.1684621831</v>
      </c>
      <c r="C120" s="21" t="s">
        <v>68</v>
      </c>
      <c r="D120" s="21" t="s">
        <v>69</v>
      </c>
      <c r="E120" s="23">
        <v>207.0</v>
      </c>
      <c r="F120" s="24" t="s">
        <v>97</v>
      </c>
      <c r="G120" s="21" t="s">
        <v>82</v>
      </c>
      <c r="H120" s="24" t="s">
        <v>98</v>
      </c>
      <c r="I120" s="24" t="s">
        <v>95</v>
      </c>
      <c r="J120" s="24" t="s">
        <v>74</v>
      </c>
      <c r="K120" s="24" t="s">
        <v>75</v>
      </c>
      <c r="L120" s="21" t="s">
        <v>84</v>
      </c>
      <c r="M120" s="24" t="s">
        <v>85</v>
      </c>
      <c r="N120" s="21" t="s">
        <v>86</v>
      </c>
      <c r="O120" s="21" t="s">
        <v>91</v>
      </c>
      <c r="P120" s="21" t="s">
        <v>80</v>
      </c>
      <c r="Q120" s="24" t="s">
        <v>81</v>
      </c>
      <c r="R120" s="24" t="s">
        <v>87</v>
      </c>
      <c r="S120" s="25">
        <v>410.070243120193</v>
      </c>
      <c r="T120" s="25">
        <v>452.571406602859</v>
      </c>
      <c r="U120" s="25">
        <v>1.53593769006445</v>
      </c>
      <c r="V120" s="25">
        <v>3.98971044156437</v>
      </c>
      <c r="W120" s="25">
        <v>1.99742595396284</v>
      </c>
      <c r="X120" s="25">
        <v>0.852342142191371</v>
      </c>
      <c r="Y120" s="25">
        <v>0.0488862308658362</v>
      </c>
      <c r="Z120" s="25">
        <v>0.0039710861557135</v>
      </c>
      <c r="AA120" s="25">
        <v>0.0630165546163347</v>
      </c>
      <c r="AB120" s="25">
        <v>0.911127519504076</v>
      </c>
      <c r="AC120" s="25">
        <v>0.0489177111126329</v>
      </c>
      <c r="AD120" s="25">
        <v>0.0629810773638633</v>
      </c>
      <c r="AE120" s="25">
        <v>0.911652150071336</v>
      </c>
      <c r="AF120" s="25">
        <v>0.0616826306140183</v>
      </c>
      <c r="AG120" s="25">
        <v>0.0818668599657</v>
      </c>
      <c r="AH120" s="25">
        <v>0.851336852960583</v>
      </c>
      <c r="AI120" s="25">
        <v>10.0</v>
      </c>
      <c r="AJ120" s="25">
        <v>1.53593769006447</v>
      </c>
      <c r="AK120" s="25">
        <v>3.98971044156437</v>
      </c>
      <c r="AL120" s="25">
        <v>1.99742595396284</v>
      </c>
      <c r="AM120" s="25">
        <v>0.852320809895023</v>
      </c>
      <c r="AN120" s="25">
        <v>1.19848392225953</v>
      </c>
      <c r="AO120" s="25">
        <v>2.38096131757423</v>
      </c>
      <c r="AP120" s="25">
        <v>1.54303639541465</v>
      </c>
      <c r="AQ120" s="25">
        <v>0.911652150071336</v>
      </c>
      <c r="AR120" s="25">
        <v>1.51122445004345</v>
      </c>
      <c r="AS120" s="25">
        <v>4.02298520207629</v>
      </c>
      <c r="AT120" s="25">
        <v>2.00573806915965</v>
      </c>
      <c r="AU120" s="25">
        <v>0.851336852960583</v>
      </c>
      <c r="AV120" s="26">
        <f t="shared" ref="AV120:AW120" si="243">(AC120-AC$289)/AC$290</f>
        <v>-0.1739735849</v>
      </c>
      <c r="AW120" s="27">
        <f t="shared" si="243"/>
        <v>-0.1558310897</v>
      </c>
      <c r="AX120" s="27">
        <f t="shared" si="5"/>
        <v>-0.1282383993</v>
      </c>
      <c r="AY120" s="28">
        <f t="shared" si="6"/>
        <v>-0.0999766894</v>
      </c>
      <c r="AZ120" s="29">
        <f t="shared" si="7"/>
        <v>-0.06601578522</v>
      </c>
      <c r="BA120" s="28">
        <f t="shared" si="8"/>
        <v>-0.0521886583</v>
      </c>
      <c r="BB120" s="29">
        <f t="shared" si="9"/>
        <v>-0.03184218914</v>
      </c>
      <c r="BC120" s="27">
        <f t="shared" si="10"/>
        <v>-0.07182428153</v>
      </c>
      <c r="BD120" s="28">
        <f t="shared" si="11"/>
        <v>-0.02629346014</v>
      </c>
      <c r="BE120" s="30">
        <f t="shared" ref="BE120:BF120" si="244">((S120-S$289)/S$290)</f>
        <v>-0.7300262273</v>
      </c>
      <c r="BF120" s="30">
        <f t="shared" si="244"/>
        <v>-0.316873649</v>
      </c>
    </row>
    <row r="121">
      <c r="A121" s="21" t="s">
        <v>67</v>
      </c>
      <c r="B121" s="22">
        <f t="shared" si="3"/>
        <v>-0.374271414</v>
      </c>
      <c r="C121" s="21" t="s">
        <v>68</v>
      </c>
      <c r="D121" s="21" t="s">
        <v>69</v>
      </c>
      <c r="E121" s="23">
        <v>70.0</v>
      </c>
      <c r="F121" s="24" t="s">
        <v>70</v>
      </c>
      <c r="G121" s="21" t="s">
        <v>82</v>
      </c>
      <c r="H121" s="24" t="s">
        <v>83</v>
      </c>
      <c r="I121" s="24" t="s">
        <v>73</v>
      </c>
      <c r="J121" s="24" t="s">
        <v>74</v>
      </c>
      <c r="K121" s="24" t="s">
        <v>75</v>
      </c>
      <c r="L121" s="21" t="s">
        <v>76</v>
      </c>
      <c r="M121" s="24" t="s">
        <v>85</v>
      </c>
      <c r="N121" s="21" t="s">
        <v>78</v>
      </c>
      <c r="O121" s="21" t="s">
        <v>79</v>
      </c>
      <c r="P121" s="21" t="s">
        <v>80</v>
      </c>
      <c r="Q121" s="24" t="s">
        <v>100</v>
      </c>
      <c r="R121" s="24" t="s">
        <v>89</v>
      </c>
      <c r="S121" s="25">
        <v>66.5459225177764</v>
      </c>
      <c r="T121" s="25">
        <v>174.147530555725</v>
      </c>
      <c r="U121" s="25">
        <v>2.84707277153489</v>
      </c>
      <c r="V121" s="25">
        <v>12.0809351447118</v>
      </c>
      <c r="W121" s="25">
        <v>3.47576396562134</v>
      </c>
      <c r="X121" s="25">
        <v>0.535995153265441</v>
      </c>
      <c r="Y121" s="25">
        <v>0.13982802859308</v>
      </c>
      <c r="Z121" s="25">
        <v>0.0265727937553556</v>
      </c>
      <c r="AA121" s="25">
        <v>0.163011636870978</v>
      </c>
      <c r="AB121" s="25">
        <v>0.441055026983453</v>
      </c>
      <c r="AC121" s="25">
        <v>0.140285630157373</v>
      </c>
      <c r="AD121" s="25">
        <v>0.163377442671032</v>
      </c>
      <c r="AE121" s="25">
        <v>0.441274383316237</v>
      </c>
      <c r="AF121" s="25">
        <v>0.100233777805596</v>
      </c>
      <c r="AG121" s="25">
        <v>0.125884127627002</v>
      </c>
      <c r="AH121" s="25">
        <v>0.66969056729191</v>
      </c>
      <c r="AI121" s="25">
        <v>10.0</v>
      </c>
      <c r="AJ121" s="25">
        <v>2.84707277153489</v>
      </c>
      <c r="AK121" s="25">
        <v>12.0809351447118</v>
      </c>
      <c r="AL121" s="25">
        <v>3.47576396562134</v>
      </c>
      <c r="AM121" s="25">
        <v>0.536015028147432</v>
      </c>
      <c r="AN121" s="25">
        <v>3.27138295880876</v>
      </c>
      <c r="AO121" s="25">
        <v>14.5151185441502</v>
      </c>
      <c r="AP121" s="25">
        <v>3.80987119784255</v>
      </c>
      <c r="AQ121" s="25">
        <v>0.441274383316236</v>
      </c>
      <c r="AR121" s="25">
        <v>2.3373960129944</v>
      </c>
      <c r="AS121" s="25">
        <v>8.61744159434582</v>
      </c>
      <c r="AT121" s="25">
        <v>2.93554792063522</v>
      </c>
      <c r="AU121" s="25">
        <v>0.66969056729191</v>
      </c>
      <c r="AV121" s="26">
        <f t="shared" ref="AV121:AW121" si="245">(AC121-AC$289)/AC$290</f>
        <v>1.701321888</v>
      </c>
      <c r="AW121" s="27">
        <f t="shared" si="245"/>
        <v>1.466508803</v>
      </c>
      <c r="AX121" s="27">
        <f t="shared" si="5"/>
        <v>0.2216750551</v>
      </c>
      <c r="AY121" s="28">
        <f t="shared" si="6"/>
        <v>0.2094855483</v>
      </c>
      <c r="AZ121" s="29">
        <f t="shared" si="7"/>
        <v>0.6069792989</v>
      </c>
      <c r="BA121" s="28">
        <f t="shared" si="8"/>
        <v>0.5340004371</v>
      </c>
      <c r="BB121" s="29">
        <f t="shared" si="9"/>
        <v>0.4823981658</v>
      </c>
      <c r="BC121" s="27">
        <f t="shared" si="10"/>
        <v>0.2007547466</v>
      </c>
      <c r="BD121" s="28">
        <f t="shared" si="11"/>
        <v>0.3874072106</v>
      </c>
      <c r="BE121" s="30">
        <f t="shared" ref="BE121:BF121" si="246">((S121-S$289)/S$290)</f>
        <v>-0.8198993485</v>
      </c>
      <c r="BF121" s="30">
        <f t="shared" si="246"/>
        <v>-0.8736462515</v>
      </c>
    </row>
    <row r="122">
      <c r="A122" s="21" t="s">
        <v>67</v>
      </c>
      <c r="B122" s="22">
        <f t="shared" si="3"/>
        <v>0.1755390209</v>
      </c>
      <c r="C122" s="21" t="s">
        <v>68</v>
      </c>
      <c r="D122" s="21" t="s">
        <v>69</v>
      </c>
      <c r="E122" s="23">
        <v>208.0</v>
      </c>
      <c r="F122" s="24" t="s">
        <v>97</v>
      </c>
      <c r="G122" s="21" t="s">
        <v>82</v>
      </c>
      <c r="H122" s="24" t="s">
        <v>98</v>
      </c>
      <c r="I122" s="24" t="s">
        <v>95</v>
      </c>
      <c r="J122" s="24" t="s">
        <v>99</v>
      </c>
      <c r="K122" s="24" t="s">
        <v>75</v>
      </c>
      <c r="L122" s="21" t="s">
        <v>84</v>
      </c>
      <c r="M122" s="24" t="s">
        <v>85</v>
      </c>
      <c r="N122" s="21" t="s">
        <v>78</v>
      </c>
      <c r="O122" s="21" t="s">
        <v>91</v>
      </c>
      <c r="P122" s="21" t="s">
        <v>80</v>
      </c>
      <c r="Q122" s="24" t="s">
        <v>87</v>
      </c>
      <c r="R122" s="24" t="s">
        <v>87</v>
      </c>
      <c r="S122" s="25">
        <v>411.303448200225</v>
      </c>
      <c r="T122" s="25">
        <v>461.088881254196</v>
      </c>
      <c r="U122" s="25">
        <v>1.52731520096434</v>
      </c>
      <c r="V122" s="25">
        <v>3.90974261128409</v>
      </c>
      <c r="W122" s="25">
        <v>1.97730690872309</v>
      </c>
      <c r="X122" s="25">
        <v>0.855304008427925</v>
      </c>
      <c r="Y122" s="25">
        <v>0.0448193189381199</v>
      </c>
      <c r="Z122" s="25">
        <v>0.0033315907278921</v>
      </c>
      <c r="AA122" s="25">
        <v>0.0577199335402606</v>
      </c>
      <c r="AB122" s="25">
        <v>0.925439358307805</v>
      </c>
      <c r="AC122" s="25">
        <v>0.0446755189286872</v>
      </c>
      <c r="AD122" s="25">
        <v>0.0575753654515676</v>
      </c>
      <c r="AE122" s="25">
        <v>0.926167220115875</v>
      </c>
      <c r="AF122" s="25">
        <v>0.0664505644963921</v>
      </c>
      <c r="AG122" s="25">
        <v>0.0863666969067834</v>
      </c>
      <c r="AH122" s="25">
        <v>0.834545083636342</v>
      </c>
      <c r="AI122" s="25">
        <v>10.0</v>
      </c>
      <c r="AJ122" s="25">
        <v>1.52731520096435</v>
      </c>
      <c r="AK122" s="25">
        <v>3.90974261128409</v>
      </c>
      <c r="AL122" s="25">
        <v>1.97730690872309</v>
      </c>
      <c r="AM122" s="25">
        <v>0.855280820297586</v>
      </c>
      <c r="AN122" s="25">
        <v>1.09455021375283</v>
      </c>
      <c r="AO122" s="25">
        <v>1.98978235480566</v>
      </c>
      <c r="AP122" s="25">
        <v>1.4105964535634</v>
      </c>
      <c r="AQ122" s="25">
        <v>0.926167220115875</v>
      </c>
      <c r="AR122" s="25">
        <v>1.6280388301616</v>
      </c>
      <c r="AS122" s="25">
        <v>4.47738860233653</v>
      </c>
      <c r="AT122" s="25">
        <v>2.11598407421618</v>
      </c>
      <c r="AU122" s="25">
        <v>0.834545083636342</v>
      </c>
      <c r="AV122" s="26">
        <f t="shared" ref="AV122:AW122" si="247">(AC122-AC$289)/AC$290</f>
        <v>-0.2610431371</v>
      </c>
      <c r="AW122" s="27">
        <f t="shared" si="247"/>
        <v>-0.2431838744</v>
      </c>
      <c r="AX122" s="27">
        <f t="shared" si="5"/>
        <v>-0.07876329617</v>
      </c>
      <c r="AY122" s="28">
        <f t="shared" si="6"/>
        <v>-0.06328426742</v>
      </c>
      <c r="AZ122" s="29">
        <f t="shared" si="7"/>
        <v>-0.07044163947</v>
      </c>
      <c r="BA122" s="28">
        <f t="shared" si="8"/>
        <v>-0.0601662418</v>
      </c>
      <c r="BB122" s="29">
        <f t="shared" si="9"/>
        <v>-0.04771078519</v>
      </c>
      <c r="BC122" s="27">
        <f t="shared" si="10"/>
        <v>-0.04662649592</v>
      </c>
      <c r="BD122" s="28">
        <f t="shared" si="11"/>
        <v>-0.03016489834</v>
      </c>
      <c r="BE122" s="30">
        <f t="shared" ref="BE122:BF122" si="248">((S122-S$289)/S$290)</f>
        <v>-0.7297035951</v>
      </c>
      <c r="BF122" s="30">
        <f t="shared" si="248"/>
        <v>-0.2998409987</v>
      </c>
    </row>
    <row r="123">
      <c r="A123" s="21" t="s">
        <v>67</v>
      </c>
      <c r="B123" s="22">
        <f t="shared" si="3"/>
        <v>0.02753789634</v>
      </c>
      <c r="C123" s="21" t="s">
        <v>68</v>
      </c>
      <c r="D123" s="21" t="s">
        <v>69</v>
      </c>
      <c r="E123" s="23">
        <v>125.0</v>
      </c>
      <c r="F123" s="24" t="s">
        <v>70</v>
      </c>
      <c r="G123" s="21" t="s">
        <v>71</v>
      </c>
      <c r="H123" s="24" t="s">
        <v>72</v>
      </c>
      <c r="I123" s="24" t="s">
        <v>95</v>
      </c>
      <c r="J123" s="24" t="s">
        <v>74</v>
      </c>
      <c r="K123" s="24" t="s">
        <v>101</v>
      </c>
      <c r="L123" s="21" t="s">
        <v>84</v>
      </c>
      <c r="M123" s="24" t="s">
        <v>85</v>
      </c>
      <c r="N123" s="21" t="s">
        <v>86</v>
      </c>
      <c r="O123" s="21" t="s">
        <v>91</v>
      </c>
      <c r="P123" s="21" t="s">
        <v>80</v>
      </c>
      <c r="Q123" s="24" t="s">
        <v>103</v>
      </c>
      <c r="R123" s="24" t="s">
        <v>81</v>
      </c>
      <c r="S123" s="25">
        <v>343.42587018013</v>
      </c>
      <c r="T123" s="25">
        <v>216.120142459869</v>
      </c>
      <c r="U123" s="25">
        <v>1.9342781333939</v>
      </c>
      <c r="V123" s="25">
        <v>6.39315884742082</v>
      </c>
      <c r="W123" s="25">
        <v>2.52846966511778</v>
      </c>
      <c r="X123" s="25">
        <v>0.756216045863356</v>
      </c>
      <c r="Y123" s="25">
        <v>0.0668028921539102</v>
      </c>
      <c r="Z123" s="25">
        <v>0.00751768187618658</v>
      </c>
      <c r="AA123" s="25">
        <v>0.0867045666397484</v>
      </c>
      <c r="AB123" s="25">
        <v>0.84194833151525</v>
      </c>
      <c r="AC123" s="25">
        <v>0.0667679194012456</v>
      </c>
      <c r="AD123" s="25">
        <v>0.0865154330679067</v>
      </c>
      <c r="AE123" s="25">
        <v>0.843592303154049</v>
      </c>
      <c r="AF123" s="25">
        <v>0.0890816274729325</v>
      </c>
      <c r="AG123" s="25">
        <v>0.116837403934929</v>
      </c>
      <c r="AH123" s="25">
        <v>0.718410249295655</v>
      </c>
      <c r="AI123" s="25">
        <v>10.0</v>
      </c>
      <c r="AJ123" s="25">
        <v>1.9342781333939</v>
      </c>
      <c r="AK123" s="25">
        <v>6.39315884742082</v>
      </c>
      <c r="AL123" s="25">
        <v>2.52846966511778</v>
      </c>
      <c r="AM123" s="25">
        <v>0.756102278583496</v>
      </c>
      <c r="AN123" s="25">
        <v>1.5569907871485</v>
      </c>
      <c r="AO123" s="25">
        <v>4.07027330434857</v>
      </c>
      <c r="AP123" s="25">
        <v>2.0174918350141</v>
      </c>
      <c r="AQ123" s="25">
        <v>0.843592303154049</v>
      </c>
      <c r="AR123" s="25">
        <v>2.07733406287576</v>
      </c>
      <c r="AS123" s="25">
        <v>7.42335443160779</v>
      </c>
      <c r="AT123" s="25">
        <v>2.72458335009369</v>
      </c>
      <c r="AU123" s="25">
        <v>0.718410249295655</v>
      </c>
      <c r="AV123" s="26">
        <f t="shared" ref="AV123:AW123" si="249">(AC123-AC$289)/AC$290</f>
        <v>0.1923958711</v>
      </c>
      <c r="AW123" s="27">
        <f t="shared" si="249"/>
        <v>0.2244687747</v>
      </c>
      <c r="AX123" s="27">
        <f t="shared" si="5"/>
        <v>0.1115294396</v>
      </c>
      <c r="AY123" s="28">
        <f t="shared" si="6"/>
        <v>0.1392716568</v>
      </c>
      <c r="AZ123" s="29">
        <f t="shared" si="7"/>
        <v>0.1384491581</v>
      </c>
      <c r="BA123" s="28">
        <f t="shared" si="8"/>
        <v>0.1583802577</v>
      </c>
      <c r="BB123" s="29">
        <f t="shared" si="9"/>
        <v>0.04256421845</v>
      </c>
      <c r="BC123" s="27">
        <f t="shared" si="10"/>
        <v>0.1276458277</v>
      </c>
      <c r="BD123" s="28">
        <f t="shared" si="11"/>
        <v>0.0995520768</v>
      </c>
      <c r="BE123" s="30">
        <f t="shared" ref="BE123:BF123" si="250">((S123-S$289)/S$290)</f>
        <v>-0.7474617841</v>
      </c>
      <c r="BF123" s="30">
        <f t="shared" si="250"/>
        <v>-0.7897123566</v>
      </c>
    </row>
    <row r="124">
      <c r="A124" s="21" t="s">
        <v>88</v>
      </c>
      <c r="B124" s="22">
        <f t="shared" si="3"/>
        <v>-0.06345266199</v>
      </c>
      <c r="C124" s="21" t="s">
        <v>68</v>
      </c>
      <c r="D124" s="21" t="s">
        <v>69</v>
      </c>
      <c r="E124" s="23">
        <v>147.0</v>
      </c>
      <c r="F124" s="24" t="s">
        <v>97</v>
      </c>
      <c r="G124" s="21" t="s">
        <v>82</v>
      </c>
      <c r="H124" s="24" t="s">
        <v>98</v>
      </c>
      <c r="I124" s="24" t="s">
        <v>95</v>
      </c>
      <c r="J124" s="24" t="s">
        <v>99</v>
      </c>
      <c r="K124" s="24" t="s">
        <v>75</v>
      </c>
      <c r="L124" s="21" t="s">
        <v>76</v>
      </c>
      <c r="M124" s="24" t="s">
        <v>85</v>
      </c>
      <c r="N124" s="21" t="s">
        <v>86</v>
      </c>
      <c r="O124" s="21" t="s">
        <v>102</v>
      </c>
      <c r="P124" s="21" t="s">
        <v>80</v>
      </c>
      <c r="Q124" s="24" t="s">
        <v>81</v>
      </c>
      <c r="R124" s="24" t="s">
        <v>89</v>
      </c>
      <c r="S124" s="25">
        <v>235.467271089553</v>
      </c>
      <c r="T124" s="25">
        <v>468.828541755676</v>
      </c>
      <c r="U124" s="25">
        <v>2.00768605271477</v>
      </c>
      <c r="V124" s="25">
        <v>6.24011971999621</v>
      </c>
      <c r="W124" s="25">
        <v>2.49802316242188</v>
      </c>
      <c r="X124" s="25">
        <v>0.769049159057159</v>
      </c>
      <c r="Y124" s="25">
        <v>0.0857255693755864</v>
      </c>
      <c r="Z124" s="25">
        <v>0.0107342903928874</v>
      </c>
      <c r="AA124" s="25">
        <v>0.103606420616134</v>
      </c>
      <c r="AB124" s="25">
        <v>0.759767737044208</v>
      </c>
      <c r="AC124" s="25">
        <v>0.085789569358318</v>
      </c>
      <c r="AD124" s="25">
        <v>0.103566896756847</v>
      </c>
      <c r="AE124" s="25">
        <v>0.761099124874401</v>
      </c>
      <c r="AF124" s="25">
        <v>0.079969887547354</v>
      </c>
      <c r="AG124" s="25">
        <v>0.0993265071546682</v>
      </c>
      <c r="AH124" s="25">
        <v>0.781164697815625</v>
      </c>
      <c r="AI124" s="25">
        <v>10.0</v>
      </c>
      <c r="AJ124" s="25">
        <v>2.0076860527147</v>
      </c>
      <c r="AK124" s="25">
        <v>6.2401197199962</v>
      </c>
      <c r="AL124" s="25">
        <v>2.49802316242187</v>
      </c>
      <c r="AM124" s="25">
        <v>0.769021877676467</v>
      </c>
      <c r="AN124" s="25">
        <v>2.10184444927885</v>
      </c>
      <c r="AO124" s="25">
        <v>6.43834278783207</v>
      </c>
      <c r="AP124" s="25">
        <v>2.53738897054276</v>
      </c>
      <c r="AQ124" s="25">
        <v>0.761099124874401</v>
      </c>
      <c r="AR124" s="25">
        <v>1.95926224491024</v>
      </c>
      <c r="AS124" s="25">
        <v>5.92191945288371</v>
      </c>
      <c r="AT124" s="25">
        <v>2.43349942528937</v>
      </c>
      <c r="AU124" s="25">
        <v>0.781164697815625</v>
      </c>
      <c r="AV124" s="26">
        <f t="shared" ref="AV124:AW124" si="251">(AC124-AC$289)/AC$290</f>
        <v>0.5828087691</v>
      </c>
      <c r="AW124" s="27">
        <f t="shared" si="251"/>
        <v>0.5000093252</v>
      </c>
      <c r="AX124" s="27">
        <f t="shared" si="5"/>
        <v>0.06152176619</v>
      </c>
      <c r="AY124" s="28">
        <f t="shared" si="6"/>
        <v>0.04239218986</v>
      </c>
      <c r="AZ124" s="29">
        <f t="shared" si="7"/>
        <v>0.1761288523</v>
      </c>
      <c r="BA124" s="28">
        <f t="shared" si="8"/>
        <v>0.1463076412</v>
      </c>
      <c r="BB124" s="29">
        <f t="shared" si="9"/>
        <v>0.1327498613</v>
      </c>
      <c r="BC124" s="27">
        <f t="shared" si="10"/>
        <v>0.03347629084</v>
      </c>
      <c r="BD124" s="28">
        <f t="shared" si="11"/>
        <v>0.08265435593</v>
      </c>
      <c r="BE124" s="30">
        <f t="shared" ref="BE124:BF124" si="252">((S124-S$289)/S$290)</f>
        <v>-0.7757060034</v>
      </c>
      <c r="BF124" s="30">
        <f t="shared" si="252"/>
        <v>-0.2843637667</v>
      </c>
    </row>
    <row r="125">
      <c r="A125" s="21" t="s">
        <v>67</v>
      </c>
      <c r="B125" s="22">
        <f t="shared" si="3"/>
        <v>0.05406508311</v>
      </c>
      <c r="C125" s="21" t="s">
        <v>68</v>
      </c>
      <c r="D125" s="21" t="s">
        <v>69</v>
      </c>
      <c r="E125" s="23">
        <v>53.0</v>
      </c>
      <c r="F125" s="24" t="s">
        <v>70</v>
      </c>
      <c r="G125" s="21" t="s">
        <v>82</v>
      </c>
      <c r="H125" s="24" t="s">
        <v>83</v>
      </c>
      <c r="I125" s="24" t="s">
        <v>95</v>
      </c>
      <c r="J125" s="24" t="s">
        <v>74</v>
      </c>
      <c r="K125" s="24" t="s">
        <v>101</v>
      </c>
      <c r="L125" s="21" t="s">
        <v>76</v>
      </c>
      <c r="M125" s="24" t="s">
        <v>85</v>
      </c>
      <c r="N125" s="21" t="s">
        <v>86</v>
      </c>
      <c r="O125" s="21" t="s">
        <v>79</v>
      </c>
      <c r="P125" s="21" t="s">
        <v>80</v>
      </c>
      <c r="Q125" s="24" t="s">
        <v>103</v>
      </c>
      <c r="R125" s="24" t="s">
        <v>89</v>
      </c>
      <c r="S125" s="25">
        <v>383.129992008209</v>
      </c>
      <c r="T125" s="25">
        <v>196.26568865776</v>
      </c>
      <c r="U125" s="25">
        <v>1.82430356696937</v>
      </c>
      <c r="V125" s="25">
        <v>5.49844641464494</v>
      </c>
      <c r="W125" s="25">
        <v>2.34487663100746</v>
      </c>
      <c r="X125" s="25">
        <v>0.790298021216997</v>
      </c>
      <c r="Y125" s="25">
        <v>0.0716931941907249</v>
      </c>
      <c r="Z125" s="25">
        <v>0.00833548229347592</v>
      </c>
      <c r="AA125" s="25">
        <v>0.0912988624982585</v>
      </c>
      <c r="AB125" s="25">
        <v>0.825529050319756</v>
      </c>
      <c r="AC125" s="25">
        <v>0.0716721586308586</v>
      </c>
      <c r="AD125" s="25">
        <v>0.0911829020209452</v>
      </c>
      <c r="AE125" s="25">
        <v>0.826847290183799</v>
      </c>
      <c r="AF125" s="25">
        <v>0.080471950546931</v>
      </c>
      <c r="AG125" s="25">
        <v>0.103206899057855</v>
      </c>
      <c r="AH125" s="25">
        <v>0.779800012575763</v>
      </c>
      <c r="AI125" s="25">
        <v>10.0</v>
      </c>
      <c r="AJ125" s="25">
        <v>1.82430356696937</v>
      </c>
      <c r="AK125" s="25">
        <v>5.49844641464494</v>
      </c>
      <c r="AL125" s="25">
        <v>2.34487663100747</v>
      </c>
      <c r="AM125" s="25">
        <v>0.790261504412704</v>
      </c>
      <c r="AN125" s="25">
        <v>1.67135492140573</v>
      </c>
      <c r="AO125" s="25">
        <v>4.52129890753788</v>
      </c>
      <c r="AP125" s="25">
        <v>2.12633461796065</v>
      </c>
      <c r="AQ125" s="25">
        <v>0.826847290183799</v>
      </c>
      <c r="AR125" s="25">
        <v>1.87656118011526</v>
      </c>
      <c r="AS125" s="25">
        <v>5.7923374944563</v>
      </c>
      <c r="AT125" s="25">
        <v>2.40672754886304</v>
      </c>
      <c r="AU125" s="25">
        <v>0.779800012575763</v>
      </c>
      <c r="AV125" s="26">
        <f t="shared" ref="AV125:AW125" si="253">(AC125-AC$289)/AC$290</f>
        <v>0.2930537139</v>
      </c>
      <c r="AW125" s="27">
        <f t="shared" si="253"/>
        <v>0.2998920338</v>
      </c>
      <c r="AX125" s="27">
        <f t="shared" si="5"/>
        <v>0.02649488248</v>
      </c>
      <c r="AY125" s="28">
        <f t="shared" si="6"/>
        <v>0.03348188979</v>
      </c>
      <c r="AZ125" s="29">
        <f t="shared" si="7"/>
        <v>0.08200009837</v>
      </c>
      <c r="BA125" s="28">
        <f t="shared" si="8"/>
        <v>0.08558213327</v>
      </c>
      <c r="BB125" s="29">
        <f t="shared" si="9"/>
        <v>0.06087069895</v>
      </c>
      <c r="BC125" s="27">
        <f t="shared" si="10"/>
        <v>0.0355241421</v>
      </c>
      <c r="BD125" s="28">
        <f t="shared" si="11"/>
        <v>0.05487475677</v>
      </c>
      <c r="BE125" s="30">
        <f t="shared" ref="BE125:BF125" si="254">((S125-S$289)/S$290)</f>
        <v>-0.7370743584</v>
      </c>
      <c r="BF125" s="30">
        <f t="shared" si="254"/>
        <v>-0.8294159053</v>
      </c>
    </row>
    <row r="126">
      <c r="A126" s="21" t="s">
        <v>88</v>
      </c>
      <c r="B126" s="22">
        <f t="shared" si="3"/>
        <v>-0.02410202307</v>
      </c>
      <c r="C126" s="21" t="s">
        <v>68</v>
      </c>
      <c r="D126" s="21" t="s">
        <v>69</v>
      </c>
      <c r="E126" s="23">
        <v>228.0</v>
      </c>
      <c r="F126" s="24" t="s">
        <v>97</v>
      </c>
      <c r="G126" s="21" t="s">
        <v>71</v>
      </c>
      <c r="H126" s="24" t="s">
        <v>105</v>
      </c>
      <c r="I126" s="24" t="s">
        <v>95</v>
      </c>
      <c r="J126" s="24" t="s">
        <v>74</v>
      </c>
      <c r="K126" s="24" t="s">
        <v>75</v>
      </c>
      <c r="L126" s="21" t="s">
        <v>76</v>
      </c>
      <c r="M126" s="24" t="s">
        <v>77</v>
      </c>
      <c r="N126" s="21" t="s">
        <v>86</v>
      </c>
      <c r="O126" s="21" t="s">
        <v>79</v>
      </c>
      <c r="P126" s="21" t="s">
        <v>80</v>
      </c>
      <c r="Q126" s="24" t="s">
        <v>81</v>
      </c>
      <c r="S126" s="25">
        <v>263.039144039154</v>
      </c>
      <c r="T126" s="25">
        <v>433.223202943801</v>
      </c>
      <c r="U126" s="25">
        <v>2.29882231632368</v>
      </c>
      <c r="V126" s="25">
        <v>8.42292896463893</v>
      </c>
      <c r="W126" s="25">
        <v>2.90222827576311</v>
      </c>
      <c r="X126" s="25">
        <v>0.687951530680382</v>
      </c>
      <c r="Y126" s="25">
        <v>0.0632500198152436</v>
      </c>
      <c r="Z126" s="25">
        <v>0.00620446806687952</v>
      </c>
      <c r="AA126" s="25">
        <v>0.0787684458833582</v>
      </c>
      <c r="AB126" s="25">
        <v>0.860587169559576</v>
      </c>
      <c r="AC126" s="25">
        <v>0.0631969193636976</v>
      </c>
      <c r="AD126" s="25">
        <v>0.0785976000769775</v>
      </c>
      <c r="AE126" s="25">
        <v>0.861963064675588</v>
      </c>
      <c r="AF126" s="25">
        <v>0.0862749853919844</v>
      </c>
      <c r="AG126" s="25">
        <v>0.107830941447112</v>
      </c>
      <c r="AH126" s="25">
        <v>0.742507350602537</v>
      </c>
      <c r="AI126" s="25">
        <v>10.0</v>
      </c>
      <c r="AJ126" s="25">
        <v>2.2988223163236</v>
      </c>
      <c r="AK126" s="25">
        <v>8.42292896463893</v>
      </c>
      <c r="AL126" s="25">
        <v>2.90222827576311</v>
      </c>
      <c r="AM126" s="25">
        <v>0.687900583482974</v>
      </c>
      <c r="AN126" s="25">
        <v>1.54832452441062</v>
      </c>
      <c r="AO126" s="25">
        <v>3.70809403840077</v>
      </c>
      <c r="AP126" s="25">
        <v>1.92564120188595</v>
      </c>
      <c r="AQ126" s="25">
        <v>0.861963064675588</v>
      </c>
      <c r="AR126" s="25">
        <v>2.11373714210368</v>
      </c>
      <c r="AS126" s="25">
        <v>6.97941403800566</v>
      </c>
      <c r="AT126" s="25">
        <v>2.64185806545424</v>
      </c>
      <c r="AU126" s="25">
        <v>0.742507350602538</v>
      </c>
      <c r="AV126" s="26">
        <f t="shared" ref="AV126:AW126" si="255">(AC126-AC$289)/AC$290</f>
        <v>0.1191023095</v>
      </c>
      <c r="AW126" s="27">
        <f t="shared" si="255"/>
        <v>0.09652174903</v>
      </c>
      <c r="AX126" s="27">
        <f t="shared" si="5"/>
        <v>0.1269474566</v>
      </c>
      <c r="AY126" s="28">
        <f t="shared" si="6"/>
        <v>0.1117387675</v>
      </c>
      <c r="AZ126" s="29">
        <f t="shared" si="7"/>
        <v>0.325566753</v>
      </c>
      <c r="BA126" s="28">
        <f t="shared" si="8"/>
        <v>0.3065826446</v>
      </c>
      <c r="BB126" s="29">
        <f t="shared" si="9"/>
        <v>0.02248038883</v>
      </c>
      <c r="BC126" s="27">
        <f t="shared" si="10"/>
        <v>0.09148563627</v>
      </c>
      <c r="BD126" s="28">
        <f t="shared" si="11"/>
        <v>0.1887540093</v>
      </c>
      <c r="BE126" s="30">
        <f t="shared" ref="BE126:BF126" si="256">((S126-S$289)/S$290)</f>
        <v>-0.7684926269</v>
      </c>
      <c r="BF126" s="30">
        <f t="shared" si="256"/>
        <v>-0.355564834</v>
      </c>
    </row>
    <row r="127">
      <c r="A127" s="21" t="s">
        <v>88</v>
      </c>
      <c r="B127" s="22">
        <f t="shared" si="3"/>
        <v>0.01043228903</v>
      </c>
      <c r="C127" s="21" t="s">
        <v>68</v>
      </c>
      <c r="D127" s="21" t="s">
        <v>69</v>
      </c>
      <c r="E127" s="23">
        <v>32.0</v>
      </c>
      <c r="F127" s="24" t="s">
        <v>70</v>
      </c>
      <c r="G127" s="21" t="s">
        <v>82</v>
      </c>
      <c r="H127" s="24" t="s">
        <v>83</v>
      </c>
      <c r="I127" s="24" t="s">
        <v>95</v>
      </c>
      <c r="J127" s="24" t="s">
        <v>99</v>
      </c>
      <c r="K127" s="24" t="s">
        <v>101</v>
      </c>
      <c r="L127" s="21" t="s">
        <v>76</v>
      </c>
      <c r="M127" s="24" t="s">
        <v>77</v>
      </c>
      <c r="N127" s="21" t="s">
        <v>104</v>
      </c>
      <c r="O127" s="21" t="s">
        <v>91</v>
      </c>
      <c r="P127" s="21" t="s">
        <v>80</v>
      </c>
      <c r="Q127" s="24" t="s">
        <v>89</v>
      </c>
      <c r="S127" s="25">
        <v>367.299215555191</v>
      </c>
      <c r="T127" s="25">
        <v>176.335399150848</v>
      </c>
      <c r="U127" s="25">
        <v>1.76854695518082</v>
      </c>
      <c r="V127" s="25">
        <v>5.06039314943711</v>
      </c>
      <c r="W127" s="25">
        <v>2.24953176226456</v>
      </c>
      <c r="X127" s="25">
        <v>0.807026190722374</v>
      </c>
      <c r="Y127" s="25">
        <v>0.0849176259516076</v>
      </c>
      <c r="Z127" s="25">
        <v>0.0108976674481577</v>
      </c>
      <c r="AA127" s="25">
        <v>0.104391893594079</v>
      </c>
      <c r="AB127" s="25">
        <v>0.771899654748509</v>
      </c>
      <c r="AC127" s="25">
        <v>0.0849699152258914</v>
      </c>
      <c r="AD127" s="25">
        <v>0.104332510706741</v>
      </c>
      <c r="AE127" s="25">
        <v>0.773305079275536</v>
      </c>
      <c r="AF127" s="25">
        <v>0.0845065650349891</v>
      </c>
      <c r="AG127" s="25">
        <v>0.10520550595431</v>
      </c>
      <c r="AH127" s="25">
        <v>0.771189068320035</v>
      </c>
      <c r="AI127" s="25">
        <v>10.0</v>
      </c>
      <c r="AJ127" s="25">
        <v>1.76854695518082</v>
      </c>
      <c r="AK127" s="25">
        <v>5.06039314943711</v>
      </c>
      <c r="AL127" s="25">
        <v>2.24953176226456</v>
      </c>
      <c r="AM127" s="25">
        <v>0.806971066696895</v>
      </c>
      <c r="AN127" s="25">
        <v>1.98145121755934</v>
      </c>
      <c r="AO127" s="25">
        <v>5.91937312736183</v>
      </c>
      <c r="AP127" s="25">
        <v>2.43297618717525</v>
      </c>
      <c r="AQ127" s="25">
        <v>0.773305079275536</v>
      </c>
      <c r="AR127" s="25">
        <v>1.97064614852428</v>
      </c>
      <c r="AS127" s="25">
        <v>6.01884747685259</v>
      </c>
      <c r="AT127" s="25">
        <v>2.45333395135122</v>
      </c>
      <c r="AU127" s="25">
        <v>0.771189068320035</v>
      </c>
      <c r="AV127" s="26">
        <f t="shared" ref="AV127:AW127" si="257">(AC127-AC$289)/AC$290</f>
        <v>0.5659856467</v>
      </c>
      <c r="AW127" s="27">
        <f t="shared" si="257"/>
        <v>0.5123811482</v>
      </c>
      <c r="AX127" s="27">
        <f t="shared" si="5"/>
        <v>0.06634325996</v>
      </c>
      <c r="AY127" s="28">
        <f t="shared" si="6"/>
        <v>0.04899357918</v>
      </c>
      <c r="AZ127" s="29">
        <f t="shared" si="7"/>
        <v>0.05338067831</v>
      </c>
      <c r="BA127" s="28">
        <f t="shared" si="8"/>
        <v>0.04777608221</v>
      </c>
      <c r="BB127" s="29">
        <f t="shared" si="9"/>
        <v>0.1194057052</v>
      </c>
      <c r="BC127" s="27">
        <f t="shared" si="10"/>
        <v>0.04844575406</v>
      </c>
      <c r="BD127" s="28">
        <f t="shared" si="11"/>
        <v>0.03302009106</v>
      </c>
      <c r="BE127" s="30">
        <f t="shared" ref="BE127:BF127" si="258">((S127-S$289)/S$290)</f>
        <v>-0.7412160194</v>
      </c>
      <c r="BF127" s="30">
        <f t="shared" si="258"/>
        <v>-0.8692711049</v>
      </c>
    </row>
    <row r="128">
      <c r="A128" s="21" t="s">
        <v>88</v>
      </c>
      <c r="B128" s="22">
        <f t="shared" si="3"/>
        <v>-0.01541996929</v>
      </c>
      <c r="C128" s="21" t="s">
        <v>68</v>
      </c>
      <c r="D128" s="21" t="s">
        <v>69</v>
      </c>
      <c r="E128" s="23">
        <v>79.0</v>
      </c>
      <c r="F128" s="24" t="s">
        <v>70</v>
      </c>
      <c r="G128" s="21" t="s">
        <v>71</v>
      </c>
      <c r="H128" s="24" t="s">
        <v>72</v>
      </c>
      <c r="I128" s="24" t="s">
        <v>73</v>
      </c>
      <c r="J128" s="24" t="s">
        <v>99</v>
      </c>
      <c r="K128" s="24" t="s">
        <v>101</v>
      </c>
      <c r="L128" s="21" t="s">
        <v>84</v>
      </c>
      <c r="M128" s="24" t="s">
        <v>85</v>
      </c>
      <c r="N128" s="21" t="s">
        <v>104</v>
      </c>
      <c r="O128" s="21" t="s">
        <v>102</v>
      </c>
      <c r="P128" s="21" t="s">
        <v>80</v>
      </c>
      <c r="Q128" s="24" t="s">
        <v>81</v>
      </c>
      <c r="R128" s="24" t="s">
        <v>87</v>
      </c>
      <c r="S128" s="25">
        <v>339.708357810974</v>
      </c>
      <c r="T128" s="25">
        <v>172.93490743637</v>
      </c>
      <c r="U128" s="25">
        <v>2.08941820435266</v>
      </c>
      <c r="V128" s="25">
        <v>6.88642584676417</v>
      </c>
      <c r="W128" s="25">
        <v>2.62420003939565</v>
      </c>
      <c r="X128" s="25">
        <v>0.735401523631235</v>
      </c>
      <c r="Y128" s="25">
        <v>0.0779258999994155</v>
      </c>
      <c r="Z128" s="25">
        <v>0.00926570007458434</v>
      </c>
      <c r="AA128" s="25">
        <v>0.0962585065050582</v>
      </c>
      <c r="AB128" s="25">
        <v>0.804274342320009</v>
      </c>
      <c r="AC128" s="25">
        <v>0.0780403165074013</v>
      </c>
      <c r="AD128" s="25">
        <v>0.0962032430203923</v>
      </c>
      <c r="AE128" s="25">
        <v>0.805636744581377</v>
      </c>
      <c r="AF128" s="25">
        <v>0.0905792081399195</v>
      </c>
      <c r="AG128" s="25">
        <v>0.114671811181825</v>
      </c>
      <c r="AH128" s="25">
        <v>0.726588630177981</v>
      </c>
      <c r="AI128" s="25">
        <v>10.0</v>
      </c>
      <c r="AJ128" s="25">
        <v>2.08941820435266</v>
      </c>
      <c r="AK128" s="25">
        <v>6.88642584676417</v>
      </c>
      <c r="AL128" s="25">
        <v>2.62420003939565</v>
      </c>
      <c r="AM128" s="25">
        <v>0.735336151855741</v>
      </c>
      <c r="AN128" s="25">
        <v>1.81985682522122</v>
      </c>
      <c r="AO128" s="25">
        <v>5.03287129290157</v>
      </c>
      <c r="AP128" s="25">
        <v>2.24340618098942</v>
      </c>
      <c r="AQ128" s="25">
        <v>0.805636744581377</v>
      </c>
      <c r="AR128" s="25">
        <v>2.11225681204064</v>
      </c>
      <c r="AS128" s="25">
        <v>7.15071951757843</v>
      </c>
      <c r="AT128" s="25">
        <v>2.67408293019839</v>
      </c>
      <c r="AU128" s="25">
        <v>0.726588630177981</v>
      </c>
      <c r="AV128" s="26">
        <f t="shared" ref="AV128:AW128" si="259">(AC128-AC$289)/AC$290</f>
        <v>0.4237579891</v>
      </c>
      <c r="AW128" s="27">
        <f t="shared" si="259"/>
        <v>0.3810174755</v>
      </c>
      <c r="AX128" s="27">
        <f t="shared" si="5"/>
        <v>0.1263204834</v>
      </c>
      <c r="AY128" s="28">
        <f t="shared" si="6"/>
        <v>0.1224639483</v>
      </c>
      <c r="AZ128" s="29">
        <f t="shared" si="7"/>
        <v>0.2180813078</v>
      </c>
      <c r="BA128" s="28">
        <f t="shared" si="8"/>
        <v>0.1963391691</v>
      </c>
      <c r="BB128" s="29">
        <f t="shared" si="9"/>
        <v>0.08405912168</v>
      </c>
      <c r="BC128" s="27">
        <f t="shared" si="10"/>
        <v>0.1153733218</v>
      </c>
      <c r="BD128" s="28">
        <f t="shared" si="11"/>
        <v>0.1267123788</v>
      </c>
      <c r="BE128" s="30">
        <f t="shared" ref="BE128:BF128" si="260">((S128-S$289)/S$290)</f>
        <v>-0.7484343628</v>
      </c>
      <c r="BF128" s="30">
        <f t="shared" si="260"/>
        <v>-0.8760711705</v>
      </c>
    </row>
    <row r="129">
      <c r="A129" s="21" t="s">
        <v>88</v>
      </c>
      <c r="B129" s="22">
        <f t="shared" si="3"/>
        <v>-0.07033486818</v>
      </c>
      <c r="C129" s="21" t="s">
        <v>68</v>
      </c>
      <c r="D129" s="21" t="s">
        <v>69</v>
      </c>
      <c r="E129" s="23">
        <v>102.0</v>
      </c>
      <c r="F129" s="24" t="s">
        <v>70</v>
      </c>
      <c r="G129" s="21" t="s">
        <v>71</v>
      </c>
      <c r="H129" s="24" t="s">
        <v>72</v>
      </c>
      <c r="I129" s="24" t="s">
        <v>73</v>
      </c>
      <c r="J129" s="24" t="s">
        <v>90</v>
      </c>
      <c r="K129" s="24" t="s">
        <v>101</v>
      </c>
      <c r="L129" s="21" t="s">
        <v>76</v>
      </c>
      <c r="M129" s="24" t="s">
        <v>85</v>
      </c>
      <c r="N129" s="21" t="s">
        <v>86</v>
      </c>
      <c r="O129" s="21" t="s">
        <v>102</v>
      </c>
      <c r="P129" s="21" t="s">
        <v>80</v>
      </c>
      <c r="Q129" s="24" t="s">
        <v>89</v>
      </c>
      <c r="R129" s="24" t="s">
        <v>81</v>
      </c>
      <c r="S129" s="25">
        <v>277.665057182312</v>
      </c>
      <c r="T129" s="25">
        <v>229.828818798065</v>
      </c>
      <c r="U129" s="25">
        <v>2.14157854696964</v>
      </c>
      <c r="V129" s="25">
        <v>7.65788530241547</v>
      </c>
      <c r="W129" s="25">
        <v>2.76728843860112</v>
      </c>
      <c r="X129" s="25">
        <v>0.705787062906643</v>
      </c>
      <c r="Y129" s="25">
        <v>0.0764472927767626</v>
      </c>
      <c r="Z129" s="25">
        <v>0.00966143480727671</v>
      </c>
      <c r="AA129" s="25">
        <v>0.0982925979271924</v>
      </c>
      <c r="AB129" s="25">
        <v>0.795914969558151</v>
      </c>
      <c r="AC129" s="25">
        <v>0.0762352885316193</v>
      </c>
      <c r="AD129" s="25">
        <v>0.0979622279474677</v>
      </c>
      <c r="AE129" s="25">
        <v>0.798464272635707</v>
      </c>
      <c r="AF129" s="25">
        <v>0.10155201673077</v>
      </c>
      <c r="AG129" s="25">
        <v>0.13254873983075</v>
      </c>
      <c r="AH129" s="25">
        <v>0.634695995482911</v>
      </c>
      <c r="AI129" s="25">
        <v>10.0</v>
      </c>
      <c r="AJ129" s="25">
        <v>2.14157854696965</v>
      </c>
      <c r="AK129" s="25">
        <v>7.65788530241547</v>
      </c>
      <c r="AL129" s="25">
        <v>2.76728843860112</v>
      </c>
      <c r="AM129" s="25">
        <v>0.705686892172521</v>
      </c>
      <c r="AN129" s="25">
        <v>1.77776457561931</v>
      </c>
      <c r="AO129" s="25">
        <v>5.21859635742961</v>
      </c>
      <c r="AP129" s="25">
        <v>2.28442473227498</v>
      </c>
      <c r="AQ129" s="25">
        <v>0.798464272635707</v>
      </c>
      <c r="AR129" s="25">
        <v>2.36813661237448</v>
      </c>
      <c r="AS129" s="25">
        <v>9.55405211074562</v>
      </c>
      <c r="AT129" s="25">
        <v>3.0909629746643</v>
      </c>
      <c r="AU129" s="25">
        <v>0.634695995482911</v>
      </c>
      <c r="AV129" s="26">
        <f t="shared" ref="AV129:AW129" si="261">(AC129-AC$289)/AC$290</f>
        <v>0.3867104036</v>
      </c>
      <c r="AW129" s="27">
        <f t="shared" si="261"/>
        <v>0.4094415266</v>
      </c>
      <c r="AX129" s="27">
        <f t="shared" si="5"/>
        <v>0.2346948077</v>
      </c>
      <c r="AY129" s="28">
        <f t="shared" si="6"/>
        <v>0.2612112752</v>
      </c>
      <c r="AZ129" s="29">
        <f t="shared" si="7"/>
        <v>0.2448547919</v>
      </c>
      <c r="BA129" s="28">
        <f t="shared" si="8"/>
        <v>0.2530764366</v>
      </c>
      <c r="BB129" s="29">
        <f t="shared" si="9"/>
        <v>0.09190042452</v>
      </c>
      <c r="BC129" s="27">
        <f t="shared" si="10"/>
        <v>0.2532677189</v>
      </c>
      <c r="BD129" s="28">
        <f t="shared" si="11"/>
        <v>0.1654910522</v>
      </c>
      <c r="BE129" s="30">
        <f t="shared" ref="BE129:BF129" si="262">((S129-S$289)/S$290)</f>
        <v>-0.7646661832</v>
      </c>
      <c r="BF129" s="30">
        <f t="shared" si="262"/>
        <v>-0.762298704</v>
      </c>
    </row>
    <row r="130">
      <c r="A130" s="21" t="s">
        <v>67</v>
      </c>
      <c r="B130" s="22">
        <f t="shared" si="3"/>
        <v>-0.1058123058</v>
      </c>
      <c r="C130" s="21" t="s">
        <v>68</v>
      </c>
      <c r="D130" s="21" t="s">
        <v>69</v>
      </c>
      <c r="E130" s="23">
        <v>261.0</v>
      </c>
      <c r="F130" s="24" t="s">
        <v>97</v>
      </c>
      <c r="G130" s="21" t="s">
        <v>71</v>
      </c>
      <c r="H130" s="24" t="s">
        <v>105</v>
      </c>
      <c r="I130" s="24" t="s">
        <v>73</v>
      </c>
      <c r="J130" s="24" t="s">
        <v>90</v>
      </c>
      <c r="K130" s="24" t="s">
        <v>75</v>
      </c>
      <c r="L130" s="21" t="s">
        <v>76</v>
      </c>
      <c r="M130" s="24" t="s">
        <v>85</v>
      </c>
      <c r="N130" s="21" t="s">
        <v>86</v>
      </c>
      <c r="O130" s="21" t="s">
        <v>91</v>
      </c>
      <c r="P130" s="21" t="s">
        <v>80</v>
      </c>
      <c r="Q130" s="24" t="s">
        <v>89</v>
      </c>
      <c r="R130" s="24" t="s">
        <v>81</v>
      </c>
      <c r="S130" s="25">
        <v>215.630934715271</v>
      </c>
      <c r="T130" s="25">
        <v>422.864091396331</v>
      </c>
      <c r="U130" s="25">
        <v>2.23577805350455</v>
      </c>
      <c r="V130" s="25">
        <v>7.67332143466877</v>
      </c>
      <c r="W130" s="25">
        <v>2.77007607019532</v>
      </c>
      <c r="X130" s="25">
        <v>0.71547916604722</v>
      </c>
      <c r="Y130" s="25">
        <v>0.080748410465216</v>
      </c>
      <c r="Z130" s="25">
        <v>0.00997704960419893</v>
      </c>
      <c r="AA130" s="25">
        <v>0.0998851821052499</v>
      </c>
      <c r="AB130" s="25">
        <v>0.775598169640908</v>
      </c>
      <c r="AC130" s="25">
        <v>0.0804270132312328</v>
      </c>
      <c r="AD130" s="25">
        <v>0.0995133947465925</v>
      </c>
      <c r="AE130" s="25">
        <v>0.778475711663312</v>
      </c>
      <c r="AF130" s="25">
        <v>0.095913210986256</v>
      </c>
      <c r="AG130" s="25">
        <v>0.118606804081866</v>
      </c>
      <c r="AH130" s="25">
        <v>0.687917217051441</v>
      </c>
      <c r="AI130" s="25">
        <v>10.0</v>
      </c>
      <c r="AJ130" s="25">
        <v>2.23577805350445</v>
      </c>
      <c r="AK130" s="25">
        <v>7.67332143466877</v>
      </c>
      <c r="AL130" s="25">
        <v>2.77007607019532</v>
      </c>
      <c r="AM130" s="25">
        <v>0.715430028722184</v>
      </c>
      <c r="AN130" s="25">
        <v>1.97046182416526</v>
      </c>
      <c r="AO130" s="25">
        <v>5.94422516932817</v>
      </c>
      <c r="AP130" s="25">
        <v>2.43807817129151</v>
      </c>
      <c r="AQ130" s="25">
        <v>0.778475711663312</v>
      </c>
      <c r="AR130" s="25">
        <v>2.34987366916323</v>
      </c>
      <c r="AS130" s="25">
        <v>8.44406127820212</v>
      </c>
      <c r="AT130" s="25">
        <v>2.90586670000571</v>
      </c>
      <c r="AU130" s="25">
        <v>0.687917217051441</v>
      </c>
      <c r="AV130" s="26">
        <f t="shared" ref="AV130:AW130" si="263">(AC130-AC$289)/AC$290</f>
        <v>0.4727441279</v>
      </c>
      <c r="AW130" s="27">
        <f t="shared" si="263"/>
        <v>0.4345073721</v>
      </c>
      <c r="AX130" s="27">
        <f t="shared" si="5"/>
        <v>0.2269597925</v>
      </c>
      <c r="AY130" s="28">
        <f t="shared" si="6"/>
        <v>0.1996069512</v>
      </c>
      <c r="AZ130" s="29">
        <f t="shared" si="7"/>
        <v>0.2932066404</v>
      </c>
      <c r="BA130" s="28">
        <f t="shared" si="8"/>
        <v>0.2541817855</v>
      </c>
      <c r="BB130" s="29">
        <f t="shared" si="9"/>
        <v>0.1137529129</v>
      </c>
      <c r="BC130" s="27">
        <f t="shared" si="10"/>
        <v>0.1734037745</v>
      </c>
      <c r="BD130" s="28">
        <f t="shared" si="11"/>
        <v>0.1527478703</v>
      </c>
      <c r="BE130" s="30">
        <f t="shared" ref="BE130:BF130" si="264">((S130-S$289)/S$290)</f>
        <v>-0.7808956024</v>
      </c>
      <c r="BF130" s="30">
        <f t="shared" si="264"/>
        <v>-0.3762802611</v>
      </c>
    </row>
    <row r="131">
      <c r="A131" s="21" t="s">
        <v>88</v>
      </c>
      <c r="B131" s="22">
        <f t="shared" si="3"/>
        <v>-0.02629718894</v>
      </c>
      <c r="C131" s="21" t="s">
        <v>68</v>
      </c>
      <c r="D131" s="21" t="s">
        <v>69</v>
      </c>
      <c r="E131" s="23">
        <v>87.0</v>
      </c>
      <c r="F131" s="24" t="s">
        <v>70</v>
      </c>
      <c r="G131" s="21" t="s">
        <v>71</v>
      </c>
      <c r="H131" s="24" t="s">
        <v>72</v>
      </c>
      <c r="I131" s="24" t="s">
        <v>73</v>
      </c>
      <c r="J131" s="24" t="s">
        <v>90</v>
      </c>
      <c r="K131" s="24" t="s">
        <v>101</v>
      </c>
      <c r="L131" s="21" t="s">
        <v>92</v>
      </c>
      <c r="M131" s="24" t="s">
        <v>77</v>
      </c>
      <c r="N131" s="21" t="s">
        <v>86</v>
      </c>
      <c r="O131" s="21" t="s">
        <v>102</v>
      </c>
      <c r="P131" s="21" t="s">
        <v>80</v>
      </c>
      <c r="Q131" s="24" t="s">
        <v>81</v>
      </c>
      <c r="S131" s="25">
        <v>328.624812602996</v>
      </c>
      <c r="T131" s="25">
        <v>209.217743396759</v>
      </c>
      <c r="U131" s="25">
        <v>2.12639480142604</v>
      </c>
      <c r="V131" s="25">
        <v>7.43923387372302</v>
      </c>
      <c r="W131" s="25">
        <v>2.7274958980213</v>
      </c>
      <c r="X131" s="25">
        <v>0.714189414053897</v>
      </c>
      <c r="Y131" s="25">
        <v>0.0740439609379579</v>
      </c>
      <c r="Z131" s="25">
        <v>0.00892191473188891</v>
      </c>
      <c r="AA131" s="25">
        <v>0.0944558877566079</v>
      </c>
      <c r="AB131" s="25">
        <v>0.811536352935308</v>
      </c>
      <c r="AC131" s="25">
        <v>0.0737603765196819</v>
      </c>
      <c r="AD131" s="25">
        <v>0.0940976665983528</v>
      </c>
      <c r="AE131" s="25">
        <v>0.814051599113121</v>
      </c>
      <c r="AF131" s="25">
        <v>0.0929457460654103</v>
      </c>
      <c r="AG131" s="25">
        <v>0.119316767450995</v>
      </c>
      <c r="AH131" s="25">
        <v>0.703990135262457</v>
      </c>
      <c r="AI131" s="25">
        <v>10.0</v>
      </c>
      <c r="AJ131" s="25">
        <v>2.12639480142604</v>
      </c>
      <c r="AK131" s="25">
        <v>7.43923387372302</v>
      </c>
      <c r="AL131" s="25">
        <v>2.7274958980213</v>
      </c>
      <c r="AM131" s="25">
        <v>0.714090254062663</v>
      </c>
      <c r="AN131" s="25">
        <v>1.72005100245204</v>
      </c>
      <c r="AO131" s="25">
        <v>4.81497578731569</v>
      </c>
      <c r="AP131" s="25">
        <v>2.19430530859215</v>
      </c>
      <c r="AQ131" s="25">
        <v>0.814051599113121</v>
      </c>
      <c r="AR131" s="25">
        <v>2.16744316171979</v>
      </c>
      <c r="AS131" s="25">
        <v>7.74175382154878</v>
      </c>
      <c r="AT131" s="25">
        <v>2.78240072986419</v>
      </c>
      <c r="AU131" s="25">
        <v>0.703990135262457</v>
      </c>
      <c r="AV131" s="26">
        <f t="shared" ref="AV131:AW131" si="265">(AC131-AC$289)/AC$290</f>
        <v>0.3359136761</v>
      </c>
      <c r="AW131" s="27">
        <f t="shared" si="265"/>
        <v>0.3469927315</v>
      </c>
      <c r="AX131" s="27">
        <f t="shared" si="5"/>
        <v>0.1496938929</v>
      </c>
      <c r="AY131" s="28">
        <f t="shared" si="6"/>
        <v>0.1585146189</v>
      </c>
      <c r="AZ131" s="29">
        <f t="shared" si="7"/>
        <v>0.2370610975</v>
      </c>
      <c r="BA131" s="28">
        <f t="shared" si="8"/>
        <v>0.2372979386</v>
      </c>
      <c r="BB131" s="29">
        <f t="shared" si="9"/>
        <v>0.07485958444</v>
      </c>
      <c r="BC131" s="27">
        <f t="shared" si="10"/>
        <v>0.1492846993</v>
      </c>
      <c r="BD131" s="28">
        <f t="shared" si="11"/>
        <v>0.15450018</v>
      </c>
      <c r="BE131" s="30">
        <f t="shared" ref="BE131:BF131" si="266">((S131-S$289)/S$290)</f>
        <v>-0.7513340492</v>
      </c>
      <c r="BF131" s="30">
        <f t="shared" si="266"/>
        <v>-0.8035152917</v>
      </c>
    </row>
    <row r="132">
      <c r="A132" s="21" t="s">
        <v>88</v>
      </c>
      <c r="B132" s="22">
        <f t="shared" si="3"/>
        <v>-0.158193573</v>
      </c>
      <c r="C132" s="21" t="s">
        <v>68</v>
      </c>
      <c r="D132" s="21" t="s">
        <v>69</v>
      </c>
      <c r="E132" s="23">
        <v>166.0</v>
      </c>
      <c r="F132" s="24" t="s">
        <v>97</v>
      </c>
      <c r="G132" s="21" t="s">
        <v>82</v>
      </c>
      <c r="H132" s="24" t="s">
        <v>98</v>
      </c>
      <c r="I132" s="24" t="s">
        <v>73</v>
      </c>
      <c r="J132" s="24" t="s">
        <v>99</v>
      </c>
      <c r="K132" s="24" t="s">
        <v>75</v>
      </c>
      <c r="L132" s="21" t="s">
        <v>76</v>
      </c>
      <c r="M132" s="24" t="s">
        <v>85</v>
      </c>
      <c r="N132" s="21" t="s">
        <v>86</v>
      </c>
      <c r="O132" s="21" t="s">
        <v>102</v>
      </c>
      <c r="P132" s="21" t="s">
        <v>80</v>
      </c>
      <c r="Q132" s="24" t="s">
        <v>89</v>
      </c>
      <c r="R132" s="24" t="s">
        <v>89</v>
      </c>
      <c r="S132" s="25">
        <v>155.99245595932</v>
      </c>
      <c r="T132" s="25">
        <v>445.290062665939</v>
      </c>
      <c r="U132" s="25">
        <v>2.62767780148802</v>
      </c>
      <c r="V132" s="25">
        <v>10.2212687887805</v>
      </c>
      <c r="W132" s="25">
        <v>3.19707190860333</v>
      </c>
      <c r="X132" s="25">
        <v>0.621315785453631</v>
      </c>
      <c r="Y132" s="25">
        <v>0.0701230289879781</v>
      </c>
      <c r="Z132" s="25">
        <v>0.00724941208650258</v>
      </c>
      <c r="AA132" s="25">
        <v>0.0851434794127101</v>
      </c>
      <c r="AB132" s="25">
        <v>0.837583572570348</v>
      </c>
      <c r="AC132" s="25">
        <v>0.0702740723703316</v>
      </c>
      <c r="AD132" s="25">
        <v>0.0852114169344246</v>
      </c>
      <c r="AE132" s="25">
        <v>0.838088578768669</v>
      </c>
      <c r="AF132" s="25">
        <v>0.116675211499553</v>
      </c>
      <c r="AG132" s="25">
        <v>0.139071088566678</v>
      </c>
      <c r="AH132" s="25">
        <v>0.570812441733865</v>
      </c>
      <c r="AI132" s="25">
        <v>10.0</v>
      </c>
      <c r="AJ132" s="25">
        <v>2.62767780148788</v>
      </c>
      <c r="AK132" s="25">
        <v>10.2212687887805</v>
      </c>
      <c r="AL132" s="25">
        <v>3.19707190860332</v>
      </c>
      <c r="AM132" s="25">
        <v>0.621302149166371</v>
      </c>
      <c r="AN132" s="25">
        <v>1.72171477307316</v>
      </c>
      <c r="AO132" s="25">
        <v>4.3584065919774</v>
      </c>
      <c r="AP132" s="25">
        <v>2.0876797148934</v>
      </c>
      <c r="AQ132" s="25">
        <v>0.838088578768669</v>
      </c>
      <c r="AR132" s="25">
        <v>2.85854268173893</v>
      </c>
      <c r="AS132" s="25">
        <v>11.6092957969913</v>
      </c>
      <c r="AT132" s="25">
        <v>3.40724166988361</v>
      </c>
      <c r="AU132" s="25">
        <v>0.570812441733865</v>
      </c>
      <c r="AV132" s="26">
        <f t="shared" ref="AV132:AW132" si="267">(AC132-AC$289)/AC$290</f>
        <v>0.2643584687</v>
      </c>
      <c r="AW132" s="27">
        <f t="shared" si="267"/>
        <v>0.203396723</v>
      </c>
      <c r="AX132" s="27">
        <f t="shared" si="5"/>
        <v>0.4423994655</v>
      </c>
      <c r="AY132" s="28">
        <f t="shared" si="6"/>
        <v>0.3664761448</v>
      </c>
      <c r="AZ132" s="29">
        <f t="shared" si="7"/>
        <v>0.4943656267</v>
      </c>
      <c r="BA132" s="28">
        <f t="shared" si="8"/>
        <v>0.4234937441</v>
      </c>
      <c r="BB132" s="29">
        <f t="shared" si="9"/>
        <v>0.04858116351</v>
      </c>
      <c r="BC132" s="27">
        <f t="shared" si="10"/>
        <v>0.3491315948</v>
      </c>
      <c r="BD132" s="28">
        <f t="shared" si="11"/>
        <v>0.2758590151</v>
      </c>
      <c r="BE132" s="30">
        <f t="shared" ref="BE132:BF132" si="268">((S132-S$289)/S$290)</f>
        <v>-0.7964982713</v>
      </c>
      <c r="BF132" s="30">
        <f t="shared" si="268"/>
        <v>-0.3314343716</v>
      </c>
    </row>
    <row r="133">
      <c r="A133" s="21" t="s">
        <v>67</v>
      </c>
      <c r="B133" s="22">
        <f t="shared" si="3"/>
        <v>0.02126667295</v>
      </c>
      <c r="C133" s="21" t="s">
        <v>68</v>
      </c>
      <c r="D133" s="21" t="s">
        <v>69</v>
      </c>
      <c r="E133" s="23">
        <v>130.0</v>
      </c>
      <c r="F133" s="24" t="s">
        <v>70</v>
      </c>
      <c r="G133" s="21" t="s">
        <v>71</v>
      </c>
      <c r="H133" s="24" t="s">
        <v>72</v>
      </c>
      <c r="I133" s="24" t="s">
        <v>73</v>
      </c>
      <c r="J133" s="24" t="s">
        <v>99</v>
      </c>
      <c r="K133" s="24" t="s">
        <v>101</v>
      </c>
      <c r="L133" s="21" t="s">
        <v>92</v>
      </c>
      <c r="M133" s="24" t="s">
        <v>77</v>
      </c>
      <c r="N133" s="21" t="s">
        <v>104</v>
      </c>
      <c r="O133" s="21" t="s">
        <v>102</v>
      </c>
      <c r="P133" s="21" t="s">
        <v>80</v>
      </c>
      <c r="Q133" s="24" t="s">
        <v>93</v>
      </c>
      <c r="S133" s="25">
        <v>372.009874343872</v>
      </c>
      <c r="T133" s="25">
        <v>211.838907480239</v>
      </c>
      <c r="U133" s="25">
        <v>1.87503842699351</v>
      </c>
      <c r="V133" s="25">
        <v>5.75597436024313</v>
      </c>
      <c r="W133" s="25">
        <v>2.39916117846282</v>
      </c>
      <c r="X133" s="25">
        <v>0.778856422069357</v>
      </c>
      <c r="Y133" s="25">
        <v>0.0735916944297655</v>
      </c>
      <c r="Z133" s="25">
        <v>0.00840725656377176</v>
      </c>
      <c r="AA133" s="25">
        <v>0.0916910931539796</v>
      </c>
      <c r="AB133" s="25">
        <v>0.822407825962091</v>
      </c>
      <c r="AC133" s="25">
        <v>0.0738868854365566</v>
      </c>
      <c r="AD133" s="25">
        <v>0.0918225303738573</v>
      </c>
      <c r="AE133" s="25">
        <v>0.822934784298837</v>
      </c>
      <c r="AF133" s="25">
        <v>0.0890601819898651</v>
      </c>
      <c r="AG133" s="25">
        <v>0.111720391854329</v>
      </c>
      <c r="AH133" s="25">
        <v>0.740481616537463</v>
      </c>
      <c r="AI133" s="25">
        <v>10.0</v>
      </c>
      <c r="AJ133" s="25">
        <v>1.87503842699351</v>
      </c>
      <c r="AK133" s="25">
        <v>5.75597436024313</v>
      </c>
      <c r="AL133" s="25">
        <v>2.39916117846282</v>
      </c>
      <c r="AM133" s="25">
        <v>0.778782439846141</v>
      </c>
      <c r="AN133" s="25">
        <v>1.72300112011083</v>
      </c>
      <c r="AO133" s="25">
        <v>4.58495325751999</v>
      </c>
      <c r="AP133" s="25">
        <v>2.14125039580148</v>
      </c>
      <c r="AQ133" s="25">
        <v>0.822934784298837</v>
      </c>
      <c r="AR133" s="25">
        <v>2.07683396612479</v>
      </c>
      <c r="AS133" s="25">
        <v>6.78736649102774</v>
      </c>
      <c r="AT133" s="25">
        <v>2.6052574711586</v>
      </c>
      <c r="AU133" s="25">
        <v>0.740481616537463</v>
      </c>
      <c r="AV133" s="26">
        <f t="shared" ref="AV133:AW133" si="269">(AC133-AC$289)/AC$290</f>
        <v>0.3385102286</v>
      </c>
      <c r="AW133" s="27">
        <f t="shared" si="269"/>
        <v>0.3102280115</v>
      </c>
      <c r="AX133" s="27">
        <f t="shared" si="5"/>
        <v>0.1113176306</v>
      </c>
      <c r="AY133" s="28">
        <f t="shared" si="6"/>
        <v>0.09955724263</v>
      </c>
      <c r="AZ133" s="29">
        <f t="shared" si="7"/>
        <v>0.1080418937</v>
      </c>
      <c r="BA133" s="28">
        <f t="shared" si="8"/>
        <v>0.1071069872</v>
      </c>
      <c r="BB133" s="29">
        <f t="shared" si="9"/>
        <v>0.06514804485</v>
      </c>
      <c r="BC133" s="27">
        <f t="shared" si="10"/>
        <v>0.09452545963</v>
      </c>
      <c r="BD133" s="28">
        <f t="shared" si="11"/>
        <v>0.06988838278</v>
      </c>
      <c r="BE133" s="30">
        <f t="shared" ref="BE133:BF133" si="270">((S133-S$289)/S$290)</f>
        <v>-0.7399836129</v>
      </c>
      <c r="BF133" s="30">
        <f t="shared" si="270"/>
        <v>-0.798273671</v>
      </c>
    </row>
    <row r="134">
      <c r="A134" s="21" t="s">
        <v>67</v>
      </c>
      <c r="B134" s="22">
        <f t="shared" si="3"/>
        <v>-0.2987034323</v>
      </c>
      <c r="C134" s="21" t="s">
        <v>68</v>
      </c>
      <c r="D134" s="21" t="s">
        <v>69</v>
      </c>
      <c r="E134" s="23">
        <v>126.0</v>
      </c>
      <c r="F134" s="24" t="s">
        <v>70</v>
      </c>
      <c r="G134" s="21" t="s">
        <v>71</v>
      </c>
      <c r="H134" s="24" t="s">
        <v>72</v>
      </c>
      <c r="I134" s="24" t="s">
        <v>95</v>
      </c>
      <c r="J134" s="24" t="s">
        <v>74</v>
      </c>
      <c r="K134" s="24" t="s">
        <v>75</v>
      </c>
      <c r="L134" s="21" t="s">
        <v>76</v>
      </c>
      <c r="M134" s="24" t="s">
        <v>85</v>
      </c>
      <c r="N134" s="21" t="s">
        <v>78</v>
      </c>
      <c r="O134" s="21" t="s">
        <v>102</v>
      </c>
      <c r="P134" s="21" t="s">
        <v>80</v>
      </c>
      <c r="Q134" s="24" t="s">
        <v>89</v>
      </c>
      <c r="R134" s="24" t="s">
        <v>81</v>
      </c>
      <c r="S134" s="25">
        <v>126.332822561264</v>
      </c>
      <c r="T134" s="25">
        <v>200.719985961914</v>
      </c>
      <c r="U134" s="25">
        <v>2.57073046974974</v>
      </c>
      <c r="V134" s="25">
        <v>10.7434393739399</v>
      </c>
      <c r="W134" s="25">
        <v>3.27771862336289</v>
      </c>
      <c r="X134" s="25">
        <v>0.590223505535229</v>
      </c>
      <c r="Y134" s="25">
        <v>0.110682982081425</v>
      </c>
      <c r="Z134" s="25">
        <v>0.0195515125773053</v>
      </c>
      <c r="AA134" s="25">
        <v>0.139826723401878</v>
      </c>
      <c r="AB134" s="25">
        <v>0.588949195358716</v>
      </c>
      <c r="AC134" s="25">
        <v>0.111745450120473</v>
      </c>
      <c r="AD134" s="25">
        <v>0.140781971672353</v>
      </c>
      <c r="AE134" s="25">
        <v>0.585842972108357</v>
      </c>
      <c r="AF134" s="25">
        <v>0.117267240243684</v>
      </c>
      <c r="AG134" s="25">
        <v>0.146688362900851</v>
      </c>
      <c r="AH134" s="25">
        <v>0.556141675420949</v>
      </c>
      <c r="AI134" s="25">
        <v>10.0</v>
      </c>
      <c r="AJ134" s="25">
        <v>2.57073046974974</v>
      </c>
      <c r="AK134" s="25">
        <v>10.7434393739399</v>
      </c>
      <c r="AL134" s="25">
        <v>3.27771862336289</v>
      </c>
      <c r="AM134" s="25">
        <v>0.59013995334444</v>
      </c>
      <c r="AN134" s="25">
        <v>2.60584181600384</v>
      </c>
      <c r="AO134" s="25">
        <v>10.7778090748054</v>
      </c>
      <c r="AP134" s="25">
        <v>3.28295736719279</v>
      </c>
      <c r="AQ134" s="25">
        <v>0.585842972108357</v>
      </c>
      <c r="AR134" s="25">
        <v>2.73460689401592</v>
      </c>
      <c r="AS134" s="25">
        <v>11.7011278021599</v>
      </c>
      <c r="AT134" s="25">
        <v>3.4206911293129</v>
      </c>
      <c r="AU134" s="25">
        <v>0.556141675420949</v>
      </c>
      <c r="AV134" s="26">
        <f t="shared" ref="AV134:AW134" si="271">(AC134-AC$289)/AC$290</f>
        <v>1.115544397</v>
      </c>
      <c r="AW134" s="27">
        <f t="shared" si="271"/>
        <v>1.101380704</v>
      </c>
      <c r="AX134" s="27">
        <f t="shared" si="5"/>
        <v>0.3899081894</v>
      </c>
      <c r="AY134" s="28">
        <f t="shared" si="6"/>
        <v>0.3709524361</v>
      </c>
      <c r="AZ134" s="29">
        <f t="shared" si="7"/>
        <v>0.4651350196</v>
      </c>
      <c r="BA134" s="28">
        <f t="shared" si="8"/>
        <v>0.455471698</v>
      </c>
      <c r="BB134" s="29">
        <f t="shared" si="9"/>
        <v>0.3243485987</v>
      </c>
      <c r="BC134" s="27">
        <f t="shared" si="10"/>
        <v>0.3711465962</v>
      </c>
      <c r="BD134" s="28">
        <f t="shared" si="11"/>
        <v>0.3166164785</v>
      </c>
      <c r="BE134" s="30">
        <f t="shared" ref="BE134:BF134" si="272">((S134-S$289)/S$290)</f>
        <v>-0.8042578495</v>
      </c>
      <c r="BF134" s="30">
        <f t="shared" si="272"/>
        <v>-0.8205085129</v>
      </c>
    </row>
    <row r="135">
      <c r="A135" s="21" t="s">
        <v>67</v>
      </c>
      <c r="B135" s="22">
        <f t="shared" si="3"/>
        <v>0.08003022846</v>
      </c>
      <c r="C135" s="21" t="s">
        <v>68</v>
      </c>
      <c r="D135" s="21" t="s">
        <v>69</v>
      </c>
      <c r="E135" s="23">
        <v>201.0</v>
      </c>
      <c r="F135" s="24" t="s">
        <v>97</v>
      </c>
      <c r="G135" s="21" t="s">
        <v>82</v>
      </c>
      <c r="H135" s="24" t="s">
        <v>98</v>
      </c>
      <c r="I135" s="24" t="s">
        <v>95</v>
      </c>
      <c r="J135" s="24" t="s">
        <v>99</v>
      </c>
      <c r="K135" s="24" t="s">
        <v>75</v>
      </c>
      <c r="L135" s="21" t="s">
        <v>76</v>
      </c>
      <c r="M135" s="24" t="s">
        <v>85</v>
      </c>
      <c r="N135" s="21" t="s">
        <v>78</v>
      </c>
      <c r="O135" s="21" t="s">
        <v>79</v>
      </c>
      <c r="P135" s="21" t="s">
        <v>80</v>
      </c>
      <c r="Q135" s="24" t="s">
        <v>81</v>
      </c>
      <c r="R135" s="24" t="s">
        <v>81</v>
      </c>
      <c r="S135" s="25">
        <v>351.069334030151</v>
      </c>
      <c r="T135" s="25">
        <v>499.965588808059</v>
      </c>
      <c r="U135" s="25">
        <v>1.79811365594704</v>
      </c>
      <c r="V135" s="25">
        <v>5.24930949193054</v>
      </c>
      <c r="W135" s="25">
        <v>2.29113716130888</v>
      </c>
      <c r="X135" s="25">
        <v>0.805722217655818</v>
      </c>
      <c r="Y135" s="25">
        <v>0.0517841144168422</v>
      </c>
      <c r="Z135" s="25">
        <v>0.00434456840473012</v>
      </c>
      <c r="AA135" s="25">
        <v>0.0659133401120753</v>
      </c>
      <c r="AB135" s="25">
        <v>0.902769026993521</v>
      </c>
      <c r="AC135" s="25">
        <v>0.0516064308602911</v>
      </c>
      <c r="AD135" s="25">
        <v>0.0657429070860826</v>
      </c>
      <c r="AE135" s="25">
        <v>0.903733845780552</v>
      </c>
      <c r="AF135" s="25">
        <v>0.0808405067831664</v>
      </c>
      <c r="AG135" s="25">
        <v>0.101111355114577</v>
      </c>
      <c r="AH135" s="25">
        <v>0.773229312031115</v>
      </c>
      <c r="AI135" s="25">
        <v>10.0</v>
      </c>
      <c r="AJ135" s="25">
        <v>1.79811365594702</v>
      </c>
      <c r="AK135" s="25">
        <v>5.24930949193054</v>
      </c>
      <c r="AL135" s="25">
        <v>2.29113716130888</v>
      </c>
      <c r="AM135" s="25">
        <v>0.805696732699552</v>
      </c>
      <c r="AN135" s="25">
        <v>1.26435755607712</v>
      </c>
      <c r="AO135" s="25">
        <v>2.59435843173561</v>
      </c>
      <c r="AP135" s="25">
        <v>1.61070122360902</v>
      </c>
      <c r="AQ135" s="25">
        <v>0.903733845780552</v>
      </c>
      <c r="AR135" s="25">
        <v>1.98059241618764</v>
      </c>
      <c r="AS135" s="25">
        <v>6.13665955639698</v>
      </c>
      <c r="AT135" s="25">
        <v>2.47722820030714</v>
      </c>
      <c r="AU135" s="25">
        <v>0.773229312031115</v>
      </c>
      <c r="AV135" s="26">
        <f t="shared" ref="AV135:AW135" si="273">(AC135-AC$289)/AC$290</f>
        <v>-0.1187885262</v>
      </c>
      <c r="AW135" s="27">
        <f t="shared" si="273"/>
        <v>-0.1112017197</v>
      </c>
      <c r="AX135" s="27">
        <f t="shared" si="5"/>
        <v>0.07055586304</v>
      </c>
      <c r="AY135" s="28">
        <f t="shared" si="6"/>
        <v>0.05694613823</v>
      </c>
      <c r="AZ135" s="29">
        <f t="shared" si="7"/>
        <v>0.06855702784</v>
      </c>
      <c r="BA135" s="28">
        <f t="shared" si="8"/>
        <v>0.06427341302</v>
      </c>
      <c r="BB135" s="29">
        <f t="shared" si="9"/>
        <v>-0.02318550531</v>
      </c>
      <c r="BC135" s="27">
        <f t="shared" si="10"/>
        <v>0.04538415747</v>
      </c>
      <c r="BD135" s="28">
        <f t="shared" si="11"/>
        <v>0.03468680997</v>
      </c>
      <c r="BE135" s="30">
        <f t="shared" ref="BE135:BF135" si="274">((S135-S$289)/S$290)</f>
        <v>-0.7454620946</v>
      </c>
      <c r="BF135" s="30">
        <f t="shared" si="274"/>
        <v>-0.2220980768</v>
      </c>
    </row>
    <row r="136">
      <c r="A136" s="21" t="s">
        <v>88</v>
      </c>
      <c r="B136" s="22">
        <f t="shared" si="3"/>
        <v>0.02622549137</v>
      </c>
      <c r="C136" s="21" t="s">
        <v>68</v>
      </c>
      <c r="D136" s="21" t="s">
        <v>69</v>
      </c>
      <c r="E136" s="23">
        <v>36.0</v>
      </c>
      <c r="F136" s="24" t="s">
        <v>70</v>
      </c>
      <c r="G136" s="21" t="s">
        <v>82</v>
      </c>
      <c r="H136" s="24" t="s">
        <v>83</v>
      </c>
      <c r="I136" s="24" t="s">
        <v>95</v>
      </c>
      <c r="J136" s="24" t="s">
        <v>90</v>
      </c>
      <c r="K136" s="24" t="s">
        <v>101</v>
      </c>
      <c r="L136" s="21" t="s">
        <v>76</v>
      </c>
      <c r="M136" s="24" t="s">
        <v>77</v>
      </c>
      <c r="N136" s="21" t="s">
        <v>104</v>
      </c>
      <c r="O136" s="21" t="s">
        <v>91</v>
      </c>
      <c r="P136" s="21" t="s">
        <v>80</v>
      </c>
      <c r="Q136" s="24" t="s">
        <v>89</v>
      </c>
      <c r="S136" s="25">
        <v>391.772301673889</v>
      </c>
      <c r="T136" s="25">
        <v>170.684876680374</v>
      </c>
      <c r="U136" s="25">
        <v>1.89289381622849</v>
      </c>
      <c r="V136" s="25">
        <v>5.79554439013423</v>
      </c>
      <c r="W136" s="25">
        <v>2.40739369238482</v>
      </c>
      <c r="X136" s="25">
        <v>0.77896619299775</v>
      </c>
      <c r="Y136" s="25">
        <v>0.0772537778558354</v>
      </c>
      <c r="Z136" s="25">
        <v>0.00942604356305667</v>
      </c>
      <c r="AA136" s="25">
        <v>0.0970878136691556</v>
      </c>
      <c r="AB136" s="25">
        <v>0.802702385504312</v>
      </c>
      <c r="AC136" s="25">
        <v>0.0772088786490335</v>
      </c>
      <c r="AD136" s="25">
        <v>0.0969484360161847</v>
      </c>
      <c r="AE136" s="25">
        <v>0.804257970379736</v>
      </c>
      <c r="AF136" s="25">
        <v>0.0827092952190401</v>
      </c>
      <c r="AG136" s="25">
        <v>0.105084943978674</v>
      </c>
      <c r="AH136" s="25">
        <v>0.771713187119035</v>
      </c>
      <c r="AI136" s="25">
        <v>10.0</v>
      </c>
      <c r="AJ136" s="25">
        <v>1.89289381622849</v>
      </c>
      <c r="AK136" s="25">
        <v>5.79554439013424</v>
      </c>
      <c r="AL136" s="25">
        <v>2.40739369238482</v>
      </c>
      <c r="AM136" s="25">
        <v>0.778928688245725</v>
      </c>
      <c r="AN136" s="25">
        <v>1.80046815627401</v>
      </c>
      <c r="AO136" s="25">
        <v>5.11114279193648</v>
      </c>
      <c r="AP136" s="25">
        <v>2.26078366765519</v>
      </c>
      <c r="AQ136" s="25">
        <v>0.804257970379736</v>
      </c>
      <c r="AR136" s="25">
        <v>1.92873481489958</v>
      </c>
      <c r="AS136" s="25">
        <v>6.00506058700528</v>
      </c>
      <c r="AT136" s="25">
        <v>2.45052251305824</v>
      </c>
      <c r="AU136" s="25">
        <v>0.771713187119035</v>
      </c>
      <c r="AV136" s="26">
        <f t="shared" ref="AV136:AW136" si="275">(AC136-AC$289)/AC$290</f>
        <v>0.4066930098</v>
      </c>
      <c r="AW136" s="27">
        <f t="shared" si="275"/>
        <v>0.3930593091</v>
      </c>
      <c r="AX136" s="27">
        <f t="shared" si="5"/>
        <v>0.04859229855</v>
      </c>
      <c r="AY136" s="28">
        <f t="shared" si="6"/>
        <v>0.04805786745</v>
      </c>
      <c r="AZ136" s="29">
        <f t="shared" si="7"/>
        <v>0.1172069212</v>
      </c>
      <c r="BA136" s="28">
        <f t="shared" si="8"/>
        <v>0.1103713353</v>
      </c>
      <c r="BB136" s="29">
        <f t="shared" si="9"/>
        <v>0.08556646616</v>
      </c>
      <c r="BC136" s="27">
        <f t="shared" si="10"/>
        <v>0.04765925962</v>
      </c>
      <c r="BD136" s="28">
        <f t="shared" si="11"/>
        <v>0.06969710249</v>
      </c>
      <c r="BE136" s="30">
        <f t="shared" ref="BE136:BF136" si="276">((S136-S$289)/S$290)</f>
        <v>-0.7348133501</v>
      </c>
      <c r="BF136" s="30">
        <f t="shared" si="276"/>
        <v>-0.8805706247</v>
      </c>
    </row>
    <row r="137">
      <c r="A137" s="21" t="s">
        <v>67</v>
      </c>
      <c r="B137" s="22">
        <f t="shared" si="3"/>
        <v>0.00543570391</v>
      </c>
      <c r="C137" s="21" t="s">
        <v>68</v>
      </c>
      <c r="D137" s="21" t="s">
        <v>69</v>
      </c>
      <c r="E137" s="23">
        <v>211.0</v>
      </c>
      <c r="F137" s="24" t="s">
        <v>97</v>
      </c>
      <c r="G137" s="21" t="s">
        <v>82</v>
      </c>
      <c r="H137" s="24" t="s">
        <v>98</v>
      </c>
      <c r="I137" s="24" t="s">
        <v>73</v>
      </c>
      <c r="J137" s="24" t="s">
        <v>99</v>
      </c>
      <c r="K137" s="24" t="s">
        <v>101</v>
      </c>
      <c r="L137" s="21" t="s">
        <v>84</v>
      </c>
      <c r="M137" s="24" t="s">
        <v>85</v>
      </c>
      <c r="N137" s="21" t="s">
        <v>78</v>
      </c>
      <c r="O137" s="21" t="s">
        <v>91</v>
      </c>
      <c r="P137" s="21" t="s">
        <v>80</v>
      </c>
      <c r="Q137" s="24" t="s">
        <v>103</v>
      </c>
      <c r="R137" s="24" t="s">
        <v>103</v>
      </c>
      <c r="S137" s="25">
        <v>312.687185287475</v>
      </c>
      <c r="T137" s="25">
        <v>467.318478822708</v>
      </c>
      <c r="U137" s="25">
        <v>1.83161863606007</v>
      </c>
      <c r="V137" s="25">
        <v>5.36528230388275</v>
      </c>
      <c r="W137" s="25">
        <v>2.31630790351428</v>
      </c>
      <c r="X137" s="25">
        <v>0.801246178274667</v>
      </c>
      <c r="Y137" s="25">
        <v>0.0711270991171993</v>
      </c>
      <c r="Z137" s="25">
        <v>0.00788894065150047</v>
      </c>
      <c r="AA137" s="25">
        <v>0.0888197086884464</v>
      </c>
      <c r="AB137" s="25">
        <v>0.823255521753709</v>
      </c>
      <c r="AC137" s="25">
        <v>0.0709331081809724</v>
      </c>
      <c r="AD137" s="25">
        <v>0.0886087298768165</v>
      </c>
      <c r="AE137" s="25">
        <v>0.824920646714191</v>
      </c>
      <c r="AF137" s="25">
        <v>0.0810395142648425</v>
      </c>
      <c r="AG137" s="25">
        <v>0.101667110695387</v>
      </c>
      <c r="AH137" s="25">
        <v>0.770631181041716</v>
      </c>
      <c r="AI137" s="25">
        <v>10.0</v>
      </c>
      <c r="AJ137" s="25">
        <v>1.83161863606005</v>
      </c>
      <c r="AK137" s="25">
        <v>5.36528230388275</v>
      </c>
      <c r="AL137" s="25">
        <v>2.31630790351428</v>
      </c>
      <c r="AM137" s="25">
        <v>0.801216373467612</v>
      </c>
      <c r="AN137" s="25">
        <v>1.73786115043384</v>
      </c>
      <c r="AO137" s="25">
        <v>4.71286708298223</v>
      </c>
      <c r="AP137" s="25">
        <v>2.17091388198201</v>
      </c>
      <c r="AQ137" s="25">
        <v>0.824920646714191</v>
      </c>
      <c r="AR137" s="25">
        <v>1.98546809948864</v>
      </c>
      <c r="AS137" s="25">
        <v>6.20430488863819</v>
      </c>
      <c r="AT137" s="25">
        <v>2.49084421203699</v>
      </c>
      <c r="AU137" s="25">
        <v>0.770631181041716</v>
      </c>
      <c r="AV137" s="26">
        <f t="shared" ref="AV137:AW137" si="277">(AC137-AC$289)/AC$290</f>
        <v>0.2778849547</v>
      </c>
      <c r="AW137" s="27">
        <f t="shared" si="277"/>
        <v>0.2582950881</v>
      </c>
      <c r="AX137" s="27">
        <f t="shared" si="5"/>
        <v>0.07262089077</v>
      </c>
      <c r="AY137" s="28">
        <f t="shared" si="6"/>
        <v>0.06147786206</v>
      </c>
      <c r="AZ137" s="29">
        <f t="shared" si="7"/>
        <v>0.08575486445</v>
      </c>
      <c r="BA137" s="28">
        <f t="shared" si="8"/>
        <v>0.0742540903</v>
      </c>
      <c r="BB137" s="29">
        <f t="shared" si="9"/>
        <v>0.06297700135</v>
      </c>
      <c r="BC137" s="27">
        <f t="shared" si="10"/>
        <v>0.04928292159</v>
      </c>
      <c r="BD137" s="28">
        <f t="shared" si="11"/>
        <v>0.04054673327</v>
      </c>
      <c r="BE137" s="30">
        <f t="shared" ref="BE137:BF137" si="278">((S137-S$289)/S$290)</f>
        <v>-0.7555036646</v>
      </c>
      <c r="BF137" s="30">
        <f t="shared" si="278"/>
        <v>-0.287383485</v>
      </c>
    </row>
    <row r="138">
      <c r="A138" s="21" t="s">
        <v>67</v>
      </c>
      <c r="B138" s="22">
        <f t="shared" si="3"/>
        <v>-0.04008203415</v>
      </c>
      <c r="C138" s="21" t="s">
        <v>68</v>
      </c>
      <c r="D138" s="21" t="s">
        <v>69</v>
      </c>
      <c r="E138" s="23">
        <v>118.0</v>
      </c>
      <c r="F138" s="24" t="s">
        <v>70</v>
      </c>
      <c r="G138" s="21" t="s">
        <v>71</v>
      </c>
      <c r="H138" s="24" t="s">
        <v>72</v>
      </c>
      <c r="I138" s="24" t="s">
        <v>73</v>
      </c>
      <c r="J138" s="24" t="s">
        <v>90</v>
      </c>
      <c r="K138" s="24" t="s">
        <v>101</v>
      </c>
      <c r="L138" s="21" t="s">
        <v>84</v>
      </c>
      <c r="M138" s="24" t="s">
        <v>77</v>
      </c>
      <c r="N138" s="21" t="s">
        <v>78</v>
      </c>
      <c r="O138" s="21" t="s">
        <v>102</v>
      </c>
      <c r="P138" s="21" t="s">
        <v>80</v>
      </c>
      <c r="Q138" s="24" t="s">
        <v>81</v>
      </c>
      <c r="S138" s="25">
        <v>330.970052957534</v>
      </c>
      <c r="T138" s="25">
        <v>162.643324851989</v>
      </c>
      <c r="U138" s="25">
        <v>2.15144875090066</v>
      </c>
      <c r="V138" s="25">
        <v>7.48482640561907</v>
      </c>
      <c r="W138" s="25">
        <v>2.7358410782827</v>
      </c>
      <c r="X138" s="25">
        <v>0.712445170625234</v>
      </c>
      <c r="Y138" s="25">
        <v>0.0760536438485261</v>
      </c>
      <c r="Z138" s="25">
        <v>0.00915097649683751</v>
      </c>
      <c r="AA138" s="25">
        <v>0.0956607364431066</v>
      </c>
      <c r="AB138" s="25">
        <v>0.806697726146936</v>
      </c>
      <c r="AC138" s="25">
        <v>0.0755812231549057</v>
      </c>
      <c r="AD138" s="25">
        <v>0.0952238006420289</v>
      </c>
      <c r="AE138" s="25">
        <v>0.809574211546141</v>
      </c>
      <c r="AF138" s="25">
        <v>0.0982379290802491</v>
      </c>
      <c r="AG138" s="25">
        <v>0.126635200032621</v>
      </c>
      <c r="AH138" s="25">
        <v>0.666564291163488</v>
      </c>
      <c r="AI138" s="25">
        <v>10.0</v>
      </c>
      <c r="AJ138" s="25">
        <v>2.15144875090066</v>
      </c>
      <c r="AK138" s="25">
        <v>7.48482640561908</v>
      </c>
      <c r="AL138" s="25">
        <v>2.7358410782827</v>
      </c>
      <c r="AM138" s="25">
        <v>0.712338010561206</v>
      </c>
      <c r="AN138" s="25">
        <v>1.76251213440399</v>
      </c>
      <c r="AO138" s="25">
        <v>4.93091393264317</v>
      </c>
      <c r="AP138" s="25">
        <v>2.22056612886065</v>
      </c>
      <c r="AQ138" s="25">
        <v>0.809574211546141</v>
      </c>
      <c r="AR138" s="25">
        <v>2.29085392952413</v>
      </c>
      <c r="AS138" s="25">
        <v>8.72057819902275</v>
      </c>
      <c r="AT138" s="25">
        <v>2.95306251187182</v>
      </c>
      <c r="AU138" s="25">
        <v>0.666564291163488</v>
      </c>
      <c r="AV138" s="26">
        <f t="shared" ref="AV138:AW138" si="279">(AC138-AC$289)/AC$290</f>
        <v>0.3732859342</v>
      </c>
      <c r="AW138" s="27">
        <f t="shared" si="279"/>
        <v>0.3651903244</v>
      </c>
      <c r="AX138" s="27">
        <f t="shared" si="5"/>
        <v>0.2019628041</v>
      </c>
      <c r="AY138" s="28">
        <f t="shared" si="6"/>
        <v>0.2153148096</v>
      </c>
      <c r="AZ138" s="29">
        <f t="shared" si="7"/>
        <v>0.2499210881</v>
      </c>
      <c r="BA138" s="28">
        <f t="shared" si="8"/>
        <v>0.2406069611</v>
      </c>
      <c r="BB138" s="29">
        <f t="shared" si="9"/>
        <v>0.07975448708</v>
      </c>
      <c r="BC138" s="27">
        <f t="shared" si="10"/>
        <v>0.2054460471</v>
      </c>
      <c r="BD138" s="28">
        <f t="shared" si="11"/>
        <v>0.1567919633</v>
      </c>
      <c r="BE138" s="30">
        <f t="shared" ref="BE138:BF138" si="280">((S138-S$289)/S$290)</f>
        <v>-0.7507204854</v>
      </c>
      <c r="BF138" s="30">
        <f t="shared" si="280"/>
        <v>-0.8966515578</v>
      </c>
    </row>
    <row r="139">
      <c r="A139" s="21" t="s">
        <v>88</v>
      </c>
      <c r="B139" s="22">
        <f t="shared" si="3"/>
        <v>-0.3976681644</v>
      </c>
      <c r="C139" s="21" t="s">
        <v>68</v>
      </c>
      <c r="D139" s="21" t="s">
        <v>69</v>
      </c>
      <c r="E139" s="23">
        <v>4.0</v>
      </c>
      <c r="F139" s="24" t="s">
        <v>70</v>
      </c>
      <c r="G139" s="21" t="s">
        <v>82</v>
      </c>
      <c r="H139" s="24" t="s">
        <v>83</v>
      </c>
      <c r="I139" s="24" t="s">
        <v>73</v>
      </c>
      <c r="J139" s="24" t="s">
        <v>99</v>
      </c>
      <c r="K139" s="24" t="s">
        <v>75</v>
      </c>
      <c r="L139" s="21" t="s">
        <v>84</v>
      </c>
      <c r="M139" s="24" t="s">
        <v>85</v>
      </c>
      <c r="N139" s="21" t="s">
        <v>78</v>
      </c>
      <c r="O139" s="21" t="s">
        <v>79</v>
      </c>
      <c r="P139" s="21" t="s">
        <v>80</v>
      </c>
      <c r="Q139" s="24" t="s">
        <v>81</v>
      </c>
      <c r="R139" s="24" t="s">
        <v>81</v>
      </c>
      <c r="S139" s="25">
        <v>87.7175402641296</v>
      </c>
      <c r="T139" s="25">
        <v>177.538049936294</v>
      </c>
      <c r="U139" s="25">
        <v>2.70114232575489</v>
      </c>
      <c r="V139" s="25">
        <v>11.1994321261621</v>
      </c>
      <c r="W139" s="25">
        <v>3.34655526267864</v>
      </c>
      <c r="X139" s="25">
        <v>0.56990132542961</v>
      </c>
      <c r="Y139" s="25">
        <v>0.147195734954615</v>
      </c>
      <c r="Z139" s="25">
        <v>0.0296062714175589</v>
      </c>
      <c r="AA139" s="25">
        <v>0.172064730312632</v>
      </c>
      <c r="AB139" s="25">
        <v>0.377247393294022</v>
      </c>
      <c r="AC139" s="25">
        <v>0.14780672267042</v>
      </c>
      <c r="AD139" s="25">
        <v>0.172619421732065</v>
      </c>
      <c r="AE139" s="25">
        <v>0.376274197133835</v>
      </c>
      <c r="AF139" s="25">
        <v>0.10298896009687</v>
      </c>
      <c r="AG139" s="25">
        <v>0.126744629773389</v>
      </c>
      <c r="AH139" s="25">
        <v>0.665159361667286</v>
      </c>
      <c r="AI139" s="25">
        <v>10.0</v>
      </c>
      <c r="AJ139" s="25">
        <v>2.70114232575489</v>
      </c>
      <c r="AK139" s="25">
        <v>11.1994321261621</v>
      </c>
      <c r="AL139" s="25">
        <v>3.34655526267864</v>
      </c>
      <c r="AM139" s="25">
        <v>0.569870367022318</v>
      </c>
      <c r="AN139" s="25">
        <v>3.44677065782827</v>
      </c>
      <c r="AO139" s="25">
        <v>16.2037567229925</v>
      </c>
      <c r="AP139" s="25">
        <v>4.02538901511302</v>
      </c>
      <c r="AQ139" s="25">
        <v>0.376274197133835</v>
      </c>
      <c r="AR139" s="25">
        <v>2.40164533337007</v>
      </c>
      <c r="AS139" s="25">
        <v>8.73565620148568</v>
      </c>
      <c r="AT139" s="25">
        <v>2.95561435263223</v>
      </c>
      <c r="AU139" s="25">
        <v>0.665159361667285</v>
      </c>
      <c r="AV139" s="26">
        <f t="shared" ref="AV139:AW139" si="281">(AC139-AC$289)/AC$290</f>
        <v>1.855689755</v>
      </c>
      <c r="AW139" s="27">
        <f t="shared" si="281"/>
        <v>1.615853167</v>
      </c>
      <c r="AX139" s="27">
        <f t="shared" si="5"/>
        <v>0.2488869596</v>
      </c>
      <c r="AY139" s="28">
        <f t="shared" si="6"/>
        <v>0.2161641213</v>
      </c>
      <c r="AZ139" s="29">
        <f t="shared" si="7"/>
        <v>0.5320743757</v>
      </c>
      <c r="BA139" s="28">
        <f t="shared" si="8"/>
        <v>0.4827667327</v>
      </c>
      <c r="BB139" s="29">
        <f t="shared" si="9"/>
        <v>0.5534596002</v>
      </c>
      <c r="BC139" s="27">
        <f t="shared" si="10"/>
        <v>0.207554289</v>
      </c>
      <c r="BD139" s="28">
        <f t="shared" si="11"/>
        <v>0.3431273485</v>
      </c>
      <c r="BE139" s="30">
        <f t="shared" ref="BE139:BF139" si="282">((S139-S$289)/S$290)</f>
        <v>-0.8143604121</v>
      </c>
      <c r="BF139" s="30">
        <f t="shared" si="282"/>
        <v>-0.8668661279</v>
      </c>
    </row>
    <row r="140">
      <c r="A140" s="21" t="s">
        <v>67</v>
      </c>
      <c r="B140" s="22">
        <f t="shared" si="3"/>
        <v>0.02263277485</v>
      </c>
      <c r="C140" s="21" t="s">
        <v>68</v>
      </c>
      <c r="D140" s="21" t="s">
        <v>69</v>
      </c>
      <c r="E140" s="23">
        <v>181.0</v>
      </c>
      <c r="F140" s="24" t="s">
        <v>97</v>
      </c>
      <c r="G140" s="21" t="s">
        <v>82</v>
      </c>
      <c r="H140" s="24" t="s">
        <v>98</v>
      </c>
      <c r="I140" s="24" t="s">
        <v>95</v>
      </c>
      <c r="J140" s="24" t="s">
        <v>90</v>
      </c>
      <c r="K140" s="24" t="s">
        <v>75</v>
      </c>
      <c r="L140" s="21" t="s">
        <v>84</v>
      </c>
      <c r="M140" s="24" t="s">
        <v>77</v>
      </c>
      <c r="N140" s="21" t="s">
        <v>78</v>
      </c>
      <c r="O140" s="21" t="s">
        <v>91</v>
      </c>
      <c r="P140" s="21" t="s">
        <v>80</v>
      </c>
      <c r="Q140" s="24" t="s">
        <v>81</v>
      </c>
      <c r="S140" s="25">
        <v>325.247857093811</v>
      </c>
      <c r="T140" s="25">
        <v>522.709822654724</v>
      </c>
      <c r="U140" s="25">
        <v>1.92130747435721</v>
      </c>
      <c r="V140" s="25">
        <v>5.92235131673544</v>
      </c>
      <c r="W140" s="25">
        <v>2.43358815676265</v>
      </c>
      <c r="X140" s="25">
        <v>0.780814231478088</v>
      </c>
      <c r="Y140" s="25">
        <v>0.0674693408955344</v>
      </c>
      <c r="Z140" s="25">
        <v>0.00701731705437834</v>
      </c>
      <c r="AA140" s="25">
        <v>0.0837694279219951</v>
      </c>
      <c r="AB140" s="25">
        <v>0.842953200057958</v>
      </c>
      <c r="AC140" s="25">
        <v>0.0674306437583754</v>
      </c>
      <c r="AD140" s="25">
        <v>0.0836570056030166</v>
      </c>
      <c r="AE140" s="25">
        <v>0.844123572097202</v>
      </c>
      <c r="AF140" s="25">
        <v>0.0711934065392753</v>
      </c>
      <c r="AG140" s="25">
        <v>0.0915704401008464</v>
      </c>
      <c r="AH140" s="25">
        <v>0.814006546378816</v>
      </c>
      <c r="AI140" s="25">
        <v>10.0</v>
      </c>
      <c r="AJ140" s="25">
        <v>1.92130747435715</v>
      </c>
      <c r="AK140" s="25">
        <v>5.92235131673544</v>
      </c>
      <c r="AL140" s="25">
        <v>2.43358815676265</v>
      </c>
      <c r="AM140" s="25">
        <v>0.780784079751488</v>
      </c>
      <c r="AN140" s="25">
        <v>1.65205077208025</v>
      </c>
      <c r="AO140" s="25">
        <v>4.20084637552452</v>
      </c>
      <c r="AP140" s="25">
        <v>2.04959663727391</v>
      </c>
      <c r="AQ140" s="25">
        <v>0.844123572097202</v>
      </c>
      <c r="AR140" s="25">
        <v>1.74423846021223</v>
      </c>
      <c r="AS140" s="25">
        <v>5.03318358653267</v>
      </c>
      <c r="AT140" s="25">
        <v>2.24347578247073</v>
      </c>
      <c r="AU140" s="25">
        <v>0.814006546378816</v>
      </c>
      <c r="AV140" s="26">
        <f t="shared" ref="AV140:AW140" si="283">(AC140-AC$289)/AC$290</f>
        <v>0.2059980633</v>
      </c>
      <c r="AW140" s="27">
        <f t="shared" si="283"/>
        <v>0.178278448</v>
      </c>
      <c r="AX140" s="27">
        <f t="shared" si="5"/>
        <v>-0.02954856188</v>
      </c>
      <c r="AY140" s="28">
        <f t="shared" si="6"/>
        <v>-0.0208520763</v>
      </c>
      <c r="AZ140" s="29">
        <f t="shared" si="7"/>
        <v>0.1317914233</v>
      </c>
      <c r="BA140" s="28">
        <f t="shared" si="8"/>
        <v>0.1207579379</v>
      </c>
      <c r="BB140" s="29">
        <f t="shared" si="9"/>
        <v>0.04198340883</v>
      </c>
      <c r="BC140" s="27">
        <f t="shared" si="10"/>
        <v>-0.01580629773</v>
      </c>
      <c r="BD140" s="28">
        <f t="shared" si="11"/>
        <v>0.06727041049</v>
      </c>
      <c r="BE140" s="30">
        <f t="shared" ref="BE140:BF140" si="284">((S140-S$289)/S$290)</f>
        <v>-0.7522175311</v>
      </c>
      <c r="BF140" s="30">
        <f t="shared" si="284"/>
        <v>-0.176615748</v>
      </c>
    </row>
    <row r="141">
      <c r="A141" s="21" t="s">
        <v>67</v>
      </c>
      <c r="B141" s="22">
        <f t="shared" si="3"/>
        <v>0.1256209018</v>
      </c>
      <c r="C141" s="21" t="s">
        <v>68</v>
      </c>
      <c r="D141" s="21" t="s">
        <v>69</v>
      </c>
      <c r="E141" s="23">
        <v>187.0</v>
      </c>
      <c r="F141" s="24" t="s">
        <v>97</v>
      </c>
      <c r="G141" s="21" t="s">
        <v>82</v>
      </c>
      <c r="H141" s="24" t="s">
        <v>98</v>
      </c>
      <c r="I141" s="24" t="s">
        <v>73</v>
      </c>
      <c r="J141" s="24" t="s">
        <v>74</v>
      </c>
      <c r="K141" s="24" t="s">
        <v>75</v>
      </c>
      <c r="L141" s="21" t="s">
        <v>92</v>
      </c>
      <c r="M141" s="24" t="s">
        <v>85</v>
      </c>
      <c r="N141" s="21" t="s">
        <v>78</v>
      </c>
      <c r="O141" s="21" t="s">
        <v>91</v>
      </c>
      <c r="P141" s="21" t="s">
        <v>80</v>
      </c>
      <c r="Q141" s="24" t="s">
        <v>94</v>
      </c>
      <c r="R141" s="24" t="s">
        <v>93</v>
      </c>
      <c r="S141" s="25">
        <v>425.339701652526</v>
      </c>
      <c r="T141" s="25">
        <v>447.886209726333</v>
      </c>
      <c r="U141" s="25">
        <v>1.56247417836087</v>
      </c>
      <c r="V141" s="25">
        <v>4.05395732316607</v>
      </c>
      <c r="W141" s="25">
        <v>2.01344414453594</v>
      </c>
      <c r="X141" s="25">
        <v>0.849828248507532</v>
      </c>
      <c r="Y141" s="25">
        <v>0.0569227725604009</v>
      </c>
      <c r="Z141" s="25">
        <v>0.00509857817707312</v>
      </c>
      <c r="AA141" s="25">
        <v>0.0714043288398758</v>
      </c>
      <c r="AB141" s="25">
        <v>0.885771033207948</v>
      </c>
      <c r="AC141" s="25">
        <v>0.0569562172894002</v>
      </c>
      <c r="AD141" s="25">
        <v>0.0713641098836235</v>
      </c>
      <c r="AE141" s="25">
        <v>0.886435755133994</v>
      </c>
      <c r="AF141" s="25">
        <v>0.0670681124521792</v>
      </c>
      <c r="AG141" s="25">
        <v>0.0869024962689986</v>
      </c>
      <c r="AH141" s="25">
        <v>0.832413929080479</v>
      </c>
      <c r="AI141" s="25">
        <v>10.0</v>
      </c>
      <c r="AJ141" s="25">
        <v>1.56247417836088</v>
      </c>
      <c r="AK141" s="25">
        <v>4.05395732316607</v>
      </c>
      <c r="AL141" s="25">
        <v>2.01344414453594</v>
      </c>
      <c r="AM141" s="25">
        <v>0.849800943759604</v>
      </c>
      <c r="AN141" s="25">
        <v>1.39542732359034</v>
      </c>
      <c r="AO141" s="25">
        <v>3.05697491673402</v>
      </c>
      <c r="AP141" s="25">
        <v>1.74842069214878</v>
      </c>
      <c r="AQ141" s="25">
        <v>0.886435755133994</v>
      </c>
      <c r="AR141" s="25">
        <v>1.64316875507841</v>
      </c>
      <c r="AS141" s="25">
        <v>4.53311432563444</v>
      </c>
      <c r="AT141" s="25">
        <v>2.12911115859046</v>
      </c>
      <c r="AU141" s="25">
        <v>0.832413929080479</v>
      </c>
      <c r="AV141" s="26">
        <f t="shared" ref="AV141:AW141" si="285">(AC141-AC$289)/AC$290</f>
        <v>-0.008985978704</v>
      </c>
      <c r="AW141" s="27">
        <f t="shared" si="285"/>
        <v>-0.02036674259</v>
      </c>
      <c r="AX141" s="27">
        <f t="shared" si="5"/>
        <v>-0.07235522727</v>
      </c>
      <c r="AY141" s="28">
        <f t="shared" si="6"/>
        <v>-0.05891526994</v>
      </c>
      <c r="AZ141" s="29">
        <f t="shared" si="7"/>
        <v>-0.05239481937</v>
      </c>
      <c r="BA141" s="28">
        <f t="shared" si="8"/>
        <v>-0.04583714155</v>
      </c>
      <c r="BB141" s="29">
        <f t="shared" si="9"/>
        <v>-0.004274372803</v>
      </c>
      <c r="BC141" s="27">
        <f t="shared" si="10"/>
        <v>-0.04342847822</v>
      </c>
      <c r="BD141" s="28">
        <f t="shared" si="11"/>
        <v>-0.02299769265</v>
      </c>
      <c r="BE141" s="30">
        <f t="shared" ref="BE141:BF141" si="286">((S141-S$289)/S$290)</f>
        <v>-0.7260314187</v>
      </c>
      <c r="BF141" s="30">
        <f t="shared" si="286"/>
        <v>-0.3262427782</v>
      </c>
    </row>
    <row r="142">
      <c r="A142" s="21" t="s">
        <v>67</v>
      </c>
      <c r="B142" s="22">
        <f t="shared" si="3"/>
        <v>0.1493648698</v>
      </c>
      <c r="C142" s="21" t="s">
        <v>68</v>
      </c>
      <c r="D142" s="21" t="s">
        <v>69</v>
      </c>
      <c r="E142" s="23">
        <v>62.0</v>
      </c>
      <c r="F142" s="24" t="s">
        <v>70</v>
      </c>
      <c r="G142" s="21" t="s">
        <v>82</v>
      </c>
      <c r="H142" s="24" t="s">
        <v>83</v>
      </c>
      <c r="I142" s="24" t="s">
        <v>95</v>
      </c>
      <c r="J142" s="24" t="s">
        <v>99</v>
      </c>
      <c r="K142" s="24" t="s">
        <v>101</v>
      </c>
      <c r="L142" s="21" t="s">
        <v>92</v>
      </c>
      <c r="M142" s="24" t="s">
        <v>77</v>
      </c>
      <c r="N142" s="21" t="s">
        <v>86</v>
      </c>
      <c r="O142" s="21" t="s">
        <v>91</v>
      </c>
      <c r="P142" s="21" t="s">
        <v>80</v>
      </c>
      <c r="Q142" s="24" t="s">
        <v>93</v>
      </c>
      <c r="S142" s="25">
        <v>489.99997138977</v>
      </c>
      <c r="T142" s="25">
        <v>209.276273965835</v>
      </c>
      <c r="U142" s="25">
        <v>1.58710840545841</v>
      </c>
      <c r="V142" s="25">
        <v>4.26125748840726</v>
      </c>
      <c r="W142" s="25">
        <v>2.06428134914</v>
      </c>
      <c r="X142" s="25">
        <v>0.83751087154569</v>
      </c>
      <c r="Y142" s="25">
        <v>0.0560907731929123</v>
      </c>
      <c r="Z142" s="25">
        <v>0.00510338141370476</v>
      </c>
      <c r="AA142" s="25">
        <v>0.0714379549938599</v>
      </c>
      <c r="AB142" s="25">
        <v>0.893180529874501</v>
      </c>
      <c r="AC142" s="25">
        <v>0.0559358884076647</v>
      </c>
      <c r="AD142" s="25">
        <v>0.0712699275901218</v>
      </c>
      <c r="AE142" s="25">
        <v>0.894217188022632</v>
      </c>
      <c r="AF142" s="25">
        <v>0.0769284228252604</v>
      </c>
      <c r="AG142" s="25">
        <v>0.0993531030212501</v>
      </c>
      <c r="AH142" s="25">
        <v>0.79593773530705</v>
      </c>
      <c r="AI142" s="25">
        <v>10.0</v>
      </c>
      <c r="AJ142" s="25">
        <v>1.58710840545841</v>
      </c>
      <c r="AK142" s="25">
        <v>4.26125748840725</v>
      </c>
      <c r="AL142" s="25">
        <v>2.06428134914</v>
      </c>
      <c r="AM142" s="25">
        <v>0.83745413385349</v>
      </c>
      <c r="AN142" s="25">
        <v>1.30439384217318</v>
      </c>
      <c r="AO142" s="25">
        <v>2.76216128951859</v>
      </c>
      <c r="AP142" s="25">
        <v>1.66197511699742</v>
      </c>
      <c r="AQ142" s="25">
        <v>0.894217188022632</v>
      </c>
      <c r="AR142" s="25">
        <v>1.79392808227241</v>
      </c>
      <c r="AS142" s="25">
        <v>5.36783639640906</v>
      </c>
      <c r="AT142" s="25">
        <v>2.3168591662872</v>
      </c>
      <c r="AU142" s="25">
        <v>0.79593773530705</v>
      </c>
      <c r="AV142" s="26">
        <f t="shared" ref="AV142:AW142" si="287">(AC142-AC$289)/AC$290</f>
        <v>-0.02992788209</v>
      </c>
      <c r="AW142" s="27">
        <f t="shared" si="287"/>
        <v>-0.02188866713</v>
      </c>
      <c r="AX142" s="27">
        <f t="shared" si="5"/>
        <v>-0.008503214781</v>
      </c>
      <c r="AY142" s="28">
        <f t="shared" si="6"/>
        <v>0.00357161219</v>
      </c>
      <c r="AZ142" s="29">
        <f t="shared" si="7"/>
        <v>-0.03975026888</v>
      </c>
      <c r="BA142" s="28">
        <f t="shared" si="8"/>
        <v>-0.02567922452</v>
      </c>
      <c r="BB142" s="29">
        <f t="shared" si="9"/>
        <v>-0.01278142202</v>
      </c>
      <c r="BC142" s="27">
        <f t="shared" si="10"/>
        <v>0.01130782102</v>
      </c>
      <c r="BD142" s="28">
        <f t="shared" si="11"/>
        <v>-0.006849130615</v>
      </c>
      <c r="BE142" s="30">
        <f t="shared" ref="BE142:BF142" si="288">((S142-S$289)/S$290)</f>
        <v>-0.7091149446</v>
      </c>
      <c r="BF142" s="30">
        <f t="shared" si="288"/>
        <v>-0.8033982463</v>
      </c>
    </row>
    <row r="143">
      <c r="A143" s="21" t="s">
        <v>67</v>
      </c>
      <c r="B143" s="22">
        <f t="shared" si="3"/>
        <v>-0.1723883832</v>
      </c>
      <c r="C143" s="21" t="s">
        <v>68</v>
      </c>
      <c r="D143" s="21" t="s">
        <v>69</v>
      </c>
      <c r="E143" s="23">
        <v>134.0</v>
      </c>
      <c r="F143" s="24" t="s">
        <v>70</v>
      </c>
      <c r="G143" s="21" t="s">
        <v>71</v>
      </c>
      <c r="H143" s="24" t="s">
        <v>72</v>
      </c>
      <c r="I143" s="24" t="s">
        <v>73</v>
      </c>
      <c r="J143" s="24" t="s">
        <v>90</v>
      </c>
      <c r="K143" s="24" t="s">
        <v>101</v>
      </c>
      <c r="L143" s="21" t="s">
        <v>76</v>
      </c>
      <c r="M143" s="24" t="s">
        <v>85</v>
      </c>
      <c r="N143" s="21" t="s">
        <v>78</v>
      </c>
      <c r="O143" s="21" t="s">
        <v>91</v>
      </c>
      <c r="P143" s="21" t="s">
        <v>80</v>
      </c>
      <c r="Q143" s="24" t="s">
        <v>100</v>
      </c>
      <c r="R143" s="24" t="s">
        <v>100</v>
      </c>
      <c r="S143" s="25">
        <v>242.017095565795</v>
      </c>
      <c r="T143" s="25">
        <v>215.901093482971</v>
      </c>
      <c r="U143" s="25">
        <v>2.36072237767509</v>
      </c>
      <c r="V143" s="25">
        <v>9.151004604413</v>
      </c>
      <c r="W143" s="25">
        <v>3.02506274388036</v>
      </c>
      <c r="X143" s="25">
        <v>0.648402250155725</v>
      </c>
      <c r="Y143" s="25">
        <v>0.0923955840050647</v>
      </c>
      <c r="Z143" s="25">
        <v>0.0136223864692725</v>
      </c>
      <c r="AA143" s="25">
        <v>0.116714979626749</v>
      </c>
      <c r="AB143" s="25">
        <v>0.712245105128878</v>
      </c>
      <c r="AC143" s="25">
        <v>0.0919498505072035</v>
      </c>
      <c r="AD143" s="25">
        <v>0.116232633915556</v>
      </c>
      <c r="AE143" s="25">
        <v>0.716279381179456</v>
      </c>
      <c r="AF143" s="25">
        <v>0.107026860231236</v>
      </c>
      <c r="AG143" s="25">
        <v>0.139218406343186</v>
      </c>
      <c r="AH143" s="25">
        <v>0.597007890580856</v>
      </c>
      <c r="AI143" s="25">
        <v>10.0</v>
      </c>
      <c r="AJ143" s="25">
        <v>2.36072237767509</v>
      </c>
      <c r="AK143" s="25">
        <v>9.151004604413</v>
      </c>
      <c r="AL143" s="25">
        <v>3.02506274388036</v>
      </c>
      <c r="AM143" s="25">
        <v>0.648302305596188</v>
      </c>
      <c r="AN143" s="25">
        <v>2.14421943057771</v>
      </c>
      <c r="AO143" s="25">
        <v>7.34670426563234</v>
      </c>
      <c r="AP143" s="25">
        <v>2.71048044922525</v>
      </c>
      <c r="AQ143" s="25">
        <v>0.716279381179456</v>
      </c>
      <c r="AR143" s="25">
        <v>2.49580692122562</v>
      </c>
      <c r="AS143" s="25">
        <v>10.5397355791364</v>
      </c>
      <c r="AT143" s="25">
        <v>3.24649589236402</v>
      </c>
      <c r="AU143" s="25">
        <v>0.597007890580856</v>
      </c>
      <c r="AV143" s="26">
        <f t="shared" ref="AV143:AW143" si="289">(AC143-AC$289)/AC$290</f>
        <v>0.7092464452</v>
      </c>
      <c r="AW143" s="27">
        <f t="shared" si="289"/>
        <v>0.7046793907</v>
      </c>
      <c r="AX143" s="27">
        <f t="shared" si="5"/>
        <v>0.2887677881</v>
      </c>
      <c r="AY143" s="28">
        <f t="shared" si="6"/>
        <v>0.3129762298</v>
      </c>
      <c r="AZ143" s="29">
        <f t="shared" si="7"/>
        <v>0.3573395563</v>
      </c>
      <c r="BA143" s="28">
        <f t="shared" si="8"/>
        <v>0.3552888438</v>
      </c>
      <c r="BB143" s="29">
        <f t="shared" si="9"/>
        <v>0.1817490329</v>
      </c>
      <c r="BC143" s="27">
        <f t="shared" si="10"/>
        <v>0.3098226161</v>
      </c>
      <c r="BD143" s="28">
        <f t="shared" si="11"/>
        <v>0.2405451402</v>
      </c>
      <c r="BE143" s="30">
        <f t="shared" ref="BE143:BF143" si="290">((S143-S$289)/S$290)</f>
        <v>-0.7739924328</v>
      </c>
      <c r="BF143" s="30">
        <f t="shared" si="290"/>
        <v>-0.7901503954</v>
      </c>
    </row>
    <row r="144">
      <c r="A144" s="21" t="s">
        <v>88</v>
      </c>
      <c r="B144" s="22">
        <f t="shared" si="3"/>
        <v>-0.01907056313</v>
      </c>
      <c r="C144" s="21" t="s">
        <v>68</v>
      </c>
      <c r="D144" s="21" t="s">
        <v>69</v>
      </c>
      <c r="E144" s="23">
        <v>218.0</v>
      </c>
      <c r="F144" s="24" t="s">
        <v>97</v>
      </c>
      <c r="G144" s="21" t="s">
        <v>71</v>
      </c>
      <c r="H144" s="24" t="s">
        <v>105</v>
      </c>
      <c r="I144" s="24" t="s">
        <v>73</v>
      </c>
      <c r="J144" s="24" t="s">
        <v>90</v>
      </c>
      <c r="K144" s="24" t="s">
        <v>101</v>
      </c>
      <c r="L144" s="21" t="s">
        <v>76</v>
      </c>
      <c r="M144" s="24" t="s">
        <v>77</v>
      </c>
      <c r="N144" s="21" t="s">
        <v>78</v>
      </c>
      <c r="O144" s="21" t="s">
        <v>102</v>
      </c>
      <c r="P144" s="21" t="s">
        <v>80</v>
      </c>
      <c r="Q144" s="24" t="s">
        <v>100</v>
      </c>
      <c r="S144" s="25">
        <v>310.905893087387</v>
      </c>
      <c r="T144" s="25">
        <v>446.629732131958</v>
      </c>
      <c r="U144" s="25">
        <v>2.07526357313381</v>
      </c>
      <c r="V144" s="25">
        <v>6.98548454923646</v>
      </c>
      <c r="W144" s="25">
        <v>2.64300672515914</v>
      </c>
      <c r="X144" s="25">
        <v>0.741012927889237</v>
      </c>
      <c r="Y144" s="25">
        <v>0.064696832341192</v>
      </c>
      <c r="Z144" s="25">
        <v>0.00673738677646891</v>
      </c>
      <c r="AA144" s="25">
        <v>0.0820815860986427</v>
      </c>
      <c r="AB144" s="25">
        <v>0.84846402649532</v>
      </c>
      <c r="AC144" s="25">
        <v>0.0643730037304132</v>
      </c>
      <c r="AD144" s="25">
        <v>0.0817401036634591</v>
      </c>
      <c r="AE144" s="25">
        <v>0.850538741510684</v>
      </c>
      <c r="AF144" s="25">
        <v>0.0887041511126787</v>
      </c>
      <c r="AG144" s="25">
        <v>0.112921839101571</v>
      </c>
      <c r="AH144" s="25">
        <v>0.717117235306195</v>
      </c>
      <c r="AI144" s="25">
        <v>10.0</v>
      </c>
      <c r="AJ144" s="25">
        <v>2.07526357313374</v>
      </c>
      <c r="AK144" s="25">
        <v>6.98548454923646</v>
      </c>
      <c r="AL144" s="25">
        <v>2.64300672515914</v>
      </c>
      <c r="AM144" s="25">
        <v>0.740938894002731</v>
      </c>
      <c r="AN144" s="25">
        <v>1.57713859139513</v>
      </c>
      <c r="AO144" s="25">
        <v>4.01053708928457</v>
      </c>
      <c r="AP144" s="25">
        <v>2.00263253975475</v>
      </c>
      <c r="AQ144" s="25">
        <v>0.850538741510684</v>
      </c>
      <c r="AR144" s="25">
        <v>2.17325170226057</v>
      </c>
      <c r="AS144" s="25">
        <v>7.65399288308529</v>
      </c>
      <c r="AT144" s="25">
        <v>2.76658505798851</v>
      </c>
      <c r="AU144" s="25">
        <v>0.717117235306195</v>
      </c>
      <c r="AV144" s="26">
        <f t="shared" ref="AV144:AW144" si="291">(AC144-AC$289)/AC$290</f>
        <v>0.1432410413</v>
      </c>
      <c r="AW144" s="27">
        <f t="shared" si="291"/>
        <v>0.1473025608</v>
      </c>
      <c r="AX144" s="27">
        <f t="shared" si="5"/>
        <v>0.1521540193</v>
      </c>
      <c r="AY144" s="28">
        <f t="shared" si="6"/>
        <v>0.1532507972</v>
      </c>
      <c r="AZ144" s="29">
        <f t="shared" si="7"/>
        <v>0.2108158496</v>
      </c>
      <c r="BA144" s="28">
        <f t="shared" si="8"/>
        <v>0.2037963771</v>
      </c>
      <c r="BB144" s="29">
        <f t="shared" si="9"/>
        <v>0.03497002676</v>
      </c>
      <c r="BC144" s="27">
        <f t="shared" si="10"/>
        <v>0.1295861288</v>
      </c>
      <c r="BD144" s="28">
        <f t="shared" si="11"/>
        <v>0.1193844755</v>
      </c>
      <c r="BE144" s="30">
        <f t="shared" ref="BE144:BF144" si="292">((S144-S$289)/S$290)</f>
        <v>-0.7559696878</v>
      </c>
      <c r="BF144" s="30">
        <f t="shared" si="292"/>
        <v>-0.3287553942</v>
      </c>
    </row>
    <row r="145">
      <c r="A145" s="21" t="s">
        <v>88</v>
      </c>
      <c r="B145" s="22">
        <f t="shared" si="3"/>
        <v>0.05141992227</v>
      </c>
      <c r="C145" s="21" t="s">
        <v>68</v>
      </c>
      <c r="D145" s="21" t="s">
        <v>69</v>
      </c>
      <c r="E145" s="23">
        <v>177.0</v>
      </c>
      <c r="F145" s="24" t="s">
        <v>97</v>
      </c>
      <c r="G145" s="21" t="s">
        <v>82</v>
      </c>
      <c r="H145" s="24" t="s">
        <v>98</v>
      </c>
      <c r="I145" s="24" t="s">
        <v>73</v>
      </c>
      <c r="J145" s="24" t="s">
        <v>90</v>
      </c>
      <c r="K145" s="24" t="s">
        <v>101</v>
      </c>
      <c r="L145" s="21" t="s">
        <v>84</v>
      </c>
      <c r="M145" s="24" t="s">
        <v>77</v>
      </c>
      <c r="N145" s="21" t="s">
        <v>86</v>
      </c>
      <c r="O145" s="21" t="s">
        <v>79</v>
      </c>
      <c r="P145" s="21" t="s">
        <v>80</v>
      </c>
      <c r="Q145" s="24" t="s">
        <v>103</v>
      </c>
      <c r="S145" s="25">
        <v>354.645981550216</v>
      </c>
      <c r="T145" s="25">
        <v>519.206671953201</v>
      </c>
      <c r="U145" s="25">
        <v>1.83277102401726</v>
      </c>
      <c r="V145" s="25">
        <v>5.50832361530968</v>
      </c>
      <c r="W145" s="25">
        <v>2.34698180975262</v>
      </c>
      <c r="X145" s="25">
        <v>0.795955032201742</v>
      </c>
      <c r="Y145" s="25">
        <v>0.0570861271289522</v>
      </c>
      <c r="Z145" s="25">
        <v>0.00523750896635108</v>
      </c>
      <c r="AA145" s="25">
        <v>0.0723706360781158</v>
      </c>
      <c r="AB145" s="25">
        <v>0.88265841632464</v>
      </c>
      <c r="AC145" s="25">
        <v>0.0568835218308718</v>
      </c>
      <c r="AD145" s="25">
        <v>0.0721765973650757</v>
      </c>
      <c r="AE145" s="25">
        <v>0.883835154459135</v>
      </c>
      <c r="AF145" s="25">
        <v>0.0794769970594551</v>
      </c>
      <c r="AG145" s="25">
        <v>0.101282568352422</v>
      </c>
      <c r="AH145" s="25">
        <v>0.772363013808959</v>
      </c>
      <c r="AI145" s="25">
        <v>10.0</v>
      </c>
      <c r="AJ145" s="25">
        <v>1.83277102401723</v>
      </c>
      <c r="AK145" s="25">
        <v>5.50832361530968</v>
      </c>
      <c r="AL145" s="25">
        <v>2.34698180975262</v>
      </c>
      <c r="AM145" s="25">
        <v>0.795916695087443</v>
      </c>
      <c r="AN145" s="25">
        <v>1.39364628485634</v>
      </c>
      <c r="AO145" s="25">
        <v>3.12697908962195</v>
      </c>
      <c r="AP145" s="25">
        <v>1.76832663544435</v>
      </c>
      <c r="AQ145" s="25">
        <v>0.883835154459134</v>
      </c>
      <c r="AR145" s="25">
        <v>1.94718642795667</v>
      </c>
      <c r="AS145" s="25">
        <v>6.15745973090092</v>
      </c>
      <c r="AT145" s="25">
        <v>2.48142292463435</v>
      </c>
      <c r="AU145" s="25">
        <v>0.772363013808959</v>
      </c>
      <c r="AV145" s="26">
        <f t="shared" ref="AV145:AW145" si="293">(AC145-AC$289)/AC$290</f>
        <v>-0.01047802827</v>
      </c>
      <c r="AW145" s="27">
        <f t="shared" si="293"/>
        <v>-0.007237473918</v>
      </c>
      <c r="AX145" s="27">
        <f t="shared" si="5"/>
        <v>0.05640722217</v>
      </c>
      <c r="AY145" s="28">
        <f t="shared" si="6"/>
        <v>0.05834223957</v>
      </c>
      <c r="AZ145" s="29">
        <f t="shared" si="7"/>
        <v>0.08634637591</v>
      </c>
      <c r="BA145" s="28">
        <f t="shared" si="8"/>
        <v>0.08641687662</v>
      </c>
      <c r="BB145" s="29">
        <f t="shared" si="9"/>
        <v>-0.001431266882</v>
      </c>
      <c r="BC145" s="27">
        <f t="shared" si="10"/>
        <v>0.0466841275</v>
      </c>
      <c r="BD145" s="28">
        <f t="shared" si="11"/>
        <v>0.04747825532</v>
      </c>
      <c r="BE145" s="30">
        <f t="shared" ref="BE145:BF145" si="294">((S145-S$289)/S$290)</f>
        <v>-0.7445263691</v>
      </c>
      <c r="BF145" s="30">
        <f t="shared" si="294"/>
        <v>-0.1836211039</v>
      </c>
    </row>
    <row r="146">
      <c r="A146" s="21" t="s">
        <v>88</v>
      </c>
      <c r="B146" s="22">
        <f t="shared" si="3"/>
        <v>0.1677011167</v>
      </c>
      <c r="C146" s="21" t="s">
        <v>68</v>
      </c>
      <c r="D146" s="21" t="s">
        <v>69</v>
      </c>
      <c r="E146" s="23">
        <v>1.0</v>
      </c>
      <c r="F146" s="24" t="s">
        <v>70</v>
      </c>
      <c r="G146" s="21" t="s">
        <v>82</v>
      </c>
      <c r="H146" s="24" t="s">
        <v>83</v>
      </c>
      <c r="I146" s="24" t="s">
        <v>95</v>
      </c>
      <c r="J146" s="24" t="s">
        <v>99</v>
      </c>
      <c r="K146" s="24" t="s">
        <v>101</v>
      </c>
      <c r="L146" s="21" t="s">
        <v>84</v>
      </c>
      <c r="M146" s="24" t="s">
        <v>77</v>
      </c>
      <c r="N146" s="21" t="s">
        <v>86</v>
      </c>
      <c r="O146" s="21" t="s">
        <v>102</v>
      </c>
      <c r="P146" s="21" t="s">
        <v>80</v>
      </c>
      <c r="Q146" s="24" t="s">
        <v>81</v>
      </c>
      <c r="S146" s="25">
        <v>516.139826536178</v>
      </c>
      <c r="T146" s="25">
        <v>175.34732890129</v>
      </c>
      <c r="U146" s="25">
        <v>1.59401411918345</v>
      </c>
      <c r="V146" s="25">
        <v>4.26831752548375</v>
      </c>
      <c r="W146" s="25">
        <v>2.06599068862465</v>
      </c>
      <c r="X146" s="25">
        <v>0.83725078201971</v>
      </c>
      <c r="Y146" s="25">
        <v>0.0498557013096187</v>
      </c>
      <c r="Z146" s="25">
        <v>0.00401490251349162</v>
      </c>
      <c r="AA146" s="25">
        <v>0.0633632583875831</v>
      </c>
      <c r="AB146" s="25">
        <v>0.915963608374438</v>
      </c>
      <c r="AC146" s="25">
        <v>0.0499424668403245</v>
      </c>
      <c r="AD146" s="25">
        <v>0.0633754458120952</v>
      </c>
      <c r="AE146" s="25">
        <v>0.916354125276376</v>
      </c>
      <c r="AF146" s="25">
        <v>0.0818444215914588</v>
      </c>
      <c r="AG146" s="25">
        <v>0.105093996060731</v>
      </c>
      <c r="AH146" s="25">
        <v>0.771673855890639</v>
      </c>
      <c r="AI146" s="25">
        <v>10.0</v>
      </c>
      <c r="AJ146" s="25">
        <v>1.59401411918345</v>
      </c>
      <c r="AK146" s="25">
        <v>4.26831752548375</v>
      </c>
      <c r="AL146" s="25">
        <v>2.06599068862465</v>
      </c>
      <c r="AM146" s="25">
        <v>0.837184828409088</v>
      </c>
      <c r="AN146" s="25">
        <v>1.16463058090146</v>
      </c>
      <c r="AO146" s="25">
        <v>2.18412984936482</v>
      </c>
      <c r="AP146" s="25">
        <v>1.47788018775705</v>
      </c>
      <c r="AQ146" s="25">
        <v>0.916354125276376</v>
      </c>
      <c r="AR146" s="25">
        <v>1.90856644238973</v>
      </c>
      <c r="AS146" s="25">
        <v>6.00609519082886</v>
      </c>
      <c r="AT146" s="25">
        <v>2.45073360258288</v>
      </c>
      <c r="AU146" s="25">
        <v>0.771673855890639</v>
      </c>
      <c r="AV146" s="26">
        <f t="shared" ref="AV146:AW146" si="295">(AC146-AC$289)/AC$290</f>
        <v>-0.152940822</v>
      </c>
      <c r="AW146" s="27">
        <f t="shared" si="295"/>
        <v>-0.1494583524</v>
      </c>
      <c r="AX146" s="27">
        <f t="shared" si="5"/>
        <v>0.04005026538</v>
      </c>
      <c r="AY146" s="28">
        <f t="shared" si="6"/>
        <v>0.04812812293</v>
      </c>
      <c r="AZ146" s="29">
        <f t="shared" si="7"/>
        <v>-0.0362056216</v>
      </c>
      <c r="BA146" s="28">
        <f t="shared" si="8"/>
        <v>-0.02500143895</v>
      </c>
      <c r="BB146" s="29">
        <f t="shared" si="9"/>
        <v>-0.03698262215</v>
      </c>
      <c r="BC146" s="27">
        <f t="shared" si="10"/>
        <v>0.0477182802</v>
      </c>
      <c r="BD146" s="28">
        <f t="shared" si="11"/>
        <v>-0.00649690233</v>
      </c>
      <c r="BE146" s="30">
        <f t="shared" ref="BE146:BF146" si="296">((S146-S$289)/S$290)</f>
        <v>-0.7022762138</v>
      </c>
      <c r="BF146" s="30">
        <f t="shared" si="296"/>
        <v>-0.8712469787</v>
      </c>
    </row>
    <row r="147">
      <c r="A147" s="21" t="s">
        <v>67</v>
      </c>
      <c r="B147" s="22">
        <f t="shared" si="3"/>
        <v>-0.3803762429</v>
      </c>
      <c r="C147" s="21" t="s">
        <v>68</v>
      </c>
      <c r="D147" s="21" t="s">
        <v>69</v>
      </c>
      <c r="E147" s="23">
        <v>141.0</v>
      </c>
      <c r="F147" s="24" t="s">
        <v>70</v>
      </c>
      <c r="G147" s="21" t="s">
        <v>71</v>
      </c>
      <c r="H147" s="24" t="s">
        <v>72</v>
      </c>
      <c r="I147" s="24" t="s">
        <v>73</v>
      </c>
      <c r="J147" s="24" t="s">
        <v>99</v>
      </c>
      <c r="K147" s="24" t="s">
        <v>75</v>
      </c>
      <c r="L147" s="21" t="s">
        <v>76</v>
      </c>
      <c r="M147" s="24" t="s">
        <v>85</v>
      </c>
      <c r="N147" s="21" t="s">
        <v>78</v>
      </c>
      <c r="O147" s="21" t="s">
        <v>102</v>
      </c>
      <c r="P147" s="21" t="s">
        <v>80</v>
      </c>
      <c r="Q147" s="24" t="s">
        <v>81</v>
      </c>
      <c r="R147" s="24" t="s">
        <v>89</v>
      </c>
      <c r="S147" s="25">
        <v>86.4559340476989</v>
      </c>
      <c r="T147" s="25">
        <v>219.945953845977</v>
      </c>
      <c r="U147" s="25">
        <v>3.23416205450872</v>
      </c>
      <c r="V147" s="25">
        <v>15.1581543977119</v>
      </c>
      <c r="W147" s="25">
        <v>3.89334745401845</v>
      </c>
      <c r="X147" s="25">
        <v>0.417573829602534</v>
      </c>
      <c r="Y147" s="25">
        <v>0.115137814879003</v>
      </c>
      <c r="Z147" s="25">
        <v>0.019248912887237</v>
      </c>
      <c r="AA147" s="25">
        <v>0.138740451517345</v>
      </c>
      <c r="AB147" s="25">
        <v>0.593392177153077</v>
      </c>
      <c r="AC147" s="25">
        <v>0.115140003141309</v>
      </c>
      <c r="AD147" s="25">
        <v>0.138532432557795</v>
      </c>
      <c r="AE147" s="25">
        <v>0.596969734844376</v>
      </c>
      <c r="AF147" s="25">
        <v>0.120126574059211</v>
      </c>
      <c r="AG147" s="25">
        <v>0.146992459569254</v>
      </c>
      <c r="AH147" s="25">
        <v>0.550744564380615</v>
      </c>
      <c r="AI147" s="25">
        <v>10.0</v>
      </c>
      <c r="AJ147" s="25">
        <v>3.23416205450872</v>
      </c>
      <c r="AK147" s="25">
        <v>15.1581543977119</v>
      </c>
      <c r="AL147" s="25">
        <v>3.89334745401845</v>
      </c>
      <c r="AM147" s="25">
        <v>0.417431398677101</v>
      </c>
      <c r="AN147" s="25">
        <v>2.68500090658691</v>
      </c>
      <c r="AO147" s="25">
        <v>10.4361261458779</v>
      </c>
      <c r="AP147" s="25">
        <v>3.23049936478525</v>
      </c>
      <c r="AQ147" s="25">
        <v>0.596969734844376</v>
      </c>
      <c r="AR147" s="25">
        <v>2.80128497007523</v>
      </c>
      <c r="AS147" s="25">
        <v>11.7496928308173</v>
      </c>
      <c r="AT147" s="25">
        <v>3.42778249467748</v>
      </c>
      <c r="AU147" s="25">
        <v>0.550744564380615</v>
      </c>
      <c r="AV147" s="26">
        <f t="shared" ref="AV147:AW147" si="297">(AC147-AC$289)/AC$290</f>
        <v>1.185216443</v>
      </c>
      <c r="AW147" s="27">
        <f t="shared" si="297"/>
        <v>1.065029617</v>
      </c>
      <c r="AX147" s="27">
        <f t="shared" si="5"/>
        <v>0.4181487595</v>
      </c>
      <c r="AY147" s="28">
        <f t="shared" si="6"/>
        <v>0.3733126066</v>
      </c>
      <c r="AZ147" s="29">
        <f t="shared" si="7"/>
        <v>0.8056691122</v>
      </c>
      <c r="BA147" s="28">
        <f t="shared" si="8"/>
        <v>0.6995802202</v>
      </c>
      <c r="BB147" s="29">
        <f t="shared" si="9"/>
        <v>0.3121842686</v>
      </c>
      <c r="BC147" s="27">
        <f t="shared" si="10"/>
        <v>0.3792455192</v>
      </c>
      <c r="BD147" s="28">
        <f t="shared" si="11"/>
        <v>0.5425043662</v>
      </c>
      <c r="BE147" s="30">
        <f t="shared" ref="BE147:BF147" si="298">((S147-S$289)/S$290)</f>
        <v>-0.8146904745</v>
      </c>
      <c r="BF147" s="30">
        <f t="shared" si="298"/>
        <v>-0.7820617664</v>
      </c>
    </row>
    <row r="148">
      <c r="A148" s="21" t="s">
        <v>88</v>
      </c>
      <c r="B148" s="22">
        <f t="shared" si="3"/>
        <v>-0.02782227961</v>
      </c>
      <c r="C148" s="21" t="s">
        <v>68</v>
      </c>
      <c r="D148" s="21" t="s">
        <v>69</v>
      </c>
      <c r="E148" s="23">
        <v>178.0</v>
      </c>
      <c r="F148" s="24" t="s">
        <v>97</v>
      </c>
      <c r="G148" s="21" t="s">
        <v>82</v>
      </c>
      <c r="H148" s="24" t="s">
        <v>98</v>
      </c>
      <c r="I148" s="24" t="s">
        <v>73</v>
      </c>
      <c r="J148" s="24" t="s">
        <v>74</v>
      </c>
      <c r="K148" s="24" t="s">
        <v>101</v>
      </c>
      <c r="L148" s="21" t="s">
        <v>76</v>
      </c>
      <c r="M148" s="24" t="s">
        <v>77</v>
      </c>
      <c r="N148" s="21" t="s">
        <v>104</v>
      </c>
      <c r="O148" s="21" t="s">
        <v>91</v>
      </c>
      <c r="P148" s="21" t="s">
        <v>80</v>
      </c>
      <c r="Q148" s="24" t="s">
        <v>81</v>
      </c>
      <c r="S148" s="25">
        <v>303.769113063812</v>
      </c>
      <c r="T148" s="25">
        <v>520.920510530471</v>
      </c>
      <c r="U148" s="25">
        <v>2.01604693210688</v>
      </c>
      <c r="V148" s="25">
        <v>6.51467531064163</v>
      </c>
      <c r="W148" s="25">
        <v>2.55238619935182</v>
      </c>
      <c r="X148" s="25">
        <v>0.758668207447062</v>
      </c>
      <c r="Y148" s="25">
        <v>0.0666908007154197</v>
      </c>
      <c r="Z148" s="25">
        <v>0.0071143887218441</v>
      </c>
      <c r="AA148" s="25">
        <v>0.0843468358733397</v>
      </c>
      <c r="AB148" s="25">
        <v>0.840608647189598</v>
      </c>
      <c r="AC148" s="25">
        <v>0.0664492761896895</v>
      </c>
      <c r="AD148" s="25">
        <v>0.0841178886717237</v>
      </c>
      <c r="AE148" s="25">
        <v>0.842217570853894</v>
      </c>
      <c r="AF148" s="25">
        <v>0.0877617706387176</v>
      </c>
      <c r="AG148" s="25">
        <v>0.110263470250661</v>
      </c>
      <c r="AH148" s="25">
        <v>0.73020324067878</v>
      </c>
      <c r="AI148" s="25">
        <v>10.0</v>
      </c>
      <c r="AJ148" s="25">
        <v>2.01604693210683</v>
      </c>
      <c r="AK148" s="25">
        <v>6.51467531064163</v>
      </c>
      <c r="AL148" s="25">
        <v>2.55238619935182</v>
      </c>
      <c r="AM148" s="25">
        <v>0.758631380310934</v>
      </c>
      <c r="AN148" s="25">
        <v>1.62800726664738</v>
      </c>
      <c r="AO148" s="25">
        <v>4.24726047155175</v>
      </c>
      <c r="AP148" s="25">
        <v>2.06088827245723</v>
      </c>
      <c r="AQ148" s="25">
        <v>0.842217570853894</v>
      </c>
      <c r="AR148" s="25">
        <v>2.1501633806485</v>
      </c>
      <c r="AS148" s="25">
        <v>7.29785923124897</v>
      </c>
      <c r="AT148" s="25">
        <v>2.70145502114119</v>
      </c>
      <c r="AU148" s="25">
        <v>0.73020324067878</v>
      </c>
      <c r="AV148" s="26">
        <f t="shared" ref="AV148:AW148" si="299">(AC148-AC$289)/AC$290</f>
        <v>0.1858558276</v>
      </c>
      <c r="AW148" s="27">
        <f t="shared" si="299"/>
        <v>0.1857260183</v>
      </c>
      <c r="AX148" s="27">
        <f t="shared" si="5"/>
        <v>0.1423752824</v>
      </c>
      <c r="AY148" s="28">
        <f t="shared" si="6"/>
        <v>0.1315740136</v>
      </c>
      <c r="AZ148" s="29">
        <f t="shared" si="7"/>
        <v>0.1804204244</v>
      </c>
      <c r="BA148" s="28">
        <f t="shared" si="8"/>
        <v>0.1678636177</v>
      </c>
      <c r="BB148" s="29">
        <f t="shared" si="9"/>
        <v>0.04406714413</v>
      </c>
      <c r="BC148" s="27">
        <f t="shared" si="10"/>
        <v>0.1099492251</v>
      </c>
      <c r="BD148" s="28">
        <f t="shared" si="11"/>
        <v>0.09624422996</v>
      </c>
      <c r="BE148" s="30">
        <f t="shared" ref="BE148:BF148" si="300">((S148-S$289)/S$290)</f>
        <v>-0.7578368182</v>
      </c>
      <c r="BF148" s="30">
        <f t="shared" si="300"/>
        <v>-0.1801938893</v>
      </c>
    </row>
    <row r="149">
      <c r="A149" s="21" t="s">
        <v>88</v>
      </c>
      <c r="B149" s="22">
        <f t="shared" si="3"/>
        <v>-0.2251622356</v>
      </c>
      <c r="C149" s="21" t="s">
        <v>68</v>
      </c>
      <c r="D149" s="21" t="s">
        <v>69</v>
      </c>
      <c r="E149" s="23">
        <v>217.0</v>
      </c>
      <c r="F149" s="24" t="s">
        <v>97</v>
      </c>
      <c r="G149" s="21" t="s">
        <v>71</v>
      </c>
      <c r="H149" s="24" t="s">
        <v>105</v>
      </c>
      <c r="I149" s="24" t="s">
        <v>73</v>
      </c>
      <c r="J149" s="24" t="s">
        <v>90</v>
      </c>
      <c r="K149" s="24" t="s">
        <v>75</v>
      </c>
      <c r="L149" s="21" t="s">
        <v>76</v>
      </c>
      <c r="M149" s="24" t="s">
        <v>77</v>
      </c>
      <c r="N149" s="21" t="s">
        <v>86</v>
      </c>
      <c r="O149" s="21" t="s">
        <v>102</v>
      </c>
      <c r="P149" s="21" t="s">
        <v>80</v>
      </c>
      <c r="Q149" s="24" t="s">
        <v>81</v>
      </c>
      <c r="S149" s="25">
        <v>161.845904111862</v>
      </c>
      <c r="T149" s="25">
        <v>438.837797641754</v>
      </c>
      <c r="U149" s="25">
        <v>2.59223665698733</v>
      </c>
      <c r="V149" s="25">
        <v>9.77237424811886</v>
      </c>
      <c r="W149" s="25">
        <v>3.12607969318104</v>
      </c>
      <c r="X149" s="25">
        <v>0.637659083420561</v>
      </c>
      <c r="Y149" s="25">
        <v>0.0897410496751579</v>
      </c>
      <c r="Z149" s="25">
        <v>0.0118352483253653</v>
      </c>
      <c r="AA149" s="25">
        <v>0.108789927499586</v>
      </c>
      <c r="AB149" s="25">
        <v>0.733803930788454</v>
      </c>
      <c r="AC149" s="25">
        <v>0.0890166513636771</v>
      </c>
      <c r="AD149" s="25">
        <v>0.108245988588027</v>
      </c>
      <c r="AE149" s="25">
        <v>0.73789102705372</v>
      </c>
      <c r="AF149" s="25">
        <v>0.113733245085107</v>
      </c>
      <c r="AG149" s="25">
        <v>0.137915713648271</v>
      </c>
      <c r="AH149" s="25">
        <v>0.578033372760714</v>
      </c>
      <c r="AI149" s="25">
        <v>10.0</v>
      </c>
      <c r="AJ149" s="25">
        <v>2.59223665698717</v>
      </c>
      <c r="AK149" s="25">
        <v>9.77237424811886</v>
      </c>
      <c r="AL149" s="25">
        <v>3.12607969318104</v>
      </c>
      <c r="AM149" s="25">
        <v>0.637585329536857</v>
      </c>
      <c r="AN149" s="25">
        <v>2.18090795841007</v>
      </c>
      <c r="AO149" s="25">
        <v>7.03324572575095</v>
      </c>
      <c r="AP149" s="25">
        <v>2.65202672040666</v>
      </c>
      <c r="AQ149" s="25">
        <v>0.73789102705372</v>
      </c>
      <c r="AR149" s="25">
        <v>2.78646450458502</v>
      </c>
      <c r="AS149" s="25">
        <v>11.4172016286849</v>
      </c>
      <c r="AT149" s="25">
        <v>3.37893498438264</v>
      </c>
      <c r="AU149" s="25">
        <v>0.578033372760714</v>
      </c>
      <c r="AV149" s="26">
        <f t="shared" ref="AV149:AW149" si="301">(AC149-AC$289)/AC$290</f>
        <v>0.6490435301</v>
      </c>
      <c r="AW149" s="27">
        <f t="shared" si="301"/>
        <v>0.5756204026</v>
      </c>
      <c r="AX149" s="27">
        <f t="shared" si="5"/>
        <v>0.4118717578</v>
      </c>
      <c r="AY149" s="28">
        <f t="shared" si="6"/>
        <v>0.3570550247</v>
      </c>
      <c r="AZ149" s="29">
        <f t="shared" si="7"/>
        <v>0.4761739724</v>
      </c>
      <c r="BA149" s="28">
        <f t="shared" si="8"/>
        <v>0.3953439825</v>
      </c>
      <c r="BB149" s="29">
        <f t="shared" si="9"/>
        <v>0.1581221074</v>
      </c>
      <c r="BC149" s="27">
        <f t="shared" si="10"/>
        <v>0.3382958414</v>
      </c>
      <c r="BD149" s="28">
        <f t="shared" si="11"/>
        <v>0.2545620202</v>
      </c>
      <c r="BE149" s="30">
        <f t="shared" ref="BE149:BF149" si="302">((S149-S$289)/S$290)</f>
        <v>-0.7949668873</v>
      </c>
      <c r="BF149" s="30">
        <f t="shared" si="302"/>
        <v>-0.3443371601</v>
      </c>
    </row>
    <row r="150">
      <c r="A150" s="21" t="s">
        <v>88</v>
      </c>
      <c r="B150" s="22">
        <f t="shared" si="3"/>
        <v>0.08852656079</v>
      </c>
      <c r="C150" s="21" t="s">
        <v>68</v>
      </c>
      <c r="D150" s="21" t="s">
        <v>69</v>
      </c>
      <c r="E150" s="23">
        <v>77.0</v>
      </c>
      <c r="F150" s="24" t="s">
        <v>70</v>
      </c>
      <c r="G150" s="21" t="s">
        <v>71</v>
      </c>
      <c r="H150" s="24" t="s">
        <v>72</v>
      </c>
      <c r="I150" s="24" t="s">
        <v>95</v>
      </c>
      <c r="J150" s="24" t="s">
        <v>99</v>
      </c>
      <c r="K150" s="24" t="s">
        <v>101</v>
      </c>
      <c r="L150" s="21" t="s">
        <v>84</v>
      </c>
      <c r="M150" s="24" t="s">
        <v>77</v>
      </c>
      <c r="N150" s="21" t="s">
        <v>78</v>
      </c>
      <c r="O150" s="21" t="s">
        <v>102</v>
      </c>
      <c r="P150" s="21" t="s">
        <v>80</v>
      </c>
      <c r="Q150" s="24" t="s">
        <v>87</v>
      </c>
      <c r="S150" s="25">
        <v>474.875926256179</v>
      </c>
      <c r="T150" s="25">
        <v>169.987588405609</v>
      </c>
      <c r="U150" s="25">
        <v>1.85430411617215</v>
      </c>
      <c r="V150" s="25">
        <v>5.74354908182154</v>
      </c>
      <c r="W150" s="25">
        <v>2.3965702747513</v>
      </c>
      <c r="X150" s="25">
        <v>0.781004959715254</v>
      </c>
      <c r="Y150" s="25">
        <v>0.0620212118937523</v>
      </c>
      <c r="Z150" s="25">
        <v>0.00619130722308119</v>
      </c>
      <c r="AA150" s="25">
        <v>0.0786848601897544</v>
      </c>
      <c r="AB150" s="25">
        <v>0.869834018940151</v>
      </c>
      <c r="AC150" s="25">
        <v>0.0618926998968987</v>
      </c>
      <c r="AD150" s="25">
        <v>0.078454581140112</v>
      </c>
      <c r="AE150" s="25">
        <v>0.871380278454305</v>
      </c>
      <c r="AF150" s="25">
        <v>0.082024221196879</v>
      </c>
      <c r="AG150" s="25">
        <v>0.106140955531284</v>
      </c>
      <c r="AH150" s="25">
        <v>0.767609145867955</v>
      </c>
      <c r="AI150" s="25">
        <v>10.0</v>
      </c>
      <c r="AJ150" s="25">
        <v>1.85430411617215</v>
      </c>
      <c r="AK150" s="25">
        <v>5.74354908182154</v>
      </c>
      <c r="AL150" s="25">
        <v>2.3965702747513</v>
      </c>
      <c r="AM150" s="25">
        <v>0.780884760205002</v>
      </c>
      <c r="AN150" s="25">
        <v>1.44330337676241</v>
      </c>
      <c r="AO150" s="25">
        <v>3.34713335454207</v>
      </c>
      <c r="AP150" s="25">
        <v>1.829517246309</v>
      </c>
      <c r="AQ150" s="25">
        <v>0.871380278454305</v>
      </c>
      <c r="AR150" s="25">
        <v>1.91275926929946</v>
      </c>
      <c r="AS150" s="25">
        <v>6.12635819510891</v>
      </c>
      <c r="AT150" s="25">
        <v>2.47514811579204</v>
      </c>
      <c r="AU150" s="25">
        <v>0.767609145867955</v>
      </c>
      <c r="AV150" s="26">
        <f t="shared" ref="AV150:AW150" si="303">(AC150-AC$289)/AC$290</f>
        <v>0.0923336484</v>
      </c>
      <c r="AW150" s="27">
        <f t="shared" si="303"/>
        <v>0.09421065613</v>
      </c>
      <c r="AX150" s="27">
        <f t="shared" si="5"/>
        <v>0.0418260788</v>
      </c>
      <c r="AY150" s="28">
        <f t="shared" si="6"/>
        <v>0.05625383796</v>
      </c>
      <c r="AZ150" s="29">
        <f t="shared" si="7"/>
        <v>0.0973991388</v>
      </c>
      <c r="BA150" s="28">
        <f t="shared" si="8"/>
        <v>0.1060796447</v>
      </c>
      <c r="BB150" s="29">
        <f t="shared" si="9"/>
        <v>0.01218502264</v>
      </c>
      <c r="BC150" s="27">
        <f t="shared" si="10"/>
        <v>0.05381779775</v>
      </c>
      <c r="BD150" s="28">
        <f t="shared" si="11"/>
        <v>0.06713872914</v>
      </c>
      <c r="BE150" s="30">
        <f t="shared" ref="BE150:BF150" si="304">((S150-S$289)/S$290)</f>
        <v>-0.71307171</v>
      </c>
      <c r="BF150" s="30">
        <f t="shared" si="304"/>
        <v>-0.881965013</v>
      </c>
    </row>
    <row r="151">
      <c r="A151" s="21" t="s">
        <v>88</v>
      </c>
      <c r="B151" s="22">
        <f t="shared" si="3"/>
        <v>0.1616435516</v>
      </c>
      <c r="C151" s="21" t="s">
        <v>68</v>
      </c>
      <c r="D151" s="21" t="s">
        <v>69</v>
      </c>
      <c r="E151" s="23">
        <v>224.0</v>
      </c>
      <c r="F151" s="24" t="s">
        <v>97</v>
      </c>
      <c r="G151" s="21" t="s">
        <v>71</v>
      </c>
      <c r="H151" s="24" t="s">
        <v>105</v>
      </c>
      <c r="I151" s="24" t="s">
        <v>95</v>
      </c>
      <c r="J151" s="24" t="s">
        <v>74</v>
      </c>
      <c r="K151" s="24" t="s">
        <v>75</v>
      </c>
      <c r="L151" s="21" t="s">
        <v>84</v>
      </c>
      <c r="M151" s="24" t="s">
        <v>77</v>
      </c>
      <c r="N151" s="21" t="s">
        <v>86</v>
      </c>
      <c r="O151" s="21" t="s">
        <v>91</v>
      </c>
      <c r="P151" s="21" t="s">
        <v>80</v>
      </c>
      <c r="Q151" s="24" t="s">
        <v>87</v>
      </c>
      <c r="S151" s="25">
        <v>450.501400470733</v>
      </c>
      <c r="T151" s="25">
        <v>556.596911668777</v>
      </c>
      <c r="U151" s="25">
        <v>1.6259992282143</v>
      </c>
      <c r="V151" s="25">
        <v>4.49156244128642</v>
      </c>
      <c r="W151" s="25">
        <v>2.1193306587898</v>
      </c>
      <c r="X151" s="25">
        <v>0.833637342980708</v>
      </c>
      <c r="Y151" s="25">
        <v>0.0387806676437603</v>
      </c>
      <c r="Z151" s="25">
        <v>0.00239911281403578</v>
      </c>
      <c r="AA151" s="25">
        <v>0.0489807392148769</v>
      </c>
      <c r="AB151" s="25">
        <v>0.946092540997018</v>
      </c>
      <c r="AC151" s="25">
        <v>0.038498512653218</v>
      </c>
      <c r="AD151" s="25">
        <v>0.0487531064761094</v>
      </c>
      <c r="AE151" s="25">
        <v>0.946889385673252</v>
      </c>
      <c r="AF151" s="25">
        <v>0.0702152831810896</v>
      </c>
      <c r="AG151" s="25">
        <v>0.0913159057147066</v>
      </c>
      <c r="AH151" s="25">
        <v>0.815340819471364</v>
      </c>
      <c r="AI151" s="25">
        <v>10.0</v>
      </c>
      <c r="AJ151" s="25">
        <v>1.62599922821431</v>
      </c>
      <c r="AK151" s="25">
        <v>4.49156244128642</v>
      </c>
      <c r="AL151" s="25">
        <v>2.1193306587898</v>
      </c>
      <c r="AM151" s="25">
        <v>0.833571668114456</v>
      </c>
      <c r="AN151" s="25">
        <v>0.943213560003834</v>
      </c>
      <c r="AO151" s="25">
        <v>1.42671345099028</v>
      </c>
      <c r="AP151" s="25">
        <v>1.19445110866468</v>
      </c>
      <c r="AQ151" s="25">
        <v>0.946889385673252</v>
      </c>
      <c r="AR151" s="25">
        <v>1.72027443793671</v>
      </c>
      <c r="AS151" s="25">
        <v>5.00524143055743</v>
      </c>
      <c r="AT151" s="25">
        <v>2.23723969001031</v>
      </c>
      <c r="AU151" s="25">
        <v>0.815340819471364</v>
      </c>
      <c r="AV151" s="26">
        <f t="shared" ref="AV151:AW151" si="305">(AC151-AC$289)/AC$290</f>
        <v>-0.3878240907</v>
      </c>
      <c r="AW151" s="27">
        <f t="shared" si="305"/>
        <v>-0.3857458351</v>
      </c>
      <c r="AX151" s="27">
        <f t="shared" si="5"/>
        <v>-0.03969818962</v>
      </c>
      <c r="AY151" s="28">
        <f t="shared" si="6"/>
        <v>-0.0229275922</v>
      </c>
      <c r="AZ151" s="29">
        <f t="shared" si="7"/>
        <v>-0.01978792258</v>
      </c>
      <c r="BA151" s="28">
        <f t="shared" si="8"/>
        <v>-0.003851127852</v>
      </c>
      <c r="BB151" s="29">
        <f t="shared" si="9"/>
        <v>-0.07036528658</v>
      </c>
      <c r="BC151" s="27">
        <f t="shared" si="10"/>
        <v>-0.01780851243</v>
      </c>
      <c r="BD151" s="28">
        <f t="shared" si="11"/>
        <v>-0.001771200419</v>
      </c>
      <c r="BE151" s="30">
        <f t="shared" ref="BE151:BF151" si="306">((S151-S$289)/S$290)</f>
        <v>-0.7194485939</v>
      </c>
      <c r="BF151" s="30">
        <f t="shared" si="306"/>
        <v>-0.1088507165</v>
      </c>
    </row>
    <row r="152">
      <c r="A152" s="21" t="s">
        <v>88</v>
      </c>
      <c r="B152" s="22">
        <f t="shared" si="3"/>
        <v>-0.003599149746</v>
      </c>
      <c r="C152" s="21" t="s">
        <v>68</v>
      </c>
      <c r="D152" s="21" t="s">
        <v>69</v>
      </c>
      <c r="E152" s="23">
        <v>11.0</v>
      </c>
      <c r="F152" s="24" t="s">
        <v>70</v>
      </c>
      <c r="G152" s="21" t="s">
        <v>82</v>
      </c>
      <c r="H152" s="24" t="s">
        <v>83</v>
      </c>
      <c r="I152" s="24" t="s">
        <v>95</v>
      </c>
      <c r="J152" s="24" t="s">
        <v>99</v>
      </c>
      <c r="K152" s="24" t="s">
        <v>75</v>
      </c>
      <c r="L152" s="21" t="s">
        <v>92</v>
      </c>
      <c r="M152" s="24" t="s">
        <v>85</v>
      </c>
      <c r="N152" s="21" t="s">
        <v>104</v>
      </c>
      <c r="O152" s="21" t="s">
        <v>79</v>
      </c>
      <c r="P152" s="21" t="s">
        <v>80</v>
      </c>
      <c r="Q152" s="24" t="s">
        <v>94</v>
      </c>
      <c r="R152" s="24" t="s">
        <v>81</v>
      </c>
      <c r="S152" s="25">
        <v>398.083439111709</v>
      </c>
      <c r="T152" s="25">
        <v>198.927922487258</v>
      </c>
      <c r="U152" s="25">
        <v>2.1392921751249</v>
      </c>
      <c r="V152" s="25">
        <v>7.136847438961</v>
      </c>
      <c r="W152" s="25">
        <v>2.67148786988842</v>
      </c>
      <c r="X152" s="25">
        <v>0.72784077245964</v>
      </c>
      <c r="Y152" s="25">
        <v>0.0703784810825592</v>
      </c>
      <c r="Z152" s="25">
        <v>0.00793945239804709</v>
      </c>
      <c r="AA152" s="25">
        <v>0.0891036048543889</v>
      </c>
      <c r="AB152" s="25">
        <v>0.833818398137256</v>
      </c>
      <c r="AC152" s="25">
        <v>0.070307964250729</v>
      </c>
      <c r="AD152" s="25">
        <v>0.0889574800170002</v>
      </c>
      <c r="AE152" s="25">
        <v>0.835196126175652</v>
      </c>
      <c r="AF152" s="25">
        <v>0.0941393025100389</v>
      </c>
      <c r="AG152" s="25">
        <v>0.116264373568308</v>
      </c>
      <c r="AH152" s="25">
        <v>0.720557059374006</v>
      </c>
      <c r="AI152" s="25">
        <v>10.0</v>
      </c>
      <c r="AJ152" s="25">
        <v>2.1392921751249</v>
      </c>
      <c r="AK152" s="25">
        <v>7.136847438961</v>
      </c>
      <c r="AL152" s="25">
        <v>2.67148786988842</v>
      </c>
      <c r="AM152" s="25">
        <v>0.72776462073053</v>
      </c>
      <c r="AN152" s="25">
        <v>1.63954266634688</v>
      </c>
      <c r="AO152" s="25">
        <v>4.3032972193792</v>
      </c>
      <c r="AP152" s="25">
        <v>2.07443901317421</v>
      </c>
      <c r="AQ152" s="25">
        <v>0.835196126175652</v>
      </c>
      <c r="AR152" s="25">
        <v>2.19527623492161</v>
      </c>
      <c r="AS152" s="25">
        <v>7.35071714346024</v>
      </c>
      <c r="AT152" s="25">
        <v>2.71122060029431</v>
      </c>
      <c r="AU152" s="25">
        <v>0.720557059374006</v>
      </c>
      <c r="AV152" s="26">
        <f t="shared" ref="AV152:AW152" si="307">(AC152-AC$289)/AC$290</f>
        <v>0.2650540881</v>
      </c>
      <c r="AW152" s="27">
        <f t="shared" si="307"/>
        <v>0.2639306633</v>
      </c>
      <c r="AX152" s="27">
        <f t="shared" si="5"/>
        <v>0.1614822033</v>
      </c>
      <c r="AY152" s="28">
        <f t="shared" si="6"/>
        <v>0.1348242244</v>
      </c>
      <c r="AZ152" s="29">
        <f t="shared" si="7"/>
        <v>0.2436812156</v>
      </c>
      <c r="BA152" s="28">
        <f t="shared" si="8"/>
        <v>0.2150896919</v>
      </c>
      <c r="BB152" s="29">
        <f t="shared" si="9"/>
        <v>0.05174333646</v>
      </c>
      <c r="BC152" s="27">
        <f t="shared" si="10"/>
        <v>0.1244243172</v>
      </c>
      <c r="BD152" s="28">
        <f t="shared" si="11"/>
        <v>0.1366152882</v>
      </c>
      <c r="BE152" s="30">
        <f t="shared" ref="BE152:BF152" si="308">((S152-S$289)/S$290)</f>
        <v>-0.733162225</v>
      </c>
      <c r="BF152" s="30">
        <f t="shared" si="308"/>
        <v>-0.8240921562</v>
      </c>
    </row>
    <row r="153">
      <c r="A153" s="21" t="s">
        <v>88</v>
      </c>
      <c r="B153" s="22">
        <f t="shared" si="3"/>
        <v>0.072921751</v>
      </c>
      <c r="C153" s="21" t="s">
        <v>68</v>
      </c>
      <c r="D153" s="21" t="s">
        <v>69</v>
      </c>
      <c r="E153" s="23">
        <v>8.0</v>
      </c>
      <c r="F153" s="24" t="s">
        <v>70</v>
      </c>
      <c r="G153" s="21" t="s">
        <v>82</v>
      </c>
      <c r="H153" s="24" t="s">
        <v>83</v>
      </c>
      <c r="I153" s="24" t="s">
        <v>95</v>
      </c>
      <c r="J153" s="24" t="s">
        <v>90</v>
      </c>
      <c r="K153" s="24" t="s">
        <v>75</v>
      </c>
      <c r="L153" s="21" t="s">
        <v>92</v>
      </c>
      <c r="M153" s="24" t="s">
        <v>85</v>
      </c>
      <c r="N153" s="21" t="s">
        <v>104</v>
      </c>
      <c r="O153" s="21" t="s">
        <v>91</v>
      </c>
      <c r="P153" s="21" t="s">
        <v>80</v>
      </c>
      <c r="Q153" s="24" t="s">
        <v>81</v>
      </c>
      <c r="R153" s="24" t="s">
        <v>94</v>
      </c>
      <c r="S153" s="25">
        <v>472.25502538681</v>
      </c>
      <c r="T153" s="25">
        <v>198.262793540954</v>
      </c>
      <c r="U153" s="25">
        <v>1.78787377777238</v>
      </c>
      <c r="V153" s="25">
        <v>5.15544507979788</v>
      </c>
      <c r="W153" s="25">
        <v>2.27056052106035</v>
      </c>
      <c r="X153" s="25">
        <v>0.803386102608548</v>
      </c>
      <c r="Y153" s="25">
        <v>0.066266953229596</v>
      </c>
      <c r="Z153" s="25">
        <v>0.0069373611564866</v>
      </c>
      <c r="AA153" s="25">
        <v>0.0832908227626945</v>
      </c>
      <c r="AB153" s="25">
        <v>0.854793286503123</v>
      </c>
      <c r="AC153" s="25">
        <v>0.0659304225998625</v>
      </c>
      <c r="AD153" s="25">
        <v>0.0830370776689835</v>
      </c>
      <c r="AE153" s="25">
        <v>0.856402597012055</v>
      </c>
      <c r="AF153" s="25">
        <v>0.0856133524090889</v>
      </c>
      <c r="AG153" s="25">
        <v>0.10751204011349</v>
      </c>
      <c r="AH153" s="25">
        <v>0.761046147483298</v>
      </c>
      <c r="AI153" s="25">
        <v>10.0</v>
      </c>
      <c r="AJ153" s="25">
        <v>1.78787377777238</v>
      </c>
      <c r="AK153" s="25">
        <v>5.15544507979788</v>
      </c>
      <c r="AL153" s="25">
        <v>2.27056052106035</v>
      </c>
      <c r="AM153" s="25">
        <v>0.803345306368771</v>
      </c>
      <c r="AN153" s="25">
        <v>1.53746082701625</v>
      </c>
      <c r="AO153" s="25">
        <v>3.74956177090059</v>
      </c>
      <c r="AP153" s="25">
        <v>1.93637851953087</v>
      </c>
      <c r="AQ153" s="25">
        <v>0.856402597012055</v>
      </c>
      <c r="AR153" s="25">
        <v>1.9964558152064</v>
      </c>
      <c r="AS153" s="25">
        <v>6.2856559419809</v>
      </c>
      <c r="AT153" s="25">
        <v>2.50712104653542</v>
      </c>
      <c r="AU153" s="25">
        <v>0.761046147483297</v>
      </c>
      <c r="AV153" s="26">
        <f t="shared" ref="AV153:AW153" si="309">(AC153-AC$289)/AC$290</f>
        <v>0.175206534</v>
      </c>
      <c r="AW153" s="27">
        <f t="shared" si="309"/>
        <v>0.1682608163</v>
      </c>
      <c r="AX153" s="27">
        <f t="shared" si="5"/>
        <v>0.07727458467</v>
      </c>
      <c r="AY153" s="28">
        <f t="shared" si="6"/>
        <v>0.06689516928</v>
      </c>
      <c r="AZ153" s="29">
        <f t="shared" si="7"/>
        <v>0.06330098079</v>
      </c>
      <c r="BA153" s="28">
        <f t="shared" si="8"/>
        <v>0.05611438441</v>
      </c>
      <c r="BB153" s="29">
        <f t="shared" si="9"/>
        <v>0.02855936846</v>
      </c>
      <c r="BC153" s="27">
        <f t="shared" si="10"/>
        <v>0.06366625523</v>
      </c>
      <c r="BD153" s="28">
        <f t="shared" si="11"/>
        <v>0.03776227272</v>
      </c>
      <c r="BE153" s="30">
        <f t="shared" ref="BE153:BF153" si="310">((S153-S$289)/S$290)</f>
        <v>-0.7137573923</v>
      </c>
      <c r="BF153" s="30">
        <f t="shared" si="310"/>
        <v>-0.8254222345</v>
      </c>
    </row>
    <row r="154">
      <c r="A154" s="21" t="s">
        <v>88</v>
      </c>
      <c r="B154" s="22">
        <f t="shared" si="3"/>
        <v>0.1431810153</v>
      </c>
      <c r="C154" s="21" t="s">
        <v>68</v>
      </c>
      <c r="D154" s="21" t="s">
        <v>69</v>
      </c>
      <c r="E154" s="23">
        <v>5.0</v>
      </c>
      <c r="F154" s="24" t="s">
        <v>70</v>
      </c>
      <c r="G154" s="21" t="s">
        <v>82</v>
      </c>
      <c r="H154" s="24" t="s">
        <v>83</v>
      </c>
      <c r="I154" s="24" t="s">
        <v>73</v>
      </c>
      <c r="J154" s="24" t="s">
        <v>99</v>
      </c>
      <c r="K154" s="24" t="s">
        <v>101</v>
      </c>
      <c r="L154" s="21" t="s">
        <v>92</v>
      </c>
      <c r="M154" s="24" t="s">
        <v>77</v>
      </c>
      <c r="N154" s="21" t="s">
        <v>86</v>
      </c>
      <c r="O154" s="21" t="s">
        <v>79</v>
      </c>
      <c r="P154" s="21" t="s">
        <v>80</v>
      </c>
      <c r="Q154" s="24" t="s">
        <v>96</v>
      </c>
      <c r="S154" s="25">
        <v>533.174676418304</v>
      </c>
      <c r="T154" s="25">
        <v>172.984364032745</v>
      </c>
      <c r="U154" s="25">
        <v>1.65055369149541</v>
      </c>
      <c r="V154" s="25">
        <v>4.57119205373409</v>
      </c>
      <c r="W154" s="25">
        <v>2.13803462407279</v>
      </c>
      <c r="X154" s="25">
        <v>0.824477471992138</v>
      </c>
      <c r="Y154" s="25">
        <v>0.0557027761957019</v>
      </c>
      <c r="Z154" s="25">
        <v>0.00508330403718014</v>
      </c>
      <c r="AA154" s="25">
        <v>0.0712972933369854</v>
      </c>
      <c r="AB154" s="25">
        <v>0.893075328696896</v>
      </c>
      <c r="AC154" s="25">
        <v>0.0555761098429159</v>
      </c>
      <c r="AD154" s="25">
        <v>0.0711382252019957</v>
      </c>
      <c r="AE154" s="25">
        <v>0.894069640099835</v>
      </c>
      <c r="AF154" s="25">
        <v>0.0793066169684305</v>
      </c>
      <c r="AG154" s="25">
        <v>0.101758074964976</v>
      </c>
      <c r="AH154" s="25">
        <v>0.784167524507549</v>
      </c>
      <c r="AI154" s="25">
        <v>10.0</v>
      </c>
      <c r="AJ154" s="25">
        <v>1.65055369149541</v>
      </c>
      <c r="AK154" s="25">
        <v>4.57119205373409</v>
      </c>
      <c r="AL154" s="25">
        <v>2.13803462407279</v>
      </c>
      <c r="AM154" s="25">
        <v>0.824437066255346</v>
      </c>
      <c r="AN154" s="25">
        <v>1.29600400592023</v>
      </c>
      <c r="AO154" s="25">
        <v>2.75196211783083</v>
      </c>
      <c r="AP154" s="25">
        <v>1.65890389047431</v>
      </c>
      <c r="AQ154" s="25">
        <v>0.894069640099835</v>
      </c>
      <c r="AR154" s="25">
        <v>1.84938624847217</v>
      </c>
      <c r="AS154" s="25">
        <v>5.63085267190349</v>
      </c>
      <c r="AT154" s="25">
        <v>2.37294177591939</v>
      </c>
      <c r="AU154" s="25">
        <v>0.784167524507549</v>
      </c>
      <c r="AV154" s="26">
        <f t="shared" ref="AV154:AW154" si="311">(AC154-AC$289)/AC$290</f>
        <v>-0.0373122148</v>
      </c>
      <c r="AW154" s="27">
        <f t="shared" si="311"/>
        <v>-0.02401689196</v>
      </c>
      <c r="AX154" s="27">
        <f t="shared" si="5"/>
        <v>0.01498531881</v>
      </c>
      <c r="AY154" s="28">
        <f t="shared" si="6"/>
        <v>0.02223720263</v>
      </c>
      <c r="AZ154" s="29">
        <f t="shared" si="7"/>
        <v>-0.007184314218</v>
      </c>
      <c r="BA154" s="28">
        <f t="shared" si="8"/>
        <v>0.003565349573</v>
      </c>
      <c r="BB154" s="29">
        <f t="shared" si="9"/>
        <v>-0.01262011529</v>
      </c>
      <c r="BC154" s="27">
        <f t="shared" si="10"/>
        <v>0.02897023899</v>
      </c>
      <c r="BD154" s="28">
        <f t="shared" si="11"/>
        <v>0.01017607065</v>
      </c>
      <c r="BE154" s="30">
        <f t="shared" ref="BE154:BF154" si="312">((S154-S$289)/S$290)</f>
        <v>-0.697819542</v>
      </c>
      <c r="BF154" s="30">
        <f t="shared" si="312"/>
        <v>-0.8759722706</v>
      </c>
    </row>
    <row r="155">
      <c r="A155" s="21" t="s">
        <v>67</v>
      </c>
      <c r="B155" s="22">
        <f t="shared" si="3"/>
        <v>-0.1172393821</v>
      </c>
      <c r="C155" s="21" t="s">
        <v>68</v>
      </c>
      <c r="D155" s="21" t="s">
        <v>69</v>
      </c>
      <c r="E155" s="23">
        <v>135.0</v>
      </c>
      <c r="F155" s="24" t="s">
        <v>70</v>
      </c>
      <c r="G155" s="21" t="s">
        <v>71</v>
      </c>
      <c r="H155" s="24" t="s">
        <v>72</v>
      </c>
      <c r="I155" s="24" t="s">
        <v>95</v>
      </c>
      <c r="J155" s="24" t="s">
        <v>99</v>
      </c>
      <c r="K155" s="24" t="s">
        <v>101</v>
      </c>
      <c r="L155" s="21" t="s">
        <v>76</v>
      </c>
      <c r="M155" s="24" t="s">
        <v>85</v>
      </c>
      <c r="N155" s="21" t="s">
        <v>86</v>
      </c>
      <c r="O155" s="21" t="s">
        <v>91</v>
      </c>
      <c r="P155" s="21" t="s">
        <v>80</v>
      </c>
      <c r="Q155" s="24" t="s">
        <v>89</v>
      </c>
      <c r="R155" s="24" t="s">
        <v>100</v>
      </c>
      <c r="S155" s="25">
        <v>330.5486702919</v>
      </c>
      <c r="T155" s="25">
        <v>228.179316282272</v>
      </c>
      <c r="U155" s="25">
        <v>2.19552453114258</v>
      </c>
      <c r="V155" s="25">
        <v>7.99813511982483</v>
      </c>
      <c r="W155" s="25">
        <v>2.82809743817727</v>
      </c>
      <c r="X155" s="25">
        <v>0.694953547598444</v>
      </c>
      <c r="Y155" s="25">
        <v>0.0874070065438704</v>
      </c>
      <c r="Z155" s="25">
        <v>0.0126289233733054</v>
      </c>
      <c r="AA155" s="25">
        <v>0.112378482697113</v>
      </c>
      <c r="AB155" s="25">
        <v>0.734489641462524</v>
      </c>
      <c r="AC155" s="25">
        <v>0.0873851961241084</v>
      </c>
      <c r="AD155" s="25">
        <v>0.112145135475077</v>
      </c>
      <c r="AE155" s="25">
        <v>0.737196086197947</v>
      </c>
      <c r="AF155" s="25">
        <v>0.0989576462770431</v>
      </c>
      <c r="AG155" s="25">
        <v>0.129043520859237</v>
      </c>
      <c r="AH155" s="25">
        <v>0.656501018252306</v>
      </c>
      <c r="AI155" s="25">
        <v>10.0</v>
      </c>
      <c r="AJ155" s="25">
        <v>2.19552453114258</v>
      </c>
      <c r="AK155" s="25">
        <v>7.99813511982483</v>
      </c>
      <c r="AL155" s="25">
        <v>2.82809743817726</v>
      </c>
      <c r="AM155" s="25">
        <v>0.694872757292184</v>
      </c>
      <c r="AN155" s="25">
        <v>2.03777422628304</v>
      </c>
      <c r="AO155" s="25">
        <v>6.8390736274339</v>
      </c>
      <c r="AP155" s="25">
        <v>2.61516225642576</v>
      </c>
      <c r="AQ155" s="25">
        <v>0.737196086197947</v>
      </c>
      <c r="AR155" s="25">
        <v>2.3076373347105</v>
      </c>
      <c r="AS155" s="25">
        <v>9.05542436126091</v>
      </c>
      <c r="AT155" s="25">
        <v>3.0092232155925</v>
      </c>
      <c r="AU155" s="25">
        <v>0.656501018252306</v>
      </c>
      <c r="AV155" s="26">
        <f t="shared" ref="AV155:AW155" si="313">(AC155-AC$289)/AC$290</f>
        <v>0.615558466</v>
      </c>
      <c r="AW155" s="27">
        <f t="shared" si="313"/>
        <v>0.6386280774</v>
      </c>
      <c r="AX155" s="27">
        <f t="shared" si="5"/>
        <v>0.2090711815</v>
      </c>
      <c r="AY155" s="28">
        <f t="shared" si="6"/>
        <v>0.2340063916</v>
      </c>
      <c r="AZ155" s="29">
        <f t="shared" si="7"/>
        <v>0.2725448314</v>
      </c>
      <c r="BA155" s="28">
        <f t="shared" si="8"/>
        <v>0.2771883597</v>
      </c>
      <c r="BB155" s="29">
        <f t="shared" si="9"/>
        <v>0.1588818513</v>
      </c>
      <c r="BC155" s="27">
        <f t="shared" si="10"/>
        <v>0.2205470283</v>
      </c>
      <c r="BD155" s="28">
        <f t="shared" si="11"/>
        <v>0.1796350076</v>
      </c>
      <c r="BE155" s="30">
        <f t="shared" ref="BE155:BF155" si="314">((S155-S$289)/S$290)</f>
        <v>-0.7508307279</v>
      </c>
      <c r="BF155" s="30">
        <f t="shared" si="314"/>
        <v>-0.7655972638</v>
      </c>
    </row>
    <row r="156">
      <c r="A156" s="21" t="s">
        <v>67</v>
      </c>
      <c r="B156" s="22">
        <f t="shared" si="3"/>
        <v>-0.0364565677</v>
      </c>
      <c r="C156" s="21" t="s">
        <v>68</v>
      </c>
      <c r="D156" s="21" t="s">
        <v>69</v>
      </c>
      <c r="E156" s="23">
        <v>256.0</v>
      </c>
      <c r="F156" s="24" t="s">
        <v>97</v>
      </c>
      <c r="G156" s="21" t="s">
        <v>71</v>
      </c>
      <c r="H156" s="24" t="s">
        <v>105</v>
      </c>
      <c r="I156" s="24" t="s">
        <v>95</v>
      </c>
      <c r="J156" s="24" t="s">
        <v>90</v>
      </c>
      <c r="K156" s="24" t="s">
        <v>75</v>
      </c>
      <c r="L156" s="21" t="s">
        <v>84</v>
      </c>
      <c r="M156" s="24" t="s">
        <v>85</v>
      </c>
      <c r="N156" s="21" t="s">
        <v>86</v>
      </c>
      <c r="O156" s="21" t="s">
        <v>79</v>
      </c>
      <c r="P156" s="21" t="s">
        <v>80</v>
      </c>
      <c r="Q156" s="24" t="s">
        <v>81</v>
      </c>
      <c r="R156" s="24" t="s">
        <v>103</v>
      </c>
      <c r="S156" s="25">
        <v>340.14564871788</v>
      </c>
      <c r="T156" s="25">
        <v>491.756932020187</v>
      </c>
      <c r="U156" s="25">
        <v>2.01996889204794</v>
      </c>
      <c r="V156" s="25">
        <v>6.49010581071437</v>
      </c>
      <c r="W156" s="25">
        <v>2.547568607656</v>
      </c>
      <c r="X156" s="25">
        <v>0.759570964128881</v>
      </c>
      <c r="Y156" s="25">
        <v>0.0728331782044227</v>
      </c>
      <c r="Z156" s="25">
        <v>0.00840758680641438</v>
      </c>
      <c r="AA156" s="25">
        <v>0.0916928939799283</v>
      </c>
      <c r="AB156" s="25">
        <v>0.811083647909674</v>
      </c>
      <c r="AC156" s="25">
        <v>0.0722194678848404</v>
      </c>
      <c r="AD156" s="25">
        <v>0.0912311037984014</v>
      </c>
      <c r="AE156" s="25">
        <v>0.814021561650083</v>
      </c>
      <c r="AF156" s="25">
        <v>0.0828681175270033</v>
      </c>
      <c r="AG156" s="25">
        <v>0.105845616073926</v>
      </c>
      <c r="AH156" s="25">
        <v>0.751901697938573</v>
      </c>
      <c r="AI156" s="25">
        <v>10.0</v>
      </c>
      <c r="AJ156" s="25">
        <v>2.01996889204792</v>
      </c>
      <c r="AK156" s="25">
        <v>6.49010581071437</v>
      </c>
      <c r="AL156" s="25">
        <v>2.547568607656</v>
      </c>
      <c r="AM156" s="25">
        <v>0.759518542164917</v>
      </c>
      <c r="AN156" s="25">
        <v>1.76937696317852</v>
      </c>
      <c r="AO156" s="25">
        <v>4.99594935873988</v>
      </c>
      <c r="AP156" s="25">
        <v>2.23516204306083</v>
      </c>
      <c r="AQ156" s="25">
        <v>0.814021561650083</v>
      </c>
      <c r="AR156" s="25">
        <v>2.03026887941159</v>
      </c>
      <c r="AS156" s="25">
        <v>6.72477748885191</v>
      </c>
      <c r="AT156" s="25">
        <v>2.59321759381119</v>
      </c>
      <c r="AU156" s="25">
        <v>0.751901697938573</v>
      </c>
      <c r="AV156" s="26">
        <f t="shared" ref="AV156:AW156" si="315">(AC156-AC$289)/AC$290</f>
        <v>0.3042870502</v>
      </c>
      <c r="AW156" s="27">
        <f t="shared" si="315"/>
        <v>0.3006709432</v>
      </c>
      <c r="AX156" s="27">
        <f t="shared" si="5"/>
        <v>0.0915956369</v>
      </c>
      <c r="AY156" s="28">
        <f t="shared" si="6"/>
        <v>0.0955500928</v>
      </c>
      <c r="AZ156" s="29">
        <f t="shared" si="7"/>
        <v>0.1824335348</v>
      </c>
      <c r="BA156" s="28">
        <f t="shared" si="8"/>
        <v>0.1659533511</v>
      </c>
      <c r="BB156" s="29">
        <f t="shared" si="9"/>
        <v>0.07489242289</v>
      </c>
      <c r="BC156" s="27">
        <f t="shared" si="10"/>
        <v>0.07738844702</v>
      </c>
      <c r="BD156" s="28">
        <f t="shared" si="11"/>
        <v>0.0950838988</v>
      </c>
      <c r="BE156" s="30">
        <f t="shared" ref="BE156:BF156" si="316">((S156-S$289)/S$290)</f>
        <v>-0.7483199584</v>
      </c>
      <c r="BF156" s="30">
        <f t="shared" si="316"/>
        <v>-0.2385131748</v>
      </c>
    </row>
    <row r="157">
      <c r="A157" s="21" t="s">
        <v>88</v>
      </c>
      <c r="B157" s="22">
        <f t="shared" si="3"/>
        <v>0.03897365032</v>
      </c>
      <c r="C157" s="21" t="s">
        <v>68</v>
      </c>
      <c r="D157" s="21" t="s">
        <v>69</v>
      </c>
      <c r="E157" s="23">
        <v>168.0</v>
      </c>
      <c r="F157" s="24" t="s">
        <v>97</v>
      </c>
      <c r="G157" s="21" t="s">
        <v>82</v>
      </c>
      <c r="H157" s="24" t="s">
        <v>98</v>
      </c>
      <c r="I157" s="24" t="s">
        <v>73</v>
      </c>
      <c r="J157" s="24" t="s">
        <v>99</v>
      </c>
      <c r="K157" s="24" t="s">
        <v>101</v>
      </c>
      <c r="L157" s="21" t="s">
        <v>84</v>
      </c>
      <c r="M157" s="24" t="s">
        <v>77</v>
      </c>
      <c r="N157" s="21" t="s">
        <v>104</v>
      </c>
      <c r="O157" s="21" t="s">
        <v>91</v>
      </c>
      <c r="P157" s="21" t="s">
        <v>80</v>
      </c>
      <c r="Q157" s="24" t="s">
        <v>87</v>
      </c>
      <c r="S157" s="25">
        <v>414.533892154693</v>
      </c>
      <c r="T157" s="25">
        <v>424.914596557617</v>
      </c>
      <c r="U157" s="25">
        <v>1.85397062216609</v>
      </c>
      <c r="V157" s="25">
        <v>5.49026321779161</v>
      </c>
      <c r="W157" s="25">
        <v>2.34313107140672</v>
      </c>
      <c r="X157" s="25">
        <v>0.796619927667059</v>
      </c>
      <c r="Y157" s="25">
        <v>0.0645283010794183</v>
      </c>
      <c r="Z157" s="25">
        <v>0.006453446440901</v>
      </c>
      <c r="AA157" s="25">
        <v>0.0803333457594105</v>
      </c>
      <c r="AB157" s="25">
        <v>0.855416452667763</v>
      </c>
      <c r="AC157" s="25">
        <v>0.0645932971127186</v>
      </c>
      <c r="AD157" s="25">
        <v>0.0803084851483669</v>
      </c>
      <c r="AE157" s="25">
        <v>0.856184803570631</v>
      </c>
      <c r="AF157" s="25">
        <v>0.0793591507339002</v>
      </c>
      <c r="AG157" s="25">
        <v>0.100116257066824</v>
      </c>
      <c r="AH157" s="25">
        <v>0.777575498913829</v>
      </c>
      <c r="AI157" s="25">
        <v>10.0</v>
      </c>
      <c r="AJ157" s="25">
        <v>1.85397062216604</v>
      </c>
      <c r="AK157" s="25">
        <v>5.49026321779161</v>
      </c>
      <c r="AL157" s="25">
        <v>2.34313107140672</v>
      </c>
      <c r="AM157" s="25">
        <v>0.79658583253668</v>
      </c>
      <c r="AN157" s="25">
        <v>1.58253577926164</v>
      </c>
      <c r="AO157" s="25">
        <v>3.87128403529199</v>
      </c>
      <c r="AP157" s="25">
        <v>1.96755788613499</v>
      </c>
      <c r="AQ157" s="25">
        <v>0.856184803570631</v>
      </c>
      <c r="AR157" s="25">
        <v>1.9442991929806</v>
      </c>
      <c r="AS157" s="25">
        <v>6.0164647736745</v>
      </c>
      <c r="AT157" s="25">
        <v>2.45284829813718</v>
      </c>
      <c r="AU157" s="25">
        <v>0.777575498913829</v>
      </c>
      <c r="AV157" s="26">
        <f t="shared" ref="AV157:AW157" si="317">(AC157-AC$289)/AC$290</f>
        <v>0.1477624881</v>
      </c>
      <c r="AW157" s="27">
        <f t="shared" si="317"/>
        <v>0.1241685378</v>
      </c>
      <c r="AX157" s="27">
        <f t="shared" si="5"/>
        <v>0.05518437403</v>
      </c>
      <c r="AY157" s="28">
        <f t="shared" si="6"/>
        <v>0.04883194255</v>
      </c>
      <c r="AZ157" s="29">
        <f t="shared" si="7"/>
        <v>0.09722795901</v>
      </c>
      <c r="BA157" s="28">
        <f t="shared" si="8"/>
        <v>0.08488998574</v>
      </c>
      <c r="BB157" s="29">
        <f t="shared" si="9"/>
        <v>0.02879747108</v>
      </c>
      <c r="BC157" s="27">
        <f t="shared" si="10"/>
        <v>0.0388622548</v>
      </c>
      <c r="BD157" s="28">
        <f t="shared" si="11"/>
        <v>0.04660308127</v>
      </c>
      <c r="BE157" s="30">
        <f t="shared" ref="BE157:BF157" si="318">((S157-S$289)/S$290)</f>
        <v>-0.7288584436</v>
      </c>
      <c r="BF157" s="30">
        <f t="shared" si="318"/>
        <v>-0.3721798042</v>
      </c>
    </row>
    <row r="158">
      <c r="A158" s="21" t="s">
        <v>88</v>
      </c>
      <c r="B158" s="22">
        <f t="shared" si="3"/>
        <v>-0.4270174132</v>
      </c>
      <c r="C158" s="21" t="s">
        <v>68</v>
      </c>
      <c r="D158" s="21" t="s">
        <v>69</v>
      </c>
      <c r="E158" s="23">
        <v>93.0</v>
      </c>
      <c r="F158" s="24" t="s">
        <v>70</v>
      </c>
      <c r="G158" s="21" t="s">
        <v>71</v>
      </c>
      <c r="H158" s="24" t="s">
        <v>72</v>
      </c>
      <c r="I158" s="24" t="s">
        <v>73</v>
      </c>
      <c r="J158" s="24" t="s">
        <v>90</v>
      </c>
      <c r="K158" s="24" t="s">
        <v>75</v>
      </c>
      <c r="L158" s="21" t="s">
        <v>76</v>
      </c>
      <c r="M158" s="24" t="s">
        <v>85</v>
      </c>
      <c r="N158" s="21" t="s">
        <v>104</v>
      </c>
      <c r="O158" s="21" t="s">
        <v>102</v>
      </c>
      <c r="P158" s="21" t="s">
        <v>80</v>
      </c>
      <c r="Q158" s="24" t="s">
        <v>81</v>
      </c>
      <c r="R158" s="24" t="s">
        <v>89</v>
      </c>
      <c r="S158" s="25">
        <v>101.920830965042</v>
      </c>
      <c r="T158" s="25">
        <v>219.000210046768</v>
      </c>
      <c r="U158" s="25">
        <v>2.81466248628607</v>
      </c>
      <c r="V158" s="25">
        <v>11.4449405249023</v>
      </c>
      <c r="W158" s="25">
        <v>3.38303717462613</v>
      </c>
      <c r="X158" s="25">
        <v>0.560243771865861</v>
      </c>
      <c r="Y158" s="25">
        <v>0.128856029906449</v>
      </c>
      <c r="Z158" s="25">
        <v>0.0224739670545569</v>
      </c>
      <c r="AA158" s="25">
        <v>0.14991319840013</v>
      </c>
      <c r="AB158" s="25">
        <v>0.525267173875265</v>
      </c>
      <c r="AC158" s="25">
        <v>0.129208214827155</v>
      </c>
      <c r="AD158" s="25">
        <v>0.150062829475776</v>
      </c>
      <c r="AE158" s="25">
        <v>0.527087273311785</v>
      </c>
      <c r="AF158" s="25">
        <v>0.140845213420493</v>
      </c>
      <c r="AG158" s="25">
        <v>0.167430260591773</v>
      </c>
      <c r="AH158" s="25">
        <v>0.41713076487979</v>
      </c>
      <c r="AI158" s="25">
        <v>10.0</v>
      </c>
      <c r="AJ158" s="25">
        <v>2.81466248628607</v>
      </c>
      <c r="AK158" s="25">
        <v>11.4449405249023</v>
      </c>
      <c r="AL158" s="25">
        <v>3.38303717462613</v>
      </c>
      <c r="AM158" s="25">
        <v>0.560140184690126</v>
      </c>
      <c r="AN158" s="25">
        <v>3.01306378742769</v>
      </c>
      <c r="AO158" s="25">
        <v>12.2456730881081</v>
      </c>
      <c r="AP158" s="25">
        <v>3.49938181513651</v>
      </c>
      <c r="AQ158" s="25">
        <v>0.527087273311785</v>
      </c>
      <c r="AR158" s="25">
        <v>3.28443212962512</v>
      </c>
      <c r="AS158" s="25">
        <v>15.2441883396556</v>
      </c>
      <c r="AT158" s="25">
        <v>3.90438066018871</v>
      </c>
      <c r="AU158" s="25">
        <v>0.41713076487979</v>
      </c>
      <c r="AV158" s="26">
        <f t="shared" ref="AV158:AW158" si="319">(AC158-AC$289)/AC$290</f>
        <v>1.473961705</v>
      </c>
      <c r="AW158" s="27">
        <f t="shared" si="319"/>
        <v>1.251353323</v>
      </c>
      <c r="AX158" s="27">
        <f t="shared" si="5"/>
        <v>0.6227790072</v>
      </c>
      <c r="AY158" s="28">
        <f t="shared" si="6"/>
        <v>0.5319355063</v>
      </c>
      <c r="AZ158" s="29">
        <f t="shared" si="7"/>
        <v>0.5903433603</v>
      </c>
      <c r="BA158" s="28">
        <f t="shared" si="8"/>
        <v>0.4972325036</v>
      </c>
      <c r="BB158" s="29">
        <f t="shared" si="9"/>
        <v>0.3885832491</v>
      </c>
      <c r="BC158" s="27">
        <f t="shared" si="10"/>
        <v>0.5797468367</v>
      </c>
      <c r="BD158" s="28">
        <f t="shared" si="11"/>
        <v>0.3558535874</v>
      </c>
      <c r="BE158" s="30">
        <f t="shared" ref="BE158:BF158" si="320">((S158-S$289)/S$290)</f>
        <v>-0.8106445352</v>
      </c>
      <c r="BF158" s="30">
        <f t="shared" si="320"/>
        <v>-0.7839529988</v>
      </c>
    </row>
    <row r="159">
      <c r="A159" s="21" t="s">
        <v>67</v>
      </c>
      <c r="B159" s="22">
        <f t="shared" si="3"/>
        <v>-0.4371092389</v>
      </c>
      <c r="C159" s="21" t="s">
        <v>68</v>
      </c>
      <c r="D159" s="21" t="s">
        <v>69</v>
      </c>
      <c r="E159" s="23">
        <v>61.0</v>
      </c>
      <c r="F159" s="24" t="s">
        <v>70</v>
      </c>
      <c r="G159" s="21" t="s">
        <v>82</v>
      </c>
      <c r="H159" s="24" t="s">
        <v>83</v>
      </c>
      <c r="I159" s="24" t="s">
        <v>73</v>
      </c>
      <c r="J159" s="24" t="s">
        <v>99</v>
      </c>
      <c r="K159" s="24" t="s">
        <v>75</v>
      </c>
      <c r="L159" s="21" t="s">
        <v>76</v>
      </c>
      <c r="M159" s="24" t="s">
        <v>77</v>
      </c>
      <c r="N159" s="21" t="s">
        <v>86</v>
      </c>
      <c r="O159" s="21" t="s">
        <v>79</v>
      </c>
      <c r="P159" s="21" t="s">
        <v>80</v>
      </c>
      <c r="Q159" s="24" t="s">
        <v>81</v>
      </c>
      <c r="S159" s="25">
        <v>87.6784605979919</v>
      </c>
      <c r="T159" s="25">
        <v>236.899383306503</v>
      </c>
      <c r="U159" s="25">
        <v>2.76177366879486</v>
      </c>
      <c r="V159" s="25">
        <v>11.6441170444644</v>
      </c>
      <c r="W159" s="25">
        <v>3.41234773205552</v>
      </c>
      <c r="X159" s="25">
        <v>0.552819953110957</v>
      </c>
      <c r="Y159" s="25">
        <v>0.115910424237471</v>
      </c>
      <c r="Z159" s="25">
        <v>0.0192170863650189</v>
      </c>
      <c r="AA159" s="25">
        <v>0.13862570600368</v>
      </c>
      <c r="AB159" s="25">
        <v>0.595778527517931</v>
      </c>
      <c r="AC159" s="25">
        <v>0.11639636566111</v>
      </c>
      <c r="AD159" s="25">
        <v>0.139042851836073</v>
      </c>
      <c r="AE159" s="25">
        <v>0.595320011039746</v>
      </c>
      <c r="AF159" s="25">
        <v>0.16056454158793</v>
      </c>
      <c r="AG159" s="25">
        <v>0.18877917091154</v>
      </c>
      <c r="AH159" s="25">
        <v>0.257173864140056</v>
      </c>
      <c r="AI159" s="25">
        <v>10.0</v>
      </c>
      <c r="AJ159" s="25">
        <v>2.76177366879486</v>
      </c>
      <c r="AK159" s="25">
        <v>11.6441170444644</v>
      </c>
      <c r="AL159" s="25">
        <v>3.41234773205551</v>
      </c>
      <c r="AM159" s="25">
        <v>0.552791629587652</v>
      </c>
      <c r="AN159" s="25">
        <v>2.7142985825695</v>
      </c>
      <c r="AO159" s="25">
        <v>10.5131711108355</v>
      </c>
      <c r="AP159" s="25">
        <v>3.24240205878844</v>
      </c>
      <c r="AQ159" s="25">
        <v>0.595320011039746</v>
      </c>
      <c r="AR159" s="25">
        <v>3.74427590730744</v>
      </c>
      <c r="AS159" s="25">
        <v>19.3795883697447</v>
      </c>
      <c r="AT159" s="25">
        <v>4.40222538833993</v>
      </c>
      <c r="AU159" s="25">
        <v>0.257173864140056</v>
      </c>
      <c r="AV159" s="26">
        <f t="shared" ref="AV159:AW159" si="321">(AC159-AC$289)/AC$290</f>
        <v>1.211002857</v>
      </c>
      <c r="AW159" s="27">
        <f t="shared" si="321"/>
        <v>1.07327766</v>
      </c>
      <c r="AX159" s="27">
        <f t="shared" si="5"/>
        <v>0.8175394322</v>
      </c>
      <c r="AY159" s="28">
        <f t="shared" si="6"/>
        <v>0.6976297538</v>
      </c>
      <c r="AZ159" s="29">
        <f t="shared" si="7"/>
        <v>0.563195956</v>
      </c>
      <c r="BA159" s="28">
        <f t="shared" si="8"/>
        <v>0.5088546962</v>
      </c>
      <c r="BB159" s="29">
        <f t="shared" si="9"/>
        <v>0.3139878286</v>
      </c>
      <c r="BC159" s="27">
        <f t="shared" si="10"/>
        <v>0.8197787008</v>
      </c>
      <c r="BD159" s="28">
        <f t="shared" si="11"/>
        <v>0.3654648634</v>
      </c>
      <c r="BE159" s="30">
        <f t="shared" ref="BE159:BF159" si="322">((S159-S$289)/S$290)</f>
        <v>-0.8143706361</v>
      </c>
      <c r="BF159" s="30">
        <f t="shared" si="322"/>
        <v>-0.7481594834</v>
      </c>
    </row>
    <row r="160">
      <c r="A160" s="21" t="s">
        <v>67</v>
      </c>
      <c r="B160" s="22">
        <f t="shared" si="3"/>
        <v>-0.06076841422</v>
      </c>
      <c r="C160" s="21" t="s">
        <v>68</v>
      </c>
      <c r="D160" s="21" t="s">
        <v>69</v>
      </c>
      <c r="E160" s="23">
        <v>203.0</v>
      </c>
      <c r="F160" s="24" t="s">
        <v>97</v>
      </c>
      <c r="G160" s="21" t="s">
        <v>82</v>
      </c>
      <c r="H160" s="24" t="s">
        <v>98</v>
      </c>
      <c r="I160" s="24" t="s">
        <v>73</v>
      </c>
      <c r="J160" s="24" t="s">
        <v>74</v>
      </c>
      <c r="K160" s="24" t="s">
        <v>101</v>
      </c>
      <c r="L160" s="21" t="s">
        <v>84</v>
      </c>
      <c r="M160" s="24" t="s">
        <v>85</v>
      </c>
      <c r="N160" s="21" t="s">
        <v>86</v>
      </c>
      <c r="O160" s="21" t="s">
        <v>79</v>
      </c>
      <c r="P160" s="21" t="s">
        <v>80</v>
      </c>
      <c r="Q160" s="24" t="s">
        <v>103</v>
      </c>
      <c r="R160" s="24" t="s">
        <v>87</v>
      </c>
      <c r="S160" s="25">
        <v>355.689550161361</v>
      </c>
      <c r="T160" s="25">
        <v>456.293351650238</v>
      </c>
      <c r="U160" s="25">
        <v>2.07771257109267</v>
      </c>
      <c r="V160" s="25">
        <v>6.74698898345742</v>
      </c>
      <c r="W160" s="25">
        <v>2.59749667631306</v>
      </c>
      <c r="X160" s="25">
        <v>0.750057322110015</v>
      </c>
      <c r="Y160" s="25">
        <v>0.0750813454815251</v>
      </c>
      <c r="Z160" s="25">
        <v>0.00863747943912168</v>
      </c>
      <c r="AA160" s="25">
        <v>0.0929380408612194</v>
      </c>
      <c r="AB160" s="25">
        <v>0.80648519690153</v>
      </c>
      <c r="AC160" s="25">
        <v>0.074854914359698</v>
      </c>
      <c r="AD160" s="25">
        <v>0.0927072202588141</v>
      </c>
      <c r="AE160" s="25">
        <v>0.808349909073862</v>
      </c>
      <c r="AF160" s="25">
        <v>0.0906667968910485</v>
      </c>
      <c r="AG160" s="25">
        <v>0.112752009054252</v>
      </c>
      <c r="AH160" s="25">
        <v>0.717887718215692</v>
      </c>
      <c r="AI160" s="25">
        <v>10.0</v>
      </c>
      <c r="AJ160" s="25">
        <v>2.07771257109261</v>
      </c>
      <c r="AK160" s="25">
        <v>6.74698898345742</v>
      </c>
      <c r="AL160" s="25">
        <v>2.59749667631306</v>
      </c>
      <c r="AM160" s="25">
        <v>0.750024162319448</v>
      </c>
      <c r="AN160" s="25">
        <v>1.8339454018126</v>
      </c>
      <c r="AO160" s="25">
        <v>5.1589258700418</v>
      </c>
      <c r="AP160" s="25">
        <v>2.27132689634094</v>
      </c>
      <c r="AQ160" s="25">
        <v>0.808349909073862</v>
      </c>
      <c r="AR160" s="25">
        <v>2.22133652383064</v>
      </c>
      <c r="AS160" s="25">
        <v>7.63098758134857</v>
      </c>
      <c r="AT160" s="25">
        <v>2.76242422182918</v>
      </c>
      <c r="AU160" s="25">
        <v>0.717887718215692</v>
      </c>
      <c r="AV160" s="26">
        <f t="shared" ref="AV160:AW160" si="323">(AC160-AC$289)/AC$290</f>
        <v>0.3583786931</v>
      </c>
      <c r="AW160" s="27">
        <f t="shared" si="323"/>
        <v>0.324524024</v>
      </c>
      <c r="AX160" s="27">
        <f t="shared" si="5"/>
        <v>0.1725196755</v>
      </c>
      <c r="AY160" s="28">
        <f t="shared" si="6"/>
        <v>0.1518659747</v>
      </c>
      <c r="AZ160" s="29">
        <f t="shared" si="7"/>
        <v>0.2120729005</v>
      </c>
      <c r="BA160" s="28">
        <f t="shared" si="8"/>
        <v>0.1857507785</v>
      </c>
      <c r="BB160" s="29">
        <f t="shared" si="9"/>
        <v>0.08109295539</v>
      </c>
      <c r="BC160" s="27">
        <f t="shared" si="10"/>
        <v>0.1284299396</v>
      </c>
      <c r="BD160" s="28">
        <f t="shared" si="11"/>
        <v>0.1075017284</v>
      </c>
      <c r="BE160" s="30">
        <f t="shared" ref="BE160:BF160" si="324">((S160-S$289)/S$290)</f>
        <v>-0.7442533498</v>
      </c>
      <c r="BF160" s="30">
        <f t="shared" si="324"/>
        <v>-0.3094307635</v>
      </c>
    </row>
    <row r="161">
      <c r="A161" s="21" t="s">
        <v>67</v>
      </c>
      <c r="B161" s="22">
        <f t="shared" si="3"/>
        <v>-0.07840979067</v>
      </c>
      <c r="C161" s="21" t="s">
        <v>68</v>
      </c>
      <c r="D161" s="21" t="s">
        <v>69</v>
      </c>
      <c r="E161" s="23">
        <v>55.0</v>
      </c>
      <c r="F161" s="24" t="s">
        <v>70</v>
      </c>
      <c r="G161" s="21" t="s">
        <v>82</v>
      </c>
      <c r="H161" s="24" t="s">
        <v>83</v>
      </c>
      <c r="I161" s="24" t="s">
        <v>95</v>
      </c>
      <c r="J161" s="24" t="s">
        <v>99</v>
      </c>
      <c r="K161" s="24" t="s">
        <v>75</v>
      </c>
      <c r="L161" s="21" t="s">
        <v>92</v>
      </c>
      <c r="M161" s="24" t="s">
        <v>77</v>
      </c>
      <c r="N161" s="21" t="s">
        <v>78</v>
      </c>
      <c r="O161" s="21" t="s">
        <v>91</v>
      </c>
      <c r="P161" s="21" t="s">
        <v>80</v>
      </c>
      <c r="Q161" s="24" t="s">
        <v>94</v>
      </c>
      <c r="S161" s="25">
        <v>385.747596263885</v>
      </c>
      <c r="T161" s="25">
        <v>225.904195070266</v>
      </c>
      <c r="U161" s="25">
        <v>1.93660831787262</v>
      </c>
      <c r="V161" s="25">
        <v>5.81664869315537</v>
      </c>
      <c r="W161" s="25">
        <v>2.41177293565446</v>
      </c>
      <c r="X161" s="25">
        <v>0.778187481218577</v>
      </c>
      <c r="Y161" s="25">
        <v>0.0845810284968578</v>
      </c>
      <c r="Z161" s="25">
        <v>0.0103161584392025</v>
      </c>
      <c r="AA161" s="25">
        <v>0.101568491370121</v>
      </c>
      <c r="AB161" s="25">
        <v>0.784071287470881</v>
      </c>
      <c r="AC161" s="25">
        <v>0.0847229723810907</v>
      </c>
      <c r="AD161" s="25">
        <v>0.101613698236225</v>
      </c>
      <c r="AE161" s="25">
        <v>0.784966072083915</v>
      </c>
      <c r="AF161" s="25">
        <v>0.112742587081623</v>
      </c>
      <c r="AG161" s="25">
        <v>0.135903281054149</v>
      </c>
      <c r="AH161" s="25">
        <v>0.61817908456787</v>
      </c>
      <c r="AI161" s="25">
        <v>10.0</v>
      </c>
      <c r="AJ161" s="25">
        <v>1.93660831787262</v>
      </c>
      <c r="AK161" s="25">
        <v>5.81664869315537</v>
      </c>
      <c r="AL161" s="25">
        <v>2.41177293565446</v>
      </c>
      <c r="AM161" s="25">
        <v>0.778123663620172</v>
      </c>
      <c r="AN161" s="25">
        <v>1.97569264760906</v>
      </c>
      <c r="AO161" s="25">
        <v>5.61488563709216</v>
      </c>
      <c r="AP161" s="25">
        <v>2.36957499081421</v>
      </c>
      <c r="AQ161" s="25">
        <v>0.784966072083914</v>
      </c>
      <c r="AR161" s="25">
        <v>2.62909449597286</v>
      </c>
      <c r="AS161" s="25">
        <v>10.043758996063</v>
      </c>
      <c r="AT161" s="25">
        <v>3.16918901235995</v>
      </c>
      <c r="AU161" s="25">
        <v>0.61817908456787</v>
      </c>
      <c r="AV161" s="26">
        <f t="shared" ref="AV161:AW161" si="325">(AC161-AC$289)/AC$290</f>
        <v>0.5609172288</v>
      </c>
      <c r="AW161" s="27">
        <f t="shared" si="325"/>
        <v>0.4684469089</v>
      </c>
      <c r="AX161" s="27">
        <f t="shared" si="5"/>
        <v>0.3452198833</v>
      </c>
      <c r="AY161" s="28">
        <f t="shared" si="6"/>
        <v>0.2872467109</v>
      </c>
      <c r="AZ161" s="29">
        <f t="shared" si="7"/>
        <v>0.1396452231</v>
      </c>
      <c r="BA161" s="28">
        <f t="shared" si="8"/>
        <v>0.1121077884</v>
      </c>
      <c r="BB161" s="29">
        <f t="shared" si="9"/>
        <v>0.1066573283</v>
      </c>
      <c r="BC161" s="27">
        <f t="shared" si="10"/>
        <v>0.278053051</v>
      </c>
      <c r="BD161" s="28">
        <f t="shared" si="11"/>
        <v>0.07075000524</v>
      </c>
      <c r="BE161" s="30">
        <f t="shared" ref="BE161:BF161" si="326">((S161-S$289)/S$290)</f>
        <v>-0.7363895385</v>
      </c>
      <c r="BF161" s="30">
        <f t="shared" si="326"/>
        <v>-0.7701468922</v>
      </c>
    </row>
    <row r="162">
      <c r="A162" s="21" t="s">
        <v>67</v>
      </c>
      <c r="B162" s="22">
        <f t="shared" si="3"/>
        <v>-0.4041886475</v>
      </c>
      <c r="C162" s="21" t="s">
        <v>68</v>
      </c>
      <c r="D162" s="21" t="s">
        <v>69</v>
      </c>
      <c r="E162" s="23">
        <v>111.0</v>
      </c>
      <c r="F162" s="24" t="s">
        <v>70</v>
      </c>
      <c r="G162" s="21" t="s">
        <v>71</v>
      </c>
      <c r="H162" s="24" t="s">
        <v>72</v>
      </c>
      <c r="I162" s="24" t="s">
        <v>73</v>
      </c>
      <c r="J162" s="24" t="s">
        <v>99</v>
      </c>
      <c r="K162" s="24" t="s">
        <v>75</v>
      </c>
      <c r="L162" s="21" t="s">
        <v>92</v>
      </c>
      <c r="M162" s="24" t="s">
        <v>85</v>
      </c>
      <c r="N162" s="21" t="s">
        <v>86</v>
      </c>
      <c r="O162" s="21" t="s">
        <v>91</v>
      </c>
      <c r="P162" s="21" t="s">
        <v>80</v>
      </c>
      <c r="Q162" s="24" t="s">
        <v>81</v>
      </c>
      <c r="R162" s="24" t="s">
        <v>81</v>
      </c>
      <c r="S162" s="25">
        <v>151.343526840209</v>
      </c>
      <c r="T162" s="25">
        <v>171.606513023376</v>
      </c>
      <c r="U162" s="25">
        <v>2.54204907497614</v>
      </c>
      <c r="V162" s="25">
        <v>10.0275804644858</v>
      </c>
      <c r="W162" s="25">
        <v>3.16663551178311</v>
      </c>
      <c r="X162" s="25">
        <v>0.61467730880563</v>
      </c>
      <c r="Y162" s="25">
        <v>0.128144234624676</v>
      </c>
      <c r="Z162" s="25">
        <v>0.0233093318993575</v>
      </c>
      <c r="AA162" s="25">
        <v>0.152673939817368</v>
      </c>
      <c r="AB162" s="25">
        <v>0.507621196524905</v>
      </c>
      <c r="AC162" s="25">
        <v>0.128909693075777</v>
      </c>
      <c r="AD162" s="25">
        <v>0.153276127891529</v>
      </c>
      <c r="AE162" s="25">
        <v>0.506617454934055</v>
      </c>
      <c r="AF162" s="25">
        <v>0.142707872346379</v>
      </c>
      <c r="AG162" s="25">
        <v>0.169680795200014</v>
      </c>
      <c r="AH162" s="25">
        <v>0.401356035472653</v>
      </c>
      <c r="AI162" s="25">
        <v>10.0</v>
      </c>
      <c r="AJ162" s="25">
        <v>2.54204907497614</v>
      </c>
      <c r="AK162" s="25">
        <v>10.0275804644858</v>
      </c>
      <c r="AL162" s="25">
        <v>3.16663551178311</v>
      </c>
      <c r="AM162" s="25">
        <v>0.614613140058123</v>
      </c>
      <c r="AN162" s="25">
        <v>3.00610242603097</v>
      </c>
      <c r="AO162" s="25">
        <v>12.775721635928</v>
      </c>
      <c r="AP162" s="25">
        <v>3.57431414902608</v>
      </c>
      <c r="AQ162" s="25">
        <v>0.506617454934055</v>
      </c>
      <c r="AR162" s="25">
        <v>3.32786830096627</v>
      </c>
      <c r="AS162" s="25">
        <v>15.6567559133069</v>
      </c>
      <c r="AT162" s="25">
        <v>3.95686187695589</v>
      </c>
      <c r="AU162" s="25">
        <v>0.401356035472653</v>
      </c>
      <c r="AV162" s="26">
        <f t="shared" ref="AV162:AW162" si="327">(AC162-AC$289)/AC$290</f>
        <v>1.467834648</v>
      </c>
      <c r="AW162" s="27">
        <f t="shared" si="327"/>
        <v>1.303278133</v>
      </c>
      <c r="AX162" s="27">
        <f t="shared" si="5"/>
        <v>0.6411757924</v>
      </c>
      <c r="AY162" s="28">
        <f t="shared" si="6"/>
        <v>0.5494024699</v>
      </c>
      <c r="AZ162" s="29">
        <f t="shared" si="7"/>
        <v>0.4504130906</v>
      </c>
      <c r="BA162" s="28">
        <f t="shared" si="8"/>
        <v>0.4114251348</v>
      </c>
      <c r="BB162" s="29">
        <f t="shared" si="9"/>
        <v>0.410961872</v>
      </c>
      <c r="BC162" s="27">
        <f t="shared" si="10"/>
        <v>0.6034184488</v>
      </c>
      <c r="BD162" s="28">
        <f t="shared" si="11"/>
        <v>0.2846076619</v>
      </c>
      <c r="BE162" s="30">
        <f t="shared" ref="BE162:BF162" si="328">((S162-S$289)/S$290)</f>
        <v>-0.797714528</v>
      </c>
      <c r="BF162" s="30">
        <f t="shared" si="328"/>
        <v>-0.8787276007</v>
      </c>
    </row>
    <row r="163">
      <c r="A163" s="21" t="s">
        <v>88</v>
      </c>
      <c r="B163" s="22">
        <f t="shared" si="3"/>
        <v>-0.03593491236</v>
      </c>
      <c r="C163" s="21" t="s">
        <v>68</v>
      </c>
      <c r="D163" s="21" t="s">
        <v>69</v>
      </c>
      <c r="E163" s="23">
        <v>248.0</v>
      </c>
      <c r="F163" s="24" t="s">
        <v>97</v>
      </c>
      <c r="G163" s="21" t="s">
        <v>71</v>
      </c>
      <c r="H163" s="24" t="s">
        <v>105</v>
      </c>
      <c r="I163" s="24" t="s">
        <v>73</v>
      </c>
      <c r="J163" s="24" t="s">
        <v>99</v>
      </c>
      <c r="K163" s="24" t="s">
        <v>101</v>
      </c>
      <c r="L163" s="21" t="s">
        <v>76</v>
      </c>
      <c r="M163" s="24" t="s">
        <v>85</v>
      </c>
      <c r="N163" s="21" t="s">
        <v>86</v>
      </c>
      <c r="O163" s="21" t="s">
        <v>79</v>
      </c>
      <c r="P163" s="21" t="s">
        <v>80</v>
      </c>
      <c r="Q163" s="24" t="s">
        <v>103</v>
      </c>
      <c r="R163" s="24" t="s">
        <v>100</v>
      </c>
      <c r="S163" s="25">
        <v>356.835508346557</v>
      </c>
      <c r="T163" s="25">
        <v>564.212024211883</v>
      </c>
      <c r="U163" s="25">
        <v>1.99117672036568</v>
      </c>
      <c r="V163" s="25">
        <v>6.42877837111977</v>
      </c>
      <c r="W163" s="25">
        <v>2.53550357347801</v>
      </c>
      <c r="X163" s="25">
        <v>0.761653386500654</v>
      </c>
      <c r="Y163" s="25">
        <v>0.0665511900693103</v>
      </c>
      <c r="Z163" s="25">
        <v>0.00699526841791624</v>
      </c>
      <c r="AA163" s="25">
        <v>0.083637721262097</v>
      </c>
      <c r="AB163" s="25">
        <v>0.842663803518335</v>
      </c>
      <c r="AC163" s="25">
        <v>0.0662308191155455</v>
      </c>
      <c r="AD163" s="25">
        <v>0.0833014597986494</v>
      </c>
      <c r="AE163" s="25">
        <v>0.844774348675603</v>
      </c>
      <c r="AF163" s="25">
        <v>0.0875565256203186</v>
      </c>
      <c r="AG163" s="25">
        <v>0.112500021230502</v>
      </c>
      <c r="AH163" s="25">
        <v>0.719226696825955</v>
      </c>
      <c r="AI163" s="25">
        <v>10.0</v>
      </c>
      <c r="AJ163" s="25">
        <v>1.99117672036565</v>
      </c>
      <c r="AK163" s="25">
        <v>6.42877837111977</v>
      </c>
      <c r="AL163" s="25">
        <v>2.53550357347801</v>
      </c>
      <c r="AM163" s="25">
        <v>0.761584694190519</v>
      </c>
      <c r="AN163" s="25">
        <v>1.62265506833085</v>
      </c>
      <c r="AO163" s="25">
        <v>4.16521470605274</v>
      </c>
      <c r="AP163" s="25">
        <v>2.0408857650669</v>
      </c>
      <c r="AQ163" s="25">
        <v>0.844774348675603</v>
      </c>
      <c r="AR163" s="25">
        <v>2.14513487769773</v>
      </c>
      <c r="AS163" s="25">
        <v>7.59691692981234</v>
      </c>
      <c r="AT163" s="25">
        <v>2.75625052014731</v>
      </c>
      <c r="AU163" s="25">
        <v>0.719226696825955</v>
      </c>
      <c r="AV163" s="26">
        <f t="shared" ref="AV163:AW163" si="329">(AC163-AC$289)/AC$290</f>
        <v>0.1813720704</v>
      </c>
      <c r="AW163" s="27">
        <f t="shared" si="329"/>
        <v>0.1725330593</v>
      </c>
      <c r="AX163" s="27">
        <f t="shared" si="5"/>
        <v>0.14024553</v>
      </c>
      <c r="AY163" s="28">
        <f t="shared" si="6"/>
        <v>0.1498112239</v>
      </c>
      <c r="AZ163" s="29">
        <f t="shared" si="7"/>
        <v>0.1676547449</v>
      </c>
      <c r="BA163" s="28">
        <f t="shared" si="8"/>
        <v>0.161169336</v>
      </c>
      <c r="BB163" s="29">
        <f t="shared" si="9"/>
        <v>0.04127194753</v>
      </c>
      <c r="BC163" s="27">
        <f t="shared" si="10"/>
        <v>0.1264206637</v>
      </c>
      <c r="BD163" s="28">
        <f t="shared" si="11"/>
        <v>0.09238155022</v>
      </c>
      <c r="BE163" s="30">
        <f t="shared" ref="BE163:BF163" si="330">((S163-S$289)/S$290)</f>
        <v>-0.7439535433</v>
      </c>
      <c r="BF163" s="30">
        <f t="shared" si="330"/>
        <v>-0.09362254677</v>
      </c>
    </row>
    <row r="164">
      <c r="A164" s="21" t="s">
        <v>67</v>
      </c>
      <c r="B164" s="22">
        <f t="shared" si="3"/>
        <v>-0.02380080992</v>
      </c>
      <c r="C164" s="21" t="s">
        <v>68</v>
      </c>
      <c r="D164" s="21" t="s">
        <v>69</v>
      </c>
      <c r="E164" s="23">
        <v>276.0</v>
      </c>
      <c r="F164" s="24" t="s">
        <v>97</v>
      </c>
      <c r="G164" s="21" t="s">
        <v>71</v>
      </c>
      <c r="H164" s="24" t="s">
        <v>105</v>
      </c>
      <c r="I164" s="24" t="s">
        <v>73</v>
      </c>
      <c r="J164" s="24" t="s">
        <v>99</v>
      </c>
      <c r="K164" s="24" t="s">
        <v>101</v>
      </c>
      <c r="L164" s="21" t="s">
        <v>76</v>
      </c>
      <c r="M164" s="24" t="s">
        <v>85</v>
      </c>
      <c r="N164" s="21" t="s">
        <v>86</v>
      </c>
      <c r="O164" s="21" t="s">
        <v>91</v>
      </c>
      <c r="P164" s="21" t="s">
        <v>80</v>
      </c>
      <c r="Q164" s="24" t="s">
        <v>81</v>
      </c>
      <c r="R164" s="24" t="s">
        <v>81</v>
      </c>
      <c r="S164" s="25">
        <v>401.36206293106</v>
      </c>
      <c r="T164" s="25">
        <v>413.754972457885</v>
      </c>
      <c r="U164" s="25">
        <v>1.988083807225</v>
      </c>
      <c r="V164" s="25">
        <v>6.52378251467383</v>
      </c>
      <c r="W164" s="25">
        <v>2.55416963310462</v>
      </c>
      <c r="X164" s="25">
        <v>0.758125969626575</v>
      </c>
      <c r="Y164" s="25">
        <v>0.070633051201636</v>
      </c>
      <c r="Z164" s="25">
        <v>0.00806587882519972</v>
      </c>
      <c r="AA164" s="25">
        <v>0.0898102378640638</v>
      </c>
      <c r="AB164" s="25">
        <v>0.818583845562148</v>
      </c>
      <c r="AC164" s="25">
        <v>0.0706432146945834</v>
      </c>
      <c r="AD164" s="25">
        <v>0.0896606265441944</v>
      </c>
      <c r="AE164" s="25">
        <v>0.820170140402302</v>
      </c>
      <c r="AF164" s="25">
        <v>0.0850207675004093</v>
      </c>
      <c r="AG164" s="25">
        <v>0.10937387368759</v>
      </c>
      <c r="AH164" s="25">
        <v>0.734614133588306</v>
      </c>
      <c r="AI164" s="25">
        <v>10.0</v>
      </c>
      <c r="AJ164" s="25">
        <v>1.98808380722495</v>
      </c>
      <c r="AK164" s="25">
        <v>6.52378251467383</v>
      </c>
      <c r="AL164" s="25">
        <v>2.55416963310462</v>
      </c>
      <c r="AM164" s="25">
        <v>0.758061405529588</v>
      </c>
      <c r="AN164" s="25">
        <v>1.73075876001732</v>
      </c>
      <c r="AO164" s="25">
        <v>4.82542652836659</v>
      </c>
      <c r="AP164" s="25">
        <v>2.19668535033276</v>
      </c>
      <c r="AQ164" s="25">
        <v>0.820170140402303</v>
      </c>
      <c r="AR164" s="25">
        <v>2.08300880376006</v>
      </c>
      <c r="AS164" s="25">
        <v>7.18057720831874</v>
      </c>
      <c r="AT164" s="25">
        <v>2.67965990534596</v>
      </c>
      <c r="AU164" s="25">
        <v>0.734614133588306</v>
      </c>
      <c r="AV164" s="26">
        <f t="shared" ref="AV164:AW164" si="331">(AC164-AC$289)/AC$290</f>
        <v>0.2719349894</v>
      </c>
      <c r="AW164" s="27">
        <f t="shared" si="331"/>
        <v>0.2752930533</v>
      </c>
      <c r="AX164" s="27">
        <f t="shared" si="5"/>
        <v>0.113932897</v>
      </c>
      <c r="AY164" s="28">
        <f t="shared" si="6"/>
        <v>0.1243200947</v>
      </c>
      <c r="AZ164" s="29">
        <f t="shared" si="7"/>
        <v>0.1660671774</v>
      </c>
      <c r="BA164" s="28">
        <f t="shared" si="8"/>
        <v>0.1685707831</v>
      </c>
      <c r="BB164" s="29">
        <f t="shared" si="9"/>
        <v>0.06817049098</v>
      </c>
      <c r="BC164" s="27">
        <f t="shared" si="10"/>
        <v>0.1033302243</v>
      </c>
      <c r="BD164" s="28">
        <f t="shared" si="11"/>
        <v>0.09698970779</v>
      </c>
      <c r="BE164" s="30">
        <f t="shared" ref="BE164:BF164" si="332">((S164-S$289)/S$290)</f>
        <v>-0.7323044687</v>
      </c>
      <c r="BF164" s="30">
        <f t="shared" si="332"/>
        <v>-0.3944960403</v>
      </c>
    </row>
    <row r="165">
      <c r="A165" s="21" t="s">
        <v>88</v>
      </c>
      <c r="B165" s="22">
        <f t="shared" si="3"/>
        <v>-0.1496413044</v>
      </c>
      <c r="C165" s="21" t="s">
        <v>68</v>
      </c>
      <c r="D165" s="21" t="s">
        <v>69</v>
      </c>
      <c r="E165" s="23">
        <v>92.0</v>
      </c>
      <c r="F165" s="24" t="s">
        <v>70</v>
      </c>
      <c r="G165" s="21" t="s">
        <v>71</v>
      </c>
      <c r="H165" s="24" t="s">
        <v>72</v>
      </c>
      <c r="I165" s="24" t="s">
        <v>73</v>
      </c>
      <c r="J165" s="24" t="s">
        <v>74</v>
      </c>
      <c r="K165" s="24" t="s">
        <v>101</v>
      </c>
      <c r="L165" s="21" t="s">
        <v>92</v>
      </c>
      <c r="M165" s="24" t="s">
        <v>77</v>
      </c>
      <c r="N165" s="21" t="s">
        <v>104</v>
      </c>
      <c r="O165" s="21" t="s">
        <v>79</v>
      </c>
      <c r="P165" s="21" t="s">
        <v>80</v>
      </c>
      <c r="Q165" s="24" t="s">
        <v>96</v>
      </c>
      <c r="S165" s="25">
        <v>344.480791807174</v>
      </c>
      <c r="T165" s="25">
        <v>214.199895381927</v>
      </c>
      <c r="U165" s="25">
        <v>2.29863565751323</v>
      </c>
      <c r="V165" s="25">
        <v>8.35956919243754</v>
      </c>
      <c r="W165" s="25">
        <v>2.89129195904487</v>
      </c>
      <c r="X165" s="25">
        <v>0.67878242214892</v>
      </c>
      <c r="Y165" s="25">
        <v>0.0920002488137061</v>
      </c>
      <c r="Z165" s="25">
        <v>0.0128988103998746</v>
      </c>
      <c r="AA165" s="25">
        <v>0.113572929872723</v>
      </c>
      <c r="AB165" s="25">
        <v>0.727529692469759</v>
      </c>
      <c r="AC165" s="25">
        <v>0.0922040021357001</v>
      </c>
      <c r="AD165" s="25">
        <v>0.113564429023231</v>
      </c>
      <c r="AE165" s="25">
        <v>0.729155897703286</v>
      </c>
      <c r="AF165" s="25">
        <v>0.105992853118194</v>
      </c>
      <c r="AG165" s="25">
        <v>0.133891315607584</v>
      </c>
      <c r="AH165" s="25">
        <v>0.627258245950603</v>
      </c>
      <c r="AI165" s="25">
        <v>10.0</v>
      </c>
      <c r="AJ165" s="25">
        <v>2.29863565751323</v>
      </c>
      <c r="AK165" s="25">
        <v>8.35956919243754</v>
      </c>
      <c r="AL165" s="25">
        <v>2.89129195904487</v>
      </c>
      <c r="AM165" s="25">
        <v>0.678719294953517</v>
      </c>
      <c r="AN165" s="25">
        <v>2.15014610535891</v>
      </c>
      <c r="AO165" s="25">
        <v>7.01327781511432</v>
      </c>
      <c r="AP165" s="25">
        <v>2.6482593934723</v>
      </c>
      <c r="AQ165" s="25">
        <v>0.729155897703286</v>
      </c>
      <c r="AR165" s="25">
        <v>2.47169444979791</v>
      </c>
      <c r="AS165" s="25">
        <v>9.74857679632162</v>
      </c>
      <c r="AT165" s="25">
        <v>3.12227109590465</v>
      </c>
      <c r="AU165" s="25">
        <v>0.627258245950603</v>
      </c>
      <c r="AV165" s="26">
        <f t="shared" ref="AV165:AW165" si="333">(AC165-AC$289)/AC$290</f>
        <v>0.714462821</v>
      </c>
      <c r="AW165" s="27">
        <f t="shared" si="333"/>
        <v>0.661562937</v>
      </c>
      <c r="AX165" s="27">
        <f t="shared" si="5"/>
        <v>0.2785552868</v>
      </c>
      <c r="AY165" s="28">
        <f t="shared" si="6"/>
        <v>0.2716313425</v>
      </c>
      <c r="AZ165" s="29">
        <f t="shared" si="7"/>
        <v>0.3254709426</v>
      </c>
      <c r="BA165" s="28">
        <f t="shared" si="8"/>
        <v>0.3022461873</v>
      </c>
      <c r="BB165" s="29">
        <f t="shared" si="9"/>
        <v>0.167671785</v>
      </c>
      <c r="BC165" s="27">
        <f t="shared" si="10"/>
        <v>0.2644288309</v>
      </c>
      <c r="BD165" s="28">
        <f t="shared" si="11"/>
        <v>0.2007623426</v>
      </c>
      <c r="BE165" s="30">
        <f t="shared" ref="BE165:BF165" si="334">((S165-S$289)/S$290)</f>
        <v>-0.7471857946</v>
      </c>
      <c r="BF165" s="30">
        <f t="shared" si="334"/>
        <v>-0.7935523324</v>
      </c>
    </row>
    <row r="166">
      <c r="A166" s="21" t="s">
        <v>88</v>
      </c>
      <c r="B166" s="22">
        <f t="shared" si="3"/>
        <v>-0.1665759603</v>
      </c>
      <c r="C166" s="21" t="s">
        <v>68</v>
      </c>
      <c r="D166" s="21" t="s">
        <v>69</v>
      </c>
      <c r="E166" s="23">
        <v>105.0</v>
      </c>
      <c r="F166" s="24" t="s">
        <v>70</v>
      </c>
      <c r="G166" s="21" t="s">
        <v>71</v>
      </c>
      <c r="H166" s="24" t="s">
        <v>72</v>
      </c>
      <c r="I166" s="24" t="s">
        <v>95</v>
      </c>
      <c r="J166" s="24" t="s">
        <v>74</v>
      </c>
      <c r="K166" s="24" t="s">
        <v>101</v>
      </c>
      <c r="L166" s="21" t="s">
        <v>92</v>
      </c>
      <c r="M166" s="24" t="s">
        <v>77</v>
      </c>
      <c r="N166" s="21" t="s">
        <v>104</v>
      </c>
      <c r="O166" s="21" t="s">
        <v>79</v>
      </c>
      <c r="P166" s="21" t="s">
        <v>80</v>
      </c>
      <c r="Q166" s="24" t="s">
        <v>93</v>
      </c>
      <c r="S166" s="25">
        <v>325.017722129821</v>
      </c>
      <c r="T166" s="25">
        <v>242.603490591049</v>
      </c>
      <c r="U166" s="25">
        <v>2.51409549812474</v>
      </c>
      <c r="V166" s="25">
        <v>9.93369779026174</v>
      </c>
      <c r="W166" s="25">
        <v>3.15177692584068</v>
      </c>
      <c r="X166" s="25">
        <v>0.621260404086991</v>
      </c>
      <c r="Y166" s="25">
        <v>0.0853044759598893</v>
      </c>
      <c r="Z166" s="25">
        <v>0.0110871720393879</v>
      </c>
      <c r="AA166" s="25">
        <v>0.10529564112245</v>
      </c>
      <c r="AB166" s="25">
        <v>0.766903406068092</v>
      </c>
      <c r="AC166" s="25">
        <v>0.0856525312500462</v>
      </c>
      <c r="AD166" s="25">
        <v>0.105453919402495</v>
      </c>
      <c r="AE166" s="25">
        <v>0.76762125580215</v>
      </c>
      <c r="AF166" s="25">
        <v>0.111746857236805</v>
      </c>
      <c r="AG166" s="25">
        <v>0.140074023632347</v>
      </c>
      <c r="AH166" s="25">
        <v>0.59526733748533</v>
      </c>
      <c r="AI166" s="25">
        <v>10.0</v>
      </c>
      <c r="AJ166" s="25">
        <v>2.51409549812474</v>
      </c>
      <c r="AK166" s="25">
        <v>9.93369779026174</v>
      </c>
      <c r="AL166" s="25">
        <v>3.15177692584068</v>
      </c>
      <c r="AM166" s="25">
        <v>0.621031431549299</v>
      </c>
      <c r="AN166" s="25">
        <v>1.99736944401151</v>
      </c>
      <c r="AO166" s="25">
        <v>6.04730469203274</v>
      </c>
      <c r="AP166" s="25">
        <v>2.45912681495541</v>
      </c>
      <c r="AQ166" s="25">
        <v>0.76762125580215</v>
      </c>
      <c r="AR166" s="25">
        <v>2.60587462917497</v>
      </c>
      <c r="AS166" s="25">
        <v>10.6696852295922</v>
      </c>
      <c r="AT166" s="25">
        <v>3.26644841220433</v>
      </c>
      <c r="AU166" s="25">
        <v>0.59526733748533</v>
      </c>
      <c r="AV166" s="26">
        <f t="shared" ref="AV166:AW166" si="335">(AC166-AC$289)/AC$290</f>
        <v>0.5799961085</v>
      </c>
      <c r="AW166" s="27">
        <f t="shared" si="335"/>
        <v>0.5305023825</v>
      </c>
      <c r="AX166" s="27">
        <f t="shared" si="5"/>
        <v>0.3353854323</v>
      </c>
      <c r="AY166" s="28">
        <f t="shared" si="6"/>
        <v>0.3196168901</v>
      </c>
      <c r="AZ166" s="29">
        <f t="shared" si="7"/>
        <v>0.4360647446</v>
      </c>
      <c r="BA166" s="28">
        <f t="shared" si="8"/>
        <v>0.4055334233</v>
      </c>
      <c r="BB166" s="29">
        <f t="shared" si="9"/>
        <v>0.1256195436</v>
      </c>
      <c r="BC166" s="27">
        <f t="shared" si="10"/>
        <v>0.3124344959</v>
      </c>
      <c r="BD166" s="28">
        <f t="shared" si="11"/>
        <v>0.2762130904</v>
      </c>
      <c r="BE166" s="30">
        <f t="shared" ref="BE166:BF166" si="336">((S166-S$289)/S$290)</f>
        <v>-0.7522777392</v>
      </c>
      <c r="BF166" s="30">
        <f t="shared" si="336"/>
        <v>-0.7367528085</v>
      </c>
    </row>
    <row r="167">
      <c r="A167" s="21" t="s">
        <v>67</v>
      </c>
      <c r="B167" s="22">
        <f t="shared" si="3"/>
        <v>-0.06683509904</v>
      </c>
      <c r="C167" s="21" t="s">
        <v>68</v>
      </c>
      <c r="D167" s="21" t="s">
        <v>69</v>
      </c>
      <c r="E167" s="23">
        <v>139.0</v>
      </c>
      <c r="F167" s="24" t="s">
        <v>70</v>
      </c>
      <c r="G167" s="21" t="s">
        <v>71</v>
      </c>
      <c r="H167" s="24" t="s">
        <v>72</v>
      </c>
      <c r="I167" s="24" t="s">
        <v>95</v>
      </c>
      <c r="J167" s="24" t="s">
        <v>74</v>
      </c>
      <c r="K167" s="24" t="s">
        <v>101</v>
      </c>
      <c r="L167" s="21" t="s">
        <v>76</v>
      </c>
      <c r="M167" s="24" t="s">
        <v>85</v>
      </c>
      <c r="N167" s="21" t="s">
        <v>86</v>
      </c>
      <c r="O167" s="21" t="s">
        <v>91</v>
      </c>
      <c r="P167" s="21" t="s">
        <v>80</v>
      </c>
      <c r="Q167" s="24" t="s">
        <v>81</v>
      </c>
      <c r="R167" s="24" t="s">
        <v>81</v>
      </c>
      <c r="S167" s="25">
        <v>417.934023857116</v>
      </c>
      <c r="T167" s="25">
        <v>222.396945476531</v>
      </c>
      <c r="U167" s="25">
        <v>2.09758337591638</v>
      </c>
      <c r="V167" s="25">
        <v>7.27761916549101</v>
      </c>
      <c r="W167" s="25">
        <v>2.69770627858019</v>
      </c>
      <c r="X167" s="25">
        <v>0.722455296045488</v>
      </c>
      <c r="Y167" s="25">
        <v>0.0824194639002096</v>
      </c>
      <c r="Z167" s="25">
        <v>0.0107560348279333</v>
      </c>
      <c r="AA167" s="25">
        <v>0.103711305207934</v>
      </c>
      <c r="AB167" s="25">
        <v>0.773865231485786</v>
      </c>
      <c r="AC167" s="25">
        <v>0.0819527754667207</v>
      </c>
      <c r="AD167" s="25">
        <v>0.103253519554258</v>
      </c>
      <c r="AE167" s="25">
        <v>0.777217703132619</v>
      </c>
      <c r="AF167" s="25">
        <v>0.0947647407874912</v>
      </c>
      <c r="AG167" s="25">
        <v>0.123427755584214</v>
      </c>
      <c r="AH167" s="25">
        <v>0.685747522863272</v>
      </c>
      <c r="AI167" s="25">
        <v>10.0</v>
      </c>
      <c r="AJ167" s="25">
        <v>2.09758337591638</v>
      </c>
      <c r="AK167" s="25">
        <v>7.27761916549101</v>
      </c>
      <c r="AL167" s="25">
        <v>2.69770627858019</v>
      </c>
      <c r="AM167" s="25">
        <v>0.722360295721978</v>
      </c>
      <c r="AN167" s="25">
        <v>1.91109319456424</v>
      </c>
      <c r="AO167" s="25">
        <v>5.797571691845</v>
      </c>
      <c r="AP167" s="25">
        <v>2.40781471293889</v>
      </c>
      <c r="AQ167" s="25">
        <v>0.777217703132619</v>
      </c>
      <c r="AR167" s="25">
        <v>2.20986110808609</v>
      </c>
      <c r="AS167" s="25">
        <v>8.28441913443785</v>
      </c>
      <c r="AT167" s="25">
        <v>2.87826668924855</v>
      </c>
      <c r="AU167" s="25">
        <v>0.685747522863272</v>
      </c>
      <c r="AV167" s="26">
        <f t="shared" ref="AV167:AW167" si="337">(AC167-AC$289)/AC$290</f>
        <v>0.504059879</v>
      </c>
      <c r="AW167" s="27">
        <f t="shared" si="337"/>
        <v>0.4949453537</v>
      </c>
      <c r="AX167" s="27">
        <f t="shared" si="5"/>
        <v>0.1676594231</v>
      </c>
      <c r="AY167" s="28">
        <f t="shared" si="6"/>
        <v>0.1904210288</v>
      </c>
      <c r="AZ167" s="29">
        <f t="shared" si="7"/>
        <v>0.2222724247</v>
      </c>
      <c r="BA167" s="28">
        <f t="shared" si="8"/>
        <v>0.2254857888</v>
      </c>
      <c r="BB167" s="29">
        <f t="shared" si="9"/>
        <v>0.1151282304</v>
      </c>
      <c r="BC167" s="27">
        <f t="shared" si="10"/>
        <v>0.176659625</v>
      </c>
      <c r="BD167" s="28">
        <f t="shared" si="11"/>
        <v>0.143683679</v>
      </c>
      <c r="BE167" s="30">
        <f t="shared" ref="BE167:BF167" si="338">((S167-S$289)/S$290)</f>
        <v>-0.7279688983</v>
      </c>
      <c r="BF167" s="30">
        <f t="shared" si="338"/>
        <v>-0.7771604447</v>
      </c>
    </row>
    <row r="168">
      <c r="A168" s="21" t="s">
        <v>67</v>
      </c>
      <c r="B168" s="22">
        <f t="shared" si="3"/>
        <v>-0.04549203296</v>
      </c>
      <c r="C168" s="21" t="s">
        <v>68</v>
      </c>
      <c r="D168" s="21" t="s">
        <v>69</v>
      </c>
      <c r="E168" s="23">
        <v>284.0</v>
      </c>
      <c r="F168" s="24" t="s">
        <v>97</v>
      </c>
      <c r="G168" s="21" t="s">
        <v>71</v>
      </c>
      <c r="H168" s="24" t="s">
        <v>105</v>
      </c>
      <c r="I168" s="24" t="s">
        <v>73</v>
      </c>
      <c r="J168" s="24" t="s">
        <v>74</v>
      </c>
      <c r="K168" s="24" t="s">
        <v>101</v>
      </c>
      <c r="L168" s="21" t="s">
        <v>84</v>
      </c>
      <c r="M168" s="24" t="s">
        <v>77</v>
      </c>
      <c r="N168" s="21" t="s">
        <v>78</v>
      </c>
      <c r="O168" s="21" t="s">
        <v>79</v>
      </c>
      <c r="P168" s="21" t="s">
        <v>80</v>
      </c>
      <c r="Q168" s="24" t="s">
        <v>81</v>
      </c>
      <c r="S168" s="25">
        <v>376.132044076919</v>
      </c>
      <c r="T168" s="25">
        <v>520.809118032455</v>
      </c>
      <c r="U168" s="25">
        <v>2.06241012421885</v>
      </c>
      <c r="V168" s="25">
        <v>6.95244326633609</v>
      </c>
      <c r="W168" s="25">
        <v>2.63674861644717</v>
      </c>
      <c r="X168" s="25">
        <v>0.742240126785052</v>
      </c>
      <c r="Y168" s="25">
        <v>0.0687510143432532</v>
      </c>
      <c r="Z168" s="25">
        <v>0.00742279229565456</v>
      </c>
      <c r="AA168" s="25">
        <v>0.0861556283457706</v>
      </c>
      <c r="AB168" s="25">
        <v>0.833048020847843</v>
      </c>
      <c r="AC168" s="25">
        <v>0.0685416167058712</v>
      </c>
      <c r="AD168" s="25">
        <v>0.0858688129980176</v>
      </c>
      <c r="AE168" s="25">
        <v>0.835058786482086</v>
      </c>
      <c r="AF168" s="25">
        <v>0.086831842395023</v>
      </c>
      <c r="AG168" s="25">
        <v>0.112036000709716</v>
      </c>
      <c r="AH168" s="25">
        <v>0.721538089932614</v>
      </c>
      <c r="AI168" s="25">
        <v>10.0</v>
      </c>
      <c r="AJ168" s="25">
        <v>2.06241012421881</v>
      </c>
      <c r="AK168" s="25">
        <v>6.95244326633609</v>
      </c>
      <c r="AL168" s="25">
        <v>2.63674861644717</v>
      </c>
      <c r="AM168" s="25">
        <v>0.742164250845396</v>
      </c>
      <c r="AN168" s="25">
        <v>1.67926960929386</v>
      </c>
      <c r="AO168" s="25">
        <v>4.42591519067453</v>
      </c>
      <c r="AP168" s="25">
        <v>2.10378591845143</v>
      </c>
      <c r="AQ168" s="25">
        <v>0.835058786482086</v>
      </c>
      <c r="AR168" s="25">
        <v>2.12738013867805</v>
      </c>
      <c r="AS168" s="25">
        <v>7.53437728938028</v>
      </c>
      <c r="AT168" s="25">
        <v>2.74488201738804</v>
      </c>
      <c r="AU168" s="25">
        <v>0.721538089932614</v>
      </c>
      <c r="AV168" s="26">
        <f t="shared" ref="AV168:AW168" si="339">(AC168-AC$289)/AC$290</f>
        <v>0.2288004053</v>
      </c>
      <c r="AW168" s="27">
        <f t="shared" si="339"/>
        <v>0.2140198154</v>
      </c>
      <c r="AX168" s="27">
        <f t="shared" si="5"/>
        <v>0.1327257577</v>
      </c>
      <c r="AY168" s="28">
        <f t="shared" si="6"/>
        <v>0.146027523</v>
      </c>
      <c r="AZ168" s="29">
        <f t="shared" si="7"/>
        <v>0.2042182777</v>
      </c>
      <c r="BA168" s="28">
        <f t="shared" si="8"/>
        <v>0.2013149182</v>
      </c>
      <c r="BB168" s="29">
        <f t="shared" si="9"/>
        <v>0.05189348304</v>
      </c>
      <c r="BC168" s="27">
        <f t="shared" si="10"/>
        <v>0.1229521795</v>
      </c>
      <c r="BD168" s="28">
        <f t="shared" si="11"/>
        <v>0.1177818145</v>
      </c>
      <c r="BE168" s="30">
        <f t="shared" ref="BE168:BF168" si="340">((S168-S$289)/S$290)</f>
        <v>-0.7389051674</v>
      </c>
      <c r="BF168" s="30">
        <f t="shared" si="340"/>
        <v>-0.1804166442</v>
      </c>
    </row>
    <row r="169">
      <c r="A169" s="21" t="s">
        <v>88</v>
      </c>
      <c r="B169" s="22">
        <f t="shared" si="3"/>
        <v>-0.003789340188</v>
      </c>
      <c r="C169" s="21" t="s">
        <v>68</v>
      </c>
      <c r="D169" s="21" t="s">
        <v>69</v>
      </c>
      <c r="E169" s="23">
        <v>159.0</v>
      </c>
      <c r="F169" s="24" t="s">
        <v>97</v>
      </c>
      <c r="G169" s="21" t="s">
        <v>82</v>
      </c>
      <c r="H169" s="24" t="s">
        <v>98</v>
      </c>
      <c r="I169" s="24" t="s">
        <v>73</v>
      </c>
      <c r="J169" s="24" t="s">
        <v>90</v>
      </c>
      <c r="K169" s="24" t="s">
        <v>101</v>
      </c>
      <c r="L169" s="21" t="s">
        <v>76</v>
      </c>
      <c r="M169" s="24" t="s">
        <v>77</v>
      </c>
      <c r="N169" s="21" t="s">
        <v>86</v>
      </c>
      <c r="O169" s="21" t="s">
        <v>102</v>
      </c>
      <c r="P169" s="21" t="s">
        <v>80</v>
      </c>
      <c r="Q169" s="24" t="s">
        <v>81</v>
      </c>
      <c r="S169" s="25">
        <v>425.11792731285</v>
      </c>
      <c r="T169" s="25">
        <v>417.690381288528</v>
      </c>
      <c r="U169" s="25">
        <v>2.05701029566477</v>
      </c>
      <c r="V169" s="25">
        <v>6.96106151761316</v>
      </c>
      <c r="W169" s="25">
        <v>2.63838236759063</v>
      </c>
      <c r="X169" s="25">
        <v>0.742150108072685</v>
      </c>
      <c r="Y169" s="25">
        <v>0.0600188315461412</v>
      </c>
      <c r="Z169" s="25">
        <v>0.00589799953397596</v>
      </c>
      <c r="AA169" s="25">
        <v>0.0767984344500326</v>
      </c>
      <c r="AB169" s="25">
        <v>0.867860731068983</v>
      </c>
      <c r="AC169" s="25">
        <v>0.0598813904610895</v>
      </c>
      <c r="AD169" s="25">
        <v>0.0766228886670305</v>
      </c>
      <c r="AE169" s="25">
        <v>0.869082123476707</v>
      </c>
      <c r="AF169" s="25">
        <v>0.090874090494093</v>
      </c>
      <c r="AG169" s="25">
        <v>0.115783278978039</v>
      </c>
      <c r="AH169" s="25">
        <v>0.702514977761485</v>
      </c>
      <c r="AI169" s="25">
        <v>10.0</v>
      </c>
      <c r="AJ169" s="25">
        <v>2.0570102956647</v>
      </c>
      <c r="AK169" s="25">
        <v>6.96106151761316</v>
      </c>
      <c r="AL169" s="25">
        <v>2.63838236759063</v>
      </c>
      <c r="AM169" s="25">
        <v>0.742092778233719</v>
      </c>
      <c r="AN169" s="25">
        <v>1.4670940662967</v>
      </c>
      <c r="AO169" s="25">
        <v>3.52410800737503</v>
      </c>
      <c r="AP169" s="25">
        <v>1.87726077234225</v>
      </c>
      <c r="AQ169" s="25">
        <v>0.869082123476707</v>
      </c>
      <c r="AR169" s="25">
        <v>2.22641521710522</v>
      </c>
      <c r="AS169" s="25">
        <v>8.04681205646673</v>
      </c>
      <c r="AT169" s="25">
        <v>2.83669033496198</v>
      </c>
      <c r="AU169" s="25">
        <v>0.702514977761485</v>
      </c>
      <c r="AV169" s="26">
        <f t="shared" ref="AV169:AW169" si="341">(AC169-AC$289)/AC$290</f>
        <v>0.05105220608</v>
      </c>
      <c r="AW169" s="27">
        <f t="shared" si="341"/>
        <v>0.06461169843</v>
      </c>
      <c r="AX169" s="27">
        <f t="shared" si="5"/>
        <v>0.1746706853</v>
      </c>
      <c r="AY169" s="28">
        <f t="shared" si="6"/>
        <v>0.1765834559</v>
      </c>
      <c r="AZ169" s="29">
        <f t="shared" si="7"/>
        <v>0.2014465892</v>
      </c>
      <c r="BA169" s="28">
        <f t="shared" si="8"/>
        <v>0.2019627315</v>
      </c>
      <c r="BB169" s="29">
        <f t="shared" si="9"/>
        <v>0.01469747989</v>
      </c>
      <c r="BC169" s="27">
        <f t="shared" si="10"/>
        <v>0.1514983257</v>
      </c>
      <c r="BD169" s="28">
        <f t="shared" si="11"/>
        <v>0.1178752945</v>
      </c>
      <c r="BE169" s="30">
        <f t="shared" ref="BE169:BF169" si="342">((S169-S$289)/S$290)</f>
        <v>-0.7260894395</v>
      </c>
      <c r="BF169" s="30">
        <f t="shared" si="342"/>
        <v>-0.3866262849</v>
      </c>
    </row>
    <row r="170">
      <c r="A170" s="21" t="s">
        <v>88</v>
      </c>
      <c r="B170" s="22">
        <f t="shared" si="3"/>
        <v>-0.2221674015</v>
      </c>
      <c r="C170" s="21" t="s">
        <v>68</v>
      </c>
      <c r="D170" s="21" t="s">
        <v>69</v>
      </c>
      <c r="E170" s="23">
        <v>90.0</v>
      </c>
      <c r="F170" s="24" t="s">
        <v>70</v>
      </c>
      <c r="G170" s="21" t="s">
        <v>71</v>
      </c>
      <c r="H170" s="24" t="s">
        <v>72</v>
      </c>
      <c r="I170" s="24" t="s">
        <v>73</v>
      </c>
      <c r="J170" s="24" t="s">
        <v>74</v>
      </c>
      <c r="K170" s="24" t="s">
        <v>101</v>
      </c>
      <c r="L170" s="21" t="s">
        <v>84</v>
      </c>
      <c r="M170" s="24" t="s">
        <v>85</v>
      </c>
      <c r="N170" s="21" t="s">
        <v>104</v>
      </c>
      <c r="O170" s="21" t="s">
        <v>91</v>
      </c>
      <c r="P170" s="21" t="s">
        <v>80</v>
      </c>
      <c r="Q170" s="24" t="s">
        <v>87</v>
      </c>
      <c r="R170" s="24" t="s">
        <v>81</v>
      </c>
      <c r="S170" s="25">
        <v>313.449515104293</v>
      </c>
      <c r="T170" s="25">
        <v>223.070321321487</v>
      </c>
      <c r="U170" s="25">
        <v>2.41676755403337</v>
      </c>
      <c r="V170" s="25">
        <v>9.23140108849363</v>
      </c>
      <c r="W170" s="25">
        <v>3.03832208439027</v>
      </c>
      <c r="X170" s="25">
        <v>0.645277722618081</v>
      </c>
      <c r="Y170" s="25">
        <v>0.101625298051974</v>
      </c>
      <c r="Z170" s="25">
        <v>0.0157357269912966</v>
      </c>
      <c r="AA170" s="25">
        <v>0.125442126063363</v>
      </c>
      <c r="AB170" s="25">
        <v>0.667603582065818</v>
      </c>
      <c r="AC170" s="25">
        <v>0.10203694222902</v>
      </c>
      <c r="AD170" s="25">
        <v>0.125627509331262</v>
      </c>
      <c r="AE170" s="25">
        <v>0.668560519973573</v>
      </c>
      <c r="AF170" s="25">
        <v>0.111684961239914</v>
      </c>
      <c r="AG170" s="25">
        <v>0.140398463806963</v>
      </c>
      <c r="AH170" s="25">
        <v>0.590147169667973</v>
      </c>
      <c r="AI170" s="25">
        <v>10.0</v>
      </c>
      <c r="AJ170" s="25">
        <v>2.41676755403337</v>
      </c>
      <c r="AK170" s="25">
        <v>9.23140108849363</v>
      </c>
      <c r="AL170" s="25">
        <v>3.03832208439027</v>
      </c>
      <c r="AM170" s="25">
        <v>0.645212452698978</v>
      </c>
      <c r="AN170" s="25">
        <v>2.37944480559065</v>
      </c>
      <c r="AO170" s="25">
        <v>8.58234361616583</v>
      </c>
      <c r="AP170" s="25">
        <v>2.92956372454429</v>
      </c>
      <c r="AQ170" s="25">
        <v>0.668560519973573</v>
      </c>
      <c r="AR170" s="25">
        <v>2.60443124891413</v>
      </c>
      <c r="AS170" s="25">
        <v>10.7191688300958</v>
      </c>
      <c r="AT170" s="25">
        <v>3.27401417683183</v>
      </c>
      <c r="AU170" s="25">
        <v>0.590147169667973</v>
      </c>
      <c r="AV170" s="26">
        <f t="shared" ref="AV170:AW170" si="343">(AC170-AC$289)/AC$290</f>
        <v>0.9162805732</v>
      </c>
      <c r="AW170" s="27">
        <f t="shared" si="343"/>
        <v>0.8564944602</v>
      </c>
      <c r="AX170" s="27">
        <f t="shared" si="5"/>
        <v>0.3347741087</v>
      </c>
      <c r="AY170" s="28">
        <f t="shared" si="6"/>
        <v>0.3221349517</v>
      </c>
      <c r="AZ170" s="29">
        <f t="shared" si="7"/>
        <v>0.3861070942</v>
      </c>
      <c r="BA170" s="28">
        <f t="shared" si="8"/>
        <v>0.3605464241</v>
      </c>
      <c r="BB170" s="29">
        <f t="shared" si="9"/>
        <v>0.2339176638</v>
      </c>
      <c r="BC170" s="27">
        <f t="shared" si="10"/>
        <v>0.320117837</v>
      </c>
      <c r="BD170" s="28">
        <f t="shared" si="11"/>
        <v>0.2445864012</v>
      </c>
      <c r="BE170" s="30">
        <f t="shared" ref="BE170:BF170" si="344">((S170-S$289)/S$290)</f>
        <v>-0.7553042233</v>
      </c>
      <c r="BF170" s="30">
        <f t="shared" si="344"/>
        <v>-0.7758138748</v>
      </c>
    </row>
    <row r="171">
      <c r="A171" s="21" t="s">
        <v>67</v>
      </c>
      <c r="B171" s="22">
        <f t="shared" si="3"/>
        <v>0.1493250676</v>
      </c>
      <c r="C171" s="21" t="s">
        <v>68</v>
      </c>
      <c r="D171" s="21" t="s">
        <v>69</v>
      </c>
      <c r="E171" s="23">
        <v>189.0</v>
      </c>
      <c r="F171" s="24" t="s">
        <v>97</v>
      </c>
      <c r="G171" s="21" t="s">
        <v>82</v>
      </c>
      <c r="H171" s="24" t="s">
        <v>98</v>
      </c>
      <c r="I171" s="24" t="s">
        <v>73</v>
      </c>
      <c r="J171" s="24" t="s">
        <v>99</v>
      </c>
      <c r="K171" s="24" t="s">
        <v>75</v>
      </c>
      <c r="L171" s="21" t="s">
        <v>92</v>
      </c>
      <c r="M171" s="24" t="s">
        <v>85</v>
      </c>
      <c r="N171" s="21" t="s">
        <v>86</v>
      </c>
      <c r="O171" s="21" t="s">
        <v>91</v>
      </c>
      <c r="P171" s="21" t="s">
        <v>80</v>
      </c>
      <c r="Q171" s="24" t="s">
        <v>94</v>
      </c>
      <c r="R171" s="24" t="s">
        <v>81</v>
      </c>
      <c r="S171" s="25">
        <v>560.47539114952</v>
      </c>
      <c r="T171" s="25">
        <v>443.417648792266</v>
      </c>
      <c r="U171" s="25">
        <v>1.55864722388339</v>
      </c>
      <c r="V171" s="25">
        <v>4.0487557650514</v>
      </c>
      <c r="W171" s="25">
        <v>2.012152023345</v>
      </c>
      <c r="X171" s="25">
        <v>0.850021584807215</v>
      </c>
      <c r="Y171" s="25">
        <v>0.0501433933769127</v>
      </c>
      <c r="Z171" s="25">
        <v>0.00398356454840114</v>
      </c>
      <c r="AA171" s="25">
        <v>0.0631154858049999</v>
      </c>
      <c r="AB171" s="25">
        <v>0.910751890682094</v>
      </c>
      <c r="AC171" s="25">
        <v>0.0499260876039243</v>
      </c>
      <c r="AD171" s="25">
        <v>0.0629355378331516</v>
      </c>
      <c r="AE171" s="25">
        <v>0.911677001053541</v>
      </c>
      <c r="AF171" s="25">
        <v>0.068004950687149</v>
      </c>
      <c r="AG171" s="25">
        <v>0.08789924399525</v>
      </c>
      <c r="AH171" s="25">
        <v>0.828547550099112</v>
      </c>
      <c r="AI171" s="25">
        <v>10.0</v>
      </c>
      <c r="AJ171" s="25">
        <v>1.55864722388342</v>
      </c>
      <c r="AK171" s="25">
        <v>4.0487557650514</v>
      </c>
      <c r="AL171" s="25">
        <v>2.012152023345</v>
      </c>
      <c r="AM171" s="25">
        <v>0.849993661407454</v>
      </c>
      <c r="AN171" s="25">
        <v>1.2231891462961</v>
      </c>
      <c r="AO171" s="25">
        <v>2.37751937388942</v>
      </c>
      <c r="AP171" s="25">
        <v>1.54192067691221</v>
      </c>
      <c r="AQ171" s="25">
        <v>0.911677001053541</v>
      </c>
      <c r="AR171" s="25">
        <v>1.66612129183512</v>
      </c>
      <c r="AS171" s="25">
        <v>4.63769782623565</v>
      </c>
      <c r="AT171" s="25">
        <v>2.15353147788362</v>
      </c>
      <c r="AU171" s="25">
        <v>0.828547550099112</v>
      </c>
      <c r="AV171" s="26">
        <f t="shared" ref="AV171:AW171" si="345">(AC171-AC$289)/AC$290</f>
        <v>-0.1532770002</v>
      </c>
      <c r="AW171" s="27">
        <f t="shared" si="345"/>
        <v>-0.1565669789</v>
      </c>
      <c r="AX171" s="27">
        <f t="shared" si="5"/>
        <v>-0.06263400013</v>
      </c>
      <c r="AY171" s="28">
        <f t="shared" si="6"/>
        <v>-0.0507876225</v>
      </c>
      <c r="AZ171" s="29">
        <f t="shared" si="7"/>
        <v>-0.0543591643</v>
      </c>
      <c r="BA171" s="28">
        <f t="shared" si="8"/>
        <v>-0.04634949214</v>
      </c>
      <c r="BB171" s="29">
        <f t="shared" si="9"/>
        <v>-0.03186935747</v>
      </c>
      <c r="BC171" s="27">
        <f t="shared" si="10"/>
        <v>-0.03762657689</v>
      </c>
      <c r="BD171" s="28">
        <f t="shared" si="11"/>
        <v>-0.02324975071</v>
      </c>
      <c r="BE171" s="30">
        <f t="shared" ref="BE171:BF171" si="346">((S171-S$289)/S$290)</f>
        <v>-0.6906771061</v>
      </c>
      <c r="BF171" s="30">
        <f t="shared" si="346"/>
        <v>-0.3351786939</v>
      </c>
    </row>
    <row r="172">
      <c r="A172" s="21" t="s">
        <v>67</v>
      </c>
      <c r="B172" s="22">
        <f t="shared" si="3"/>
        <v>-0.068701659</v>
      </c>
      <c r="C172" s="21" t="s">
        <v>68</v>
      </c>
      <c r="D172" s="21" t="s">
        <v>69</v>
      </c>
      <c r="E172" s="23">
        <v>184.0</v>
      </c>
      <c r="F172" s="24" t="s">
        <v>97</v>
      </c>
      <c r="G172" s="21" t="s">
        <v>82</v>
      </c>
      <c r="H172" s="24" t="s">
        <v>98</v>
      </c>
      <c r="I172" s="24" t="s">
        <v>73</v>
      </c>
      <c r="J172" s="24" t="s">
        <v>74</v>
      </c>
      <c r="K172" s="24" t="s">
        <v>101</v>
      </c>
      <c r="L172" s="21" t="s">
        <v>76</v>
      </c>
      <c r="M172" s="24" t="s">
        <v>85</v>
      </c>
      <c r="N172" s="21" t="s">
        <v>86</v>
      </c>
      <c r="O172" s="21" t="s">
        <v>79</v>
      </c>
      <c r="P172" s="21" t="s">
        <v>80</v>
      </c>
      <c r="Q172" s="24" t="s">
        <v>81</v>
      </c>
      <c r="R172" s="24" t="s">
        <v>103</v>
      </c>
      <c r="S172" s="25">
        <v>380.718711614608</v>
      </c>
      <c r="T172" s="25">
        <v>527.627813100814</v>
      </c>
      <c r="U172" s="25">
        <v>2.029329251667</v>
      </c>
      <c r="V172" s="25">
        <v>6.44060438813764</v>
      </c>
      <c r="W172" s="25">
        <v>2.53783458644129</v>
      </c>
      <c r="X172" s="25">
        <v>0.761410156755624</v>
      </c>
      <c r="Y172" s="25">
        <v>0.0749404124744474</v>
      </c>
      <c r="Z172" s="25">
        <v>0.00857730481040937</v>
      </c>
      <c r="AA172" s="25">
        <v>0.0926137398575901</v>
      </c>
      <c r="AB172" s="25">
        <v>0.807833354255636</v>
      </c>
      <c r="AC172" s="25">
        <v>0.0747228481815751</v>
      </c>
      <c r="AD172" s="25">
        <v>0.0923871940436399</v>
      </c>
      <c r="AE172" s="25">
        <v>0.809670781211359</v>
      </c>
      <c r="AF172" s="25">
        <v>0.0907251437036124</v>
      </c>
      <c r="AG172" s="25">
        <v>0.113397679986631</v>
      </c>
      <c r="AH172" s="25">
        <v>0.714647452350491</v>
      </c>
      <c r="AI172" s="25">
        <v>10.0</v>
      </c>
      <c r="AJ172" s="25">
        <v>2.02932925166694</v>
      </c>
      <c r="AK172" s="25">
        <v>6.44060438813765</v>
      </c>
      <c r="AL172" s="25">
        <v>2.53783458644129</v>
      </c>
      <c r="AM172" s="25">
        <v>0.761375706846237</v>
      </c>
      <c r="AN172" s="25">
        <v>1.83070978044859</v>
      </c>
      <c r="AO172" s="25">
        <v>5.12337002236011</v>
      </c>
      <c r="AP172" s="25">
        <v>2.26348625406917</v>
      </c>
      <c r="AQ172" s="25">
        <v>0.809670781211359</v>
      </c>
      <c r="AR172" s="25">
        <v>2.22276602073845</v>
      </c>
      <c r="AS172" s="25">
        <v>7.71863505426689</v>
      </c>
      <c r="AT172" s="25">
        <v>2.77824315967247</v>
      </c>
      <c r="AU172" s="25">
        <v>0.714647452350491</v>
      </c>
      <c r="AV172" s="26">
        <f t="shared" ref="AV172:AW172" si="347">(AC172-AC$289)/AC$290</f>
        <v>0.3556680797</v>
      </c>
      <c r="AW172" s="27">
        <f t="shared" si="347"/>
        <v>0.3193526088</v>
      </c>
      <c r="AX172" s="27">
        <f t="shared" si="5"/>
        <v>0.173125119</v>
      </c>
      <c r="AY172" s="28">
        <f t="shared" si="6"/>
        <v>0.1571308833</v>
      </c>
      <c r="AZ172" s="29">
        <f t="shared" si="7"/>
        <v>0.1872381321</v>
      </c>
      <c r="BA172" s="28">
        <f t="shared" si="8"/>
        <v>0.1620936269</v>
      </c>
      <c r="BB172" s="29">
        <f t="shared" si="9"/>
        <v>0.07964891232</v>
      </c>
      <c r="BC172" s="27">
        <f t="shared" si="10"/>
        <v>0.1332922934</v>
      </c>
      <c r="BD172" s="28">
        <f t="shared" si="11"/>
        <v>0.09265488764</v>
      </c>
      <c r="BE172" s="30">
        <f t="shared" ref="BE172:BF172" si="348">((S172-S$289)/S$290)</f>
        <v>-0.7377051996</v>
      </c>
      <c r="BF172" s="30">
        <f t="shared" si="348"/>
        <v>-0.1667810945</v>
      </c>
    </row>
    <row r="173">
      <c r="A173" s="21" t="s">
        <v>88</v>
      </c>
      <c r="B173" s="22">
        <f t="shared" si="3"/>
        <v>0.1139501823</v>
      </c>
      <c r="C173" s="21" t="s">
        <v>68</v>
      </c>
      <c r="D173" s="21" t="s">
        <v>69</v>
      </c>
      <c r="E173" s="23">
        <v>252.0</v>
      </c>
      <c r="F173" s="24" t="s">
        <v>97</v>
      </c>
      <c r="G173" s="21" t="s">
        <v>71</v>
      </c>
      <c r="H173" s="24" t="s">
        <v>105</v>
      </c>
      <c r="I173" s="24" t="s">
        <v>73</v>
      </c>
      <c r="J173" s="24" t="s">
        <v>99</v>
      </c>
      <c r="K173" s="24" t="s">
        <v>75</v>
      </c>
      <c r="L173" s="21" t="s">
        <v>92</v>
      </c>
      <c r="M173" s="24" t="s">
        <v>77</v>
      </c>
      <c r="N173" s="21" t="s">
        <v>86</v>
      </c>
      <c r="O173" s="21" t="s">
        <v>91</v>
      </c>
      <c r="P173" s="21" t="s">
        <v>80</v>
      </c>
      <c r="Q173" s="24" t="s">
        <v>94</v>
      </c>
      <c r="S173" s="25">
        <v>525.633932113647</v>
      </c>
      <c r="T173" s="25">
        <v>531.411707401275</v>
      </c>
      <c r="U173" s="25">
        <v>1.55137843818254</v>
      </c>
      <c r="V173" s="25">
        <v>4.14271181379324</v>
      </c>
      <c r="W173" s="25">
        <v>2.03536527773106</v>
      </c>
      <c r="X173" s="25">
        <v>0.84644494712635</v>
      </c>
      <c r="Y173" s="25">
        <v>0.0522600584366025</v>
      </c>
      <c r="Z173" s="25">
        <v>0.0042649861225591</v>
      </c>
      <c r="AA173" s="25">
        <v>0.0653068612211543</v>
      </c>
      <c r="AB173" s="25">
        <v>0.904072773983643</v>
      </c>
      <c r="AC173" s="25">
        <v>0.0521399615608245</v>
      </c>
      <c r="AD173" s="25">
        <v>0.0651188652689428</v>
      </c>
      <c r="AE173" s="25">
        <v>0.905142447527991</v>
      </c>
      <c r="AF173" s="25">
        <v>0.0725094748942279</v>
      </c>
      <c r="AG173" s="25">
        <v>0.0933629894340616</v>
      </c>
      <c r="AH173" s="25">
        <v>0.806625100596121</v>
      </c>
      <c r="AI173" s="25">
        <v>10.0</v>
      </c>
      <c r="AJ173" s="25">
        <v>1.55137843818256</v>
      </c>
      <c r="AK173" s="25">
        <v>4.14271181379324</v>
      </c>
      <c r="AL173" s="25">
        <v>2.03536527773106</v>
      </c>
      <c r="AM173" s="25">
        <v>0.846364916170842</v>
      </c>
      <c r="AN173" s="25">
        <v>1.27742905824023</v>
      </c>
      <c r="AO173" s="25">
        <v>2.54534008500232</v>
      </c>
      <c r="AP173" s="25">
        <v>1.5954121990891</v>
      </c>
      <c r="AQ173" s="25">
        <v>0.905142447527991</v>
      </c>
      <c r="AR173" s="25">
        <v>1.77648213490858</v>
      </c>
      <c r="AS173" s="25">
        <v>5.23216783958785</v>
      </c>
      <c r="AT173" s="25">
        <v>2.28739324113451</v>
      </c>
      <c r="AU173" s="25">
        <v>0.806625100596121</v>
      </c>
      <c r="AV173" s="26">
        <f t="shared" ref="AV173:AW173" si="349">(AC173-AC$289)/AC$290</f>
        <v>-0.10783799</v>
      </c>
      <c r="AW173" s="27">
        <f t="shared" si="349"/>
        <v>-0.1212858291</v>
      </c>
      <c r="AX173" s="27">
        <f t="shared" si="5"/>
        <v>-0.01589220271</v>
      </c>
      <c r="AY173" s="28">
        <f t="shared" si="6"/>
        <v>-0.006235329648</v>
      </c>
      <c r="AZ173" s="29">
        <f t="shared" si="7"/>
        <v>-0.05809017349</v>
      </c>
      <c r="BA173" s="28">
        <f t="shared" si="8"/>
        <v>-0.03714499595</v>
      </c>
      <c r="BB173" s="29">
        <f t="shared" si="9"/>
        <v>-0.02472545875</v>
      </c>
      <c r="BC173" s="27">
        <f t="shared" si="10"/>
        <v>-0.004729675331</v>
      </c>
      <c r="BD173" s="28">
        <f t="shared" si="11"/>
        <v>-0.01850366504</v>
      </c>
      <c r="BE173" s="30">
        <f t="shared" ref="BE173:BF173" si="350">((S173-S$289)/S$290)</f>
        <v>-0.6997923579</v>
      </c>
      <c r="BF173" s="30">
        <f t="shared" si="350"/>
        <v>-0.1592143272</v>
      </c>
    </row>
    <row r="174">
      <c r="A174" s="21" t="s">
        <v>88</v>
      </c>
      <c r="B174" s="22">
        <f t="shared" si="3"/>
        <v>-0.1244373002</v>
      </c>
      <c r="C174" s="21" t="s">
        <v>68</v>
      </c>
      <c r="D174" s="21" t="s">
        <v>69</v>
      </c>
      <c r="E174" s="23">
        <v>86.0</v>
      </c>
      <c r="F174" s="24" t="s">
        <v>70</v>
      </c>
      <c r="G174" s="21" t="s">
        <v>71</v>
      </c>
      <c r="H174" s="24" t="s">
        <v>72</v>
      </c>
      <c r="I174" s="24" t="s">
        <v>95</v>
      </c>
      <c r="J174" s="24" t="s">
        <v>99</v>
      </c>
      <c r="K174" s="24" t="s">
        <v>101</v>
      </c>
      <c r="L174" s="21" t="s">
        <v>76</v>
      </c>
      <c r="M174" s="24" t="s">
        <v>85</v>
      </c>
      <c r="N174" s="21" t="s">
        <v>104</v>
      </c>
      <c r="O174" s="21" t="s">
        <v>102</v>
      </c>
      <c r="P174" s="21" t="s">
        <v>80</v>
      </c>
      <c r="Q174" s="24" t="s">
        <v>100</v>
      </c>
      <c r="R174" s="24" t="s">
        <v>81</v>
      </c>
      <c r="S174" s="25">
        <v>404.998847723007</v>
      </c>
      <c r="T174" s="25">
        <v>224.723324298858</v>
      </c>
      <c r="U174" s="25">
        <v>2.22293259060605</v>
      </c>
      <c r="V174" s="25">
        <v>7.76113140797848</v>
      </c>
      <c r="W174" s="25">
        <v>2.78588072393246</v>
      </c>
      <c r="X174" s="25">
        <v>0.703978065811231</v>
      </c>
      <c r="Y174" s="25">
        <v>0.0904662593056679</v>
      </c>
      <c r="Z174" s="25">
        <v>0.0125479039535808</v>
      </c>
      <c r="AA174" s="25">
        <v>0.112017427008393</v>
      </c>
      <c r="AB174" s="25">
        <v>0.736192992931505</v>
      </c>
      <c r="AC174" s="25">
        <v>0.0907321309941757</v>
      </c>
      <c r="AD174" s="25">
        <v>0.112073005696531</v>
      </c>
      <c r="AE174" s="25">
        <v>0.737534039189743</v>
      </c>
      <c r="AF174" s="25">
        <v>0.1021722834122</v>
      </c>
      <c r="AG174" s="25">
        <v>0.12791072697088</v>
      </c>
      <c r="AH174" s="25">
        <v>0.66250528177621</v>
      </c>
      <c r="AI174" s="25">
        <v>10.0</v>
      </c>
      <c r="AJ174" s="25">
        <v>2.22293259060605</v>
      </c>
      <c r="AK174" s="25">
        <v>7.76113140797848</v>
      </c>
      <c r="AL174" s="25">
        <v>2.78588072393246</v>
      </c>
      <c r="AM174" s="25">
        <v>0.703914401128376</v>
      </c>
      <c r="AN174" s="25">
        <v>2.11582288804475</v>
      </c>
      <c r="AO174" s="25">
        <v>6.83027891292578</v>
      </c>
      <c r="AP174" s="25">
        <v>2.61348023006216</v>
      </c>
      <c r="AQ174" s="25">
        <v>0.737534039189743</v>
      </c>
      <c r="AR174" s="25">
        <v>2.38260088679286</v>
      </c>
      <c r="AS174" s="25">
        <v>8.89713814478029</v>
      </c>
      <c r="AT174" s="25">
        <v>2.98280709144595</v>
      </c>
      <c r="AU174" s="25">
        <v>0.66250528177621</v>
      </c>
      <c r="AV174" s="26">
        <f t="shared" ref="AV174:AW174" si="351">(AC174-AC$289)/AC$290</f>
        <v>0.6842531662</v>
      </c>
      <c r="AW174" s="27">
        <f t="shared" si="351"/>
        <v>0.6374625072</v>
      </c>
      <c r="AX174" s="27">
        <f t="shared" si="5"/>
        <v>0.2408209496</v>
      </c>
      <c r="AY174" s="28">
        <f t="shared" si="6"/>
        <v>0.2252144941</v>
      </c>
      <c r="AZ174" s="29">
        <f t="shared" si="7"/>
        <v>0.2866131677</v>
      </c>
      <c r="BA174" s="28">
        <f t="shared" si="8"/>
        <v>0.2604486308</v>
      </c>
      <c r="BB174" s="29">
        <f t="shared" si="9"/>
        <v>0.1585123843</v>
      </c>
      <c r="BC174" s="27">
        <f t="shared" si="10"/>
        <v>0.2115370102</v>
      </c>
      <c r="BD174" s="28">
        <f t="shared" si="11"/>
        <v>0.1678093176</v>
      </c>
      <c r="BE174" s="30">
        <f t="shared" ref="BE174:BF174" si="352">((S174-S$289)/S$290)</f>
        <v>-0.73135301</v>
      </c>
      <c r="BF174" s="30">
        <f t="shared" si="352"/>
        <v>-0.772508315</v>
      </c>
    </row>
    <row r="175">
      <c r="A175" s="21" t="s">
        <v>88</v>
      </c>
      <c r="B175" s="22">
        <f t="shared" si="3"/>
        <v>0.05612112849</v>
      </c>
      <c r="C175" s="21" t="s">
        <v>68</v>
      </c>
      <c r="D175" s="21" t="s">
        <v>69</v>
      </c>
      <c r="E175" s="23">
        <v>26.0</v>
      </c>
      <c r="F175" s="24" t="s">
        <v>70</v>
      </c>
      <c r="G175" s="21" t="s">
        <v>82</v>
      </c>
      <c r="H175" s="24" t="s">
        <v>83</v>
      </c>
      <c r="I175" s="24" t="s">
        <v>95</v>
      </c>
      <c r="J175" s="24" t="s">
        <v>90</v>
      </c>
      <c r="K175" s="24" t="s">
        <v>101</v>
      </c>
      <c r="L175" s="21" t="s">
        <v>84</v>
      </c>
      <c r="M175" s="24" t="s">
        <v>77</v>
      </c>
      <c r="N175" s="21" t="s">
        <v>86</v>
      </c>
      <c r="O175" s="21" t="s">
        <v>79</v>
      </c>
      <c r="P175" s="21" t="s">
        <v>80</v>
      </c>
      <c r="Q175" s="24" t="s">
        <v>87</v>
      </c>
      <c r="S175" s="25">
        <v>547.708292484283</v>
      </c>
      <c r="T175" s="25">
        <v>177.235251903533</v>
      </c>
      <c r="U175" s="25">
        <v>1.88990298208648</v>
      </c>
      <c r="V175" s="25">
        <v>5.95667405227467</v>
      </c>
      <c r="W175" s="25">
        <v>2.44062984745222</v>
      </c>
      <c r="X175" s="25">
        <v>0.772876681049695</v>
      </c>
      <c r="Y175" s="25">
        <v>0.0608020757292474</v>
      </c>
      <c r="Z175" s="25">
        <v>0.0059844868027408</v>
      </c>
      <c r="AA175" s="25">
        <v>0.0773594648555741</v>
      </c>
      <c r="AB175" s="25">
        <v>0.874738010463978</v>
      </c>
      <c r="AC175" s="25">
        <v>0.060621155092036</v>
      </c>
      <c r="AD175" s="25">
        <v>0.0771636680710798</v>
      </c>
      <c r="AE175" s="25">
        <v>0.875998139647794</v>
      </c>
      <c r="AF175" s="25">
        <v>0.0935076386724754</v>
      </c>
      <c r="AG175" s="25">
        <v>0.120631246520923</v>
      </c>
      <c r="AH175" s="25">
        <v>0.699171164922585</v>
      </c>
      <c r="AI175" s="25">
        <v>10.0</v>
      </c>
      <c r="AJ175" s="25">
        <v>1.88990298208647</v>
      </c>
      <c r="AK175" s="25">
        <v>5.95667405227467</v>
      </c>
      <c r="AL175" s="25">
        <v>2.44062984745222</v>
      </c>
      <c r="AM175" s="25">
        <v>0.772782389749151</v>
      </c>
      <c r="AN175" s="25">
        <v>1.4136516583268</v>
      </c>
      <c r="AO175" s="25">
        <v>3.23789027811469</v>
      </c>
      <c r="AP175" s="25">
        <v>1.79941387071309</v>
      </c>
      <c r="AQ175" s="25">
        <v>0.875998139647794</v>
      </c>
      <c r="AR175" s="25">
        <v>2.18054618515398</v>
      </c>
      <c r="AS175" s="25">
        <v>7.91327084626676</v>
      </c>
      <c r="AT175" s="25">
        <v>2.81305365150875</v>
      </c>
      <c r="AU175" s="25">
        <v>0.699171164922585</v>
      </c>
      <c r="AV175" s="26">
        <f t="shared" ref="AV175:AW175" si="353">(AC175-AC$289)/AC$290</f>
        <v>0.06623562361</v>
      </c>
      <c r="AW175" s="27">
        <f t="shared" si="353"/>
        <v>0.07335034148</v>
      </c>
      <c r="AX175" s="27">
        <f t="shared" si="5"/>
        <v>0.1552434959</v>
      </c>
      <c r="AY175" s="28">
        <f t="shared" si="6"/>
        <v>0.1687166206</v>
      </c>
      <c r="AZ175" s="29">
        <f t="shared" si="7"/>
        <v>0.1156717501</v>
      </c>
      <c r="BA175" s="28">
        <f t="shared" si="8"/>
        <v>0.123550102</v>
      </c>
      <c r="BB175" s="29">
        <f t="shared" si="9"/>
        <v>0.007136547251</v>
      </c>
      <c r="BC175" s="27">
        <f t="shared" si="10"/>
        <v>0.1565160625</v>
      </c>
      <c r="BD175" s="28">
        <f t="shared" si="11"/>
        <v>0.0777359306</v>
      </c>
      <c r="BE175" s="30">
        <f t="shared" ref="BE175:BF175" si="354">((S175-S$289)/S$290)</f>
        <v>-0.6940172452</v>
      </c>
      <c r="BF175" s="30">
        <f t="shared" si="354"/>
        <v>-0.8674716422</v>
      </c>
    </row>
    <row r="176">
      <c r="A176" s="21" t="s">
        <v>67</v>
      </c>
      <c r="B176" s="22">
        <f t="shared" si="3"/>
        <v>-0.2336739783</v>
      </c>
      <c r="C176" s="21" t="s">
        <v>68</v>
      </c>
      <c r="D176" s="21" t="s">
        <v>69</v>
      </c>
      <c r="E176" s="23">
        <v>129.0</v>
      </c>
      <c r="F176" s="24" t="s">
        <v>70</v>
      </c>
      <c r="G176" s="21" t="s">
        <v>71</v>
      </c>
      <c r="H176" s="24" t="s">
        <v>72</v>
      </c>
      <c r="I176" s="24" t="s">
        <v>73</v>
      </c>
      <c r="J176" s="24" t="s">
        <v>74</v>
      </c>
      <c r="K176" s="24" t="s">
        <v>101</v>
      </c>
      <c r="L176" s="21" t="s">
        <v>92</v>
      </c>
      <c r="M176" s="24" t="s">
        <v>85</v>
      </c>
      <c r="N176" s="21" t="s">
        <v>78</v>
      </c>
      <c r="O176" s="21" t="s">
        <v>91</v>
      </c>
      <c r="P176" s="21" t="s">
        <v>80</v>
      </c>
      <c r="Q176" s="24" t="s">
        <v>93</v>
      </c>
      <c r="R176" s="24" t="s">
        <v>81</v>
      </c>
      <c r="S176" s="25">
        <v>327.27353477478</v>
      </c>
      <c r="T176" s="25">
        <v>220.639222860336</v>
      </c>
      <c r="U176" s="25">
        <v>2.46988961220379</v>
      </c>
      <c r="V176" s="25">
        <v>9.46914156568031</v>
      </c>
      <c r="W176" s="25">
        <v>3.07719703068885</v>
      </c>
      <c r="X176" s="25">
        <v>0.636169033604787</v>
      </c>
      <c r="Y176" s="25">
        <v>0.102172094444884</v>
      </c>
      <c r="Z176" s="25">
        <v>0.0156307982633495</v>
      </c>
      <c r="AA176" s="25">
        <v>0.125023190902126</v>
      </c>
      <c r="AB176" s="25">
        <v>0.669820062647066</v>
      </c>
      <c r="AC176" s="25">
        <v>0.101320340226998</v>
      </c>
      <c r="AD176" s="25">
        <v>0.124389020681879</v>
      </c>
      <c r="AE176" s="25">
        <v>0.675063246554789</v>
      </c>
      <c r="AF176" s="25">
        <v>0.115346508479231</v>
      </c>
      <c r="AG176" s="25">
        <v>0.145128615131991</v>
      </c>
      <c r="AH176" s="25">
        <v>0.562065329459585</v>
      </c>
      <c r="AI176" s="25">
        <v>10.0</v>
      </c>
      <c r="AJ176" s="25">
        <v>2.46988961220379</v>
      </c>
      <c r="AK176" s="25">
        <v>9.46914156568031</v>
      </c>
      <c r="AL176" s="25">
        <v>3.07719703068885</v>
      </c>
      <c r="AM176" s="25">
        <v>0.636075447385627</v>
      </c>
      <c r="AN176" s="25">
        <v>2.36273404501571</v>
      </c>
      <c r="AO176" s="25">
        <v>8.41396103857573</v>
      </c>
      <c r="AP176" s="25">
        <v>2.90068285728994</v>
      </c>
      <c r="AQ176" s="25">
        <v>0.675063246554789</v>
      </c>
      <c r="AR176" s="25">
        <v>2.68981649634206</v>
      </c>
      <c r="AS176" s="25">
        <v>11.4536129133772</v>
      </c>
      <c r="AT176" s="25">
        <v>3.38431867786962</v>
      </c>
      <c r="AU176" s="25">
        <v>0.562065329459585</v>
      </c>
      <c r="AV176" s="26">
        <f t="shared" ref="AV176:AW176" si="355">(AC176-AC$289)/AC$290</f>
        <v>0.9015725607</v>
      </c>
      <c r="AW176" s="27">
        <f t="shared" si="355"/>
        <v>0.8364812901</v>
      </c>
      <c r="AX176" s="27">
        <f t="shared" si="5"/>
        <v>0.3709378405</v>
      </c>
      <c r="AY176" s="28">
        <f t="shared" si="6"/>
        <v>0.3588468425</v>
      </c>
      <c r="AZ176" s="29">
        <f t="shared" si="7"/>
        <v>0.4133742191</v>
      </c>
      <c r="BA176" s="28">
        <f t="shared" si="8"/>
        <v>0.3759610786</v>
      </c>
      <c r="BB176" s="29">
        <f t="shared" si="9"/>
        <v>0.2268085599</v>
      </c>
      <c r="BC176" s="27">
        <f t="shared" si="10"/>
        <v>0.362257541</v>
      </c>
      <c r="BD176" s="28">
        <f t="shared" si="11"/>
        <v>0.2565368157</v>
      </c>
      <c r="BE176" s="30">
        <f t="shared" ref="BE176:BF176" si="356">((S176-S$289)/S$290)</f>
        <v>-0.7516875716</v>
      </c>
      <c r="BF176" s="30">
        <f t="shared" si="356"/>
        <v>-0.7806754155</v>
      </c>
    </row>
    <row r="177">
      <c r="A177" s="21" t="s">
        <v>67</v>
      </c>
      <c r="B177" s="22">
        <f t="shared" si="3"/>
        <v>-0.0296461312</v>
      </c>
      <c r="C177" s="21" t="s">
        <v>68</v>
      </c>
      <c r="D177" s="21" t="s">
        <v>69</v>
      </c>
      <c r="E177" s="23">
        <v>266.0</v>
      </c>
      <c r="F177" s="24" t="s">
        <v>97</v>
      </c>
      <c r="G177" s="21" t="s">
        <v>71</v>
      </c>
      <c r="H177" s="24" t="s">
        <v>105</v>
      </c>
      <c r="I177" s="24" t="s">
        <v>73</v>
      </c>
      <c r="J177" s="24" t="s">
        <v>90</v>
      </c>
      <c r="K177" s="24" t="s">
        <v>75</v>
      </c>
      <c r="L177" s="21" t="s">
        <v>92</v>
      </c>
      <c r="M177" s="24" t="s">
        <v>77</v>
      </c>
      <c r="N177" s="21" t="s">
        <v>86</v>
      </c>
      <c r="O177" s="21" t="s">
        <v>91</v>
      </c>
      <c r="P177" s="21" t="s">
        <v>80</v>
      </c>
      <c r="Q177" s="24" t="s">
        <v>93</v>
      </c>
      <c r="S177" s="25">
        <v>433.030958652496</v>
      </c>
      <c r="T177" s="25">
        <v>528.589659214019</v>
      </c>
      <c r="U177" s="25">
        <v>1.91846968741215</v>
      </c>
      <c r="V177" s="25">
        <v>5.82769714946124</v>
      </c>
      <c r="W177" s="25">
        <v>2.4140623748075</v>
      </c>
      <c r="X177" s="25">
        <v>0.783939447159014</v>
      </c>
      <c r="Y177" s="25">
        <v>0.073541817466226</v>
      </c>
      <c r="Z177" s="25">
        <v>0.00843275511308128</v>
      </c>
      <c r="AA177" s="25">
        <v>0.0918300338292504</v>
      </c>
      <c r="AB177" s="25">
        <v>0.810332136511677</v>
      </c>
      <c r="AC177" s="25">
        <v>0.0731766596297753</v>
      </c>
      <c r="AD177" s="25">
        <v>0.091452746404887</v>
      </c>
      <c r="AE177" s="25">
        <v>0.812909484786663</v>
      </c>
      <c r="AF177" s="25">
        <v>0.0814808438983322</v>
      </c>
      <c r="AG177" s="25">
        <v>0.102753386776004</v>
      </c>
      <c r="AH177" s="25">
        <v>0.765769797987315</v>
      </c>
      <c r="AI177" s="25">
        <v>10.0</v>
      </c>
      <c r="AJ177" s="25">
        <v>1.91846968741212</v>
      </c>
      <c r="AK177" s="25">
        <v>5.82769714946124</v>
      </c>
      <c r="AL177" s="25">
        <v>2.4140623748075</v>
      </c>
      <c r="AM177" s="25">
        <v>0.783876170891884</v>
      </c>
      <c r="AN177" s="25">
        <v>1.79282816092954</v>
      </c>
      <c r="AO177" s="25">
        <v>5.02025379620419</v>
      </c>
      <c r="AP177" s="25">
        <v>2.24059228691973</v>
      </c>
      <c r="AQ177" s="25">
        <v>0.812909484786663</v>
      </c>
      <c r="AR177" s="25">
        <v>1.99628067550915</v>
      </c>
      <c r="AS177" s="25">
        <v>6.33759466098706</v>
      </c>
      <c r="AT177" s="25">
        <v>2.51745797601212</v>
      </c>
      <c r="AU177" s="25">
        <v>0.765769797987315</v>
      </c>
      <c r="AV177" s="26">
        <f t="shared" ref="AV177:AW177" si="357">(AC177-AC$289)/AC$290</f>
        <v>0.3239330854</v>
      </c>
      <c r="AW177" s="27">
        <f t="shared" si="357"/>
        <v>0.3042525434</v>
      </c>
      <c r="AX177" s="27">
        <f t="shared" si="5"/>
        <v>0.07720040669</v>
      </c>
      <c r="AY177" s="28">
        <f t="shared" si="6"/>
        <v>0.07033553864</v>
      </c>
      <c r="AZ177" s="29">
        <f t="shared" si="7"/>
        <v>0.1303348101</v>
      </c>
      <c r="BA177" s="28">
        <f t="shared" si="8"/>
        <v>0.1130155945</v>
      </c>
      <c r="BB177" s="29">
        <f t="shared" si="9"/>
        <v>0.07610820059</v>
      </c>
      <c r="BC177" s="27">
        <f t="shared" si="10"/>
        <v>0.05657792937</v>
      </c>
      <c r="BD177" s="28">
        <f t="shared" si="11"/>
        <v>0.06322622207</v>
      </c>
      <c r="BE177" s="30">
        <f t="shared" ref="BE177:BF177" si="358">((S177-S$289)/S$290)</f>
        <v>-0.7240192256</v>
      </c>
      <c r="BF177" s="30">
        <f t="shared" si="358"/>
        <v>-0.1648576619</v>
      </c>
    </row>
    <row r="178">
      <c r="A178" s="21" t="s">
        <v>67</v>
      </c>
      <c r="B178" s="22">
        <f t="shared" si="3"/>
        <v>-0.1266182093</v>
      </c>
      <c r="C178" s="21" t="s">
        <v>68</v>
      </c>
      <c r="D178" s="21" t="s">
        <v>69</v>
      </c>
      <c r="E178" s="23">
        <v>254.0</v>
      </c>
      <c r="F178" s="24" t="s">
        <v>97</v>
      </c>
      <c r="G178" s="21" t="s">
        <v>71</v>
      </c>
      <c r="H178" s="24" t="s">
        <v>105</v>
      </c>
      <c r="I178" s="24" t="s">
        <v>73</v>
      </c>
      <c r="J178" s="24" t="s">
        <v>74</v>
      </c>
      <c r="K178" s="24" t="s">
        <v>101</v>
      </c>
      <c r="L178" s="21" t="s">
        <v>76</v>
      </c>
      <c r="M178" s="24" t="s">
        <v>85</v>
      </c>
      <c r="N178" s="21" t="s">
        <v>78</v>
      </c>
      <c r="O178" s="21" t="s">
        <v>79</v>
      </c>
      <c r="P178" s="21" t="s">
        <v>80</v>
      </c>
      <c r="Q178" s="24" t="s">
        <v>81</v>
      </c>
      <c r="R178" s="24" t="s">
        <v>103</v>
      </c>
      <c r="S178" s="25">
        <v>368.540041923522</v>
      </c>
      <c r="T178" s="25">
        <v>455.985837221145</v>
      </c>
      <c r="U178" s="25">
        <v>2.21926009471176</v>
      </c>
      <c r="V178" s="25">
        <v>7.77072445988344</v>
      </c>
      <c r="W178" s="25">
        <v>2.78760191919209</v>
      </c>
      <c r="X178" s="25">
        <v>0.711873440981163</v>
      </c>
      <c r="Y178" s="25">
        <v>0.0829062726504911</v>
      </c>
      <c r="Z178" s="25">
        <v>0.0106500926291729</v>
      </c>
      <c r="AA178" s="25">
        <v>0.103199285991584</v>
      </c>
      <c r="AB178" s="25">
        <v>0.760460218773046</v>
      </c>
      <c r="AC178" s="25">
        <v>0.0826210316529859</v>
      </c>
      <c r="AD178" s="25">
        <v>0.102834662077917</v>
      </c>
      <c r="AE178" s="25">
        <v>0.763442175787458</v>
      </c>
      <c r="AF178" s="25">
        <v>0.0949537715661839</v>
      </c>
      <c r="AG178" s="25">
        <v>0.119492980375305</v>
      </c>
      <c r="AH178" s="25">
        <v>0.68323631307049</v>
      </c>
      <c r="AI178" s="25">
        <v>10.0</v>
      </c>
      <c r="AJ178" s="25">
        <v>2.21926009471169</v>
      </c>
      <c r="AK178" s="25">
        <v>7.77072445988344</v>
      </c>
      <c r="AL178" s="25">
        <v>2.78760191919209</v>
      </c>
      <c r="AM178" s="25">
        <v>0.711817776019922</v>
      </c>
      <c r="AN178" s="25">
        <v>2.02421527549821</v>
      </c>
      <c r="AO178" s="25">
        <v>6.3476243767389</v>
      </c>
      <c r="AP178" s="25">
        <v>2.51944922090898</v>
      </c>
      <c r="AQ178" s="25">
        <v>0.763442175787458</v>
      </c>
      <c r="AR178" s="25">
        <v>2.32636740337145</v>
      </c>
      <c r="AS178" s="25">
        <v>8.57071305847366</v>
      </c>
      <c r="AT178" s="25">
        <v>2.92757801919499</v>
      </c>
      <c r="AU178" s="25">
        <v>0.68323631307049</v>
      </c>
      <c r="AV178" s="26">
        <f t="shared" ref="AV178:AW178" si="359">(AC178-AC$289)/AC$290</f>
        <v>0.51777561</v>
      </c>
      <c r="AW178" s="27">
        <f t="shared" si="359"/>
        <v>0.4881768896</v>
      </c>
      <c r="AX178" s="27">
        <f t="shared" si="5"/>
        <v>0.2170040412</v>
      </c>
      <c r="AY178" s="28">
        <f t="shared" si="6"/>
        <v>0.2068329807</v>
      </c>
      <c r="AZ178" s="29">
        <f t="shared" si="7"/>
        <v>0.2847281051</v>
      </c>
      <c r="BA178" s="28">
        <f t="shared" si="8"/>
        <v>0.2611311174</v>
      </c>
      <c r="BB178" s="29">
        <f t="shared" si="9"/>
        <v>0.1301883216</v>
      </c>
      <c r="BC178" s="27">
        <f t="shared" si="10"/>
        <v>0.1804279548</v>
      </c>
      <c r="BD178" s="28">
        <f t="shared" si="11"/>
        <v>0.1574723852</v>
      </c>
      <c r="BE178" s="30">
        <f t="shared" ref="BE178:BF178" si="360">((S178-S$289)/S$290)</f>
        <v>-0.7408913934</v>
      </c>
      <c r="BF178" s="30">
        <f t="shared" si="360"/>
        <v>-0.3100457094</v>
      </c>
    </row>
    <row r="179">
      <c r="A179" s="21" t="s">
        <v>88</v>
      </c>
      <c r="B179" s="22">
        <f t="shared" si="3"/>
        <v>0.03425156413</v>
      </c>
      <c r="C179" s="21" t="s">
        <v>68</v>
      </c>
      <c r="D179" s="21" t="s">
        <v>69</v>
      </c>
      <c r="E179" s="23">
        <v>163.0</v>
      </c>
      <c r="F179" s="24" t="s">
        <v>97</v>
      </c>
      <c r="G179" s="21" t="s">
        <v>82</v>
      </c>
      <c r="H179" s="24" t="s">
        <v>98</v>
      </c>
      <c r="I179" s="24" t="s">
        <v>73</v>
      </c>
      <c r="J179" s="24" t="s">
        <v>90</v>
      </c>
      <c r="K179" s="24" t="s">
        <v>101</v>
      </c>
      <c r="L179" s="21" t="s">
        <v>92</v>
      </c>
      <c r="M179" s="24" t="s">
        <v>77</v>
      </c>
      <c r="N179" s="21" t="s">
        <v>78</v>
      </c>
      <c r="O179" s="21" t="s">
        <v>91</v>
      </c>
      <c r="P179" s="21" t="s">
        <v>80</v>
      </c>
      <c r="Q179" s="24" t="s">
        <v>81</v>
      </c>
      <c r="S179" s="25">
        <v>498.930894136428</v>
      </c>
      <c r="T179" s="25">
        <v>421.310826778411</v>
      </c>
      <c r="U179" s="25">
        <v>1.89258415214431</v>
      </c>
      <c r="V179" s="25">
        <v>5.88191619362894</v>
      </c>
      <c r="W179" s="25">
        <v>2.42526621087849</v>
      </c>
      <c r="X179" s="25">
        <v>0.782125848093087</v>
      </c>
      <c r="Y179" s="25">
        <v>0.0577385302633474</v>
      </c>
      <c r="Z179" s="25">
        <v>0.00539160575830092</v>
      </c>
      <c r="AA179" s="25">
        <v>0.0734275544894484</v>
      </c>
      <c r="AB179" s="25">
        <v>0.879206019064252</v>
      </c>
      <c r="AC179" s="25">
        <v>0.0575227091941878</v>
      </c>
      <c r="AD179" s="25">
        <v>0.0732261717875666</v>
      </c>
      <c r="AE179" s="25">
        <v>0.880432108399697</v>
      </c>
      <c r="AF179" s="25">
        <v>0.0872843438926508</v>
      </c>
      <c r="AG179" s="25">
        <v>0.11127510550602</v>
      </c>
      <c r="AH179" s="25">
        <v>0.725229916935534</v>
      </c>
      <c r="AI179" s="25">
        <v>10.0</v>
      </c>
      <c r="AJ179" s="25">
        <v>1.89258415214428</v>
      </c>
      <c r="AK179" s="25">
        <v>5.88191619362894</v>
      </c>
      <c r="AL179" s="25">
        <v>2.42526621087849</v>
      </c>
      <c r="AM179" s="25">
        <v>0.782075095828044</v>
      </c>
      <c r="AN179" s="25">
        <v>1.40930637525757</v>
      </c>
      <c r="AO179" s="25">
        <v>3.21858385885601</v>
      </c>
      <c r="AP179" s="25">
        <v>1.79404120879538</v>
      </c>
      <c r="AQ179" s="25">
        <v>0.880432108399697</v>
      </c>
      <c r="AR179" s="25">
        <v>2.13846642536987</v>
      </c>
      <c r="AS179" s="25">
        <v>7.43238500050191</v>
      </c>
      <c r="AT179" s="25">
        <v>2.72624008489749</v>
      </c>
      <c r="AU179" s="25">
        <v>0.725229916935534</v>
      </c>
      <c r="AV179" s="26">
        <f t="shared" ref="AV179:AW179" si="361">(AC179-AC$289)/AC$290</f>
        <v>0.002641075034</v>
      </c>
      <c r="AW179" s="27">
        <f t="shared" si="361"/>
        <v>0.009722965345</v>
      </c>
      <c r="AX179" s="27">
        <f t="shared" si="5"/>
        <v>0.1374212</v>
      </c>
      <c r="AY179" s="28">
        <f t="shared" si="6"/>
        <v>0.1398230565</v>
      </c>
      <c r="AZ179" s="29">
        <f t="shared" si="7"/>
        <v>0.1170479732</v>
      </c>
      <c r="BA179" s="28">
        <f t="shared" si="8"/>
        <v>0.1174581283</v>
      </c>
      <c r="BB179" s="29">
        <f t="shared" si="9"/>
        <v>0.00228911222</v>
      </c>
      <c r="BC179" s="27">
        <f t="shared" si="10"/>
        <v>0.1174122114</v>
      </c>
      <c r="BD179" s="28">
        <f t="shared" si="11"/>
        <v>0.06558187285</v>
      </c>
      <c r="BE179" s="30">
        <f t="shared" ref="BE179:BF179" si="362">((S179-S$289)/S$290)</f>
        <v>-0.7067784291</v>
      </c>
      <c r="BF179" s="30">
        <f t="shared" si="362"/>
        <v>-0.3793863711</v>
      </c>
    </row>
    <row r="180">
      <c r="A180" s="21" t="s">
        <v>88</v>
      </c>
      <c r="B180" s="22">
        <f t="shared" si="3"/>
        <v>-0.01191537672</v>
      </c>
      <c r="C180" s="21" t="s">
        <v>68</v>
      </c>
      <c r="D180" s="21" t="s">
        <v>69</v>
      </c>
      <c r="E180" s="23">
        <v>176.0</v>
      </c>
      <c r="F180" s="24" t="s">
        <v>97</v>
      </c>
      <c r="G180" s="21" t="s">
        <v>82</v>
      </c>
      <c r="H180" s="24" t="s">
        <v>98</v>
      </c>
      <c r="I180" s="24" t="s">
        <v>73</v>
      </c>
      <c r="J180" s="24" t="s">
        <v>74</v>
      </c>
      <c r="K180" s="24" t="s">
        <v>101</v>
      </c>
      <c r="L180" s="21" t="s">
        <v>84</v>
      </c>
      <c r="M180" s="24" t="s">
        <v>85</v>
      </c>
      <c r="N180" s="21" t="s">
        <v>86</v>
      </c>
      <c r="O180" s="21" t="s">
        <v>91</v>
      </c>
      <c r="P180" s="21" t="s">
        <v>80</v>
      </c>
      <c r="Q180" s="24" t="s">
        <v>87</v>
      </c>
      <c r="R180" s="24" t="s">
        <v>103</v>
      </c>
      <c r="S180" s="25">
        <v>448.668850660324</v>
      </c>
      <c r="T180" s="25">
        <v>541.110439538955</v>
      </c>
      <c r="U180" s="25">
        <v>1.86881130134989</v>
      </c>
      <c r="V180" s="25">
        <v>5.71235077897009</v>
      </c>
      <c r="W180" s="25">
        <v>2.39005246364386</v>
      </c>
      <c r="X180" s="25">
        <v>0.788393531160083</v>
      </c>
      <c r="Y180" s="25">
        <v>0.067734053156824</v>
      </c>
      <c r="Z180" s="25">
        <v>0.00737712053912133</v>
      </c>
      <c r="AA180" s="25">
        <v>0.0858901655553261</v>
      </c>
      <c r="AB180" s="25">
        <v>0.834722381844893</v>
      </c>
      <c r="AC180" s="25">
        <v>0.0674683708838735</v>
      </c>
      <c r="AD180" s="25">
        <v>0.0856518624384421</v>
      </c>
      <c r="AE180" s="25">
        <v>0.836410459478856</v>
      </c>
      <c r="AF180" s="25">
        <v>0.0829035733423867</v>
      </c>
      <c r="AG180" s="25">
        <v>0.105301550267905</v>
      </c>
      <c r="AH180" s="25">
        <v>0.753938908847023</v>
      </c>
      <c r="AI180" s="25">
        <v>10.0</v>
      </c>
      <c r="AJ180" s="25">
        <v>1.86881130134986</v>
      </c>
      <c r="AK180" s="25">
        <v>5.71235077897008</v>
      </c>
      <c r="AL180" s="25">
        <v>2.39005246364386</v>
      </c>
      <c r="AM180" s="25">
        <v>0.788357491823491</v>
      </c>
      <c r="AN180" s="25">
        <v>1.65297508665487</v>
      </c>
      <c r="AO180" s="25">
        <v>4.40357898388911</v>
      </c>
      <c r="AP180" s="25">
        <v>2.09847062974184</v>
      </c>
      <c r="AQ180" s="25">
        <v>0.836410459478856</v>
      </c>
      <c r="AR180" s="25">
        <v>2.03113754688847</v>
      </c>
      <c r="AS180" s="25">
        <v>6.6558219974168</v>
      </c>
      <c r="AT180" s="25">
        <v>2.57988798156369</v>
      </c>
      <c r="AU180" s="25">
        <v>0.753938908847023</v>
      </c>
      <c r="AV180" s="26">
        <f t="shared" ref="AV180:AW180" si="363">(AC180-AC$289)/AC$290</f>
        <v>0.2067723997</v>
      </c>
      <c r="AW180" s="27">
        <f t="shared" si="363"/>
        <v>0.2105140356</v>
      </c>
      <c r="AX180" s="27">
        <f t="shared" si="5"/>
        <v>0.0919635489</v>
      </c>
      <c r="AY180" s="28">
        <f t="shared" si="6"/>
        <v>0.09111368935</v>
      </c>
      <c r="AZ180" s="29">
        <f t="shared" si="7"/>
        <v>0.1048455602</v>
      </c>
      <c r="BA180" s="28">
        <f t="shared" si="8"/>
        <v>0.1034952088</v>
      </c>
      <c r="BB180" s="29">
        <f t="shared" si="9"/>
        <v>0.05041576693</v>
      </c>
      <c r="BC180" s="27">
        <f t="shared" si="10"/>
        <v>0.07433140147</v>
      </c>
      <c r="BD180" s="28">
        <f t="shared" si="11"/>
        <v>0.05736504096</v>
      </c>
      <c r="BE180" s="30">
        <f t="shared" ref="BE180:BF180" si="364">((S180-S$289)/S$290)</f>
        <v>-0.7199280271</v>
      </c>
      <c r="BF180" s="30">
        <f t="shared" si="364"/>
        <v>-0.1398194808</v>
      </c>
    </row>
    <row r="181">
      <c r="A181" s="21" t="s">
        <v>67</v>
      </c>
      <c r="B181" s="22">
        <f t="shared" si="3"/>
        <v>0.1104820348</v>
      </c>
      <c r="C181" s="21" t="s">
        <v>68</v>
      </c>
      <c r="D181" s="21" t="s">
        <v>69</v>
      </c>
      <c r="E181" s="23">
        <v>274.0</v>
      </c>
      <c r="F181" s="24" t="s">
        <v>97</v>
      </c>
      <c r="G181" s="21" t="s">
        <v>71</v>
      </c>
      <c r="H181" s="24" t="s">
        <v>105</v>
      </c>
      <c r="I181" s="24" t="s">
        <v>73</v>
      </c>
      <c r="J181" s="24" t="s">
        <v>99</v>
      </c>
      <c r="K181" s="24" t="s">
        <v>75</v>
      </c>
      <c r="L181" s="21" t="s">
        <v>92</v>
      </c>
      <c r="M181" s="24" t="s">
        <v>85</v>
      </c>
      <c r="N181" s="21" t="s">
        <v>86</v>
      </c>
      <c r="O181" s="21" t="s">
        <v>91</v>
      </c>
      <c r="P181" s="21" t="s">
        <v>80</v>
      </c>
      <c r="Q181" s="24" t="s">
        <v>81</v>
      </c>
      <c r="R181" s="24" t="s">
        <v>94</v>
      </c>
      <c r="S181" s="25">
        <v>546.92296051979</v>
      </c>
      <c r="T181" s="25">
        <v>558.014545202255</v>
      </c>
      <c r="U181" s="25">
        <v>1.61206208347741</v>
      </c>
      <c r="V181" s="25">
        <v>4.44136768961695</v>
      </c>
      <c r="W181" s="25">
        <v>2.10745526396575</v>
      </c>
      <c r="X181" s="25">
        <v>0.835362122097457</v>
      </c>
      <c r="Y181" s="25">
        <v>0.0498572355236984</v>
      </c>
      <c r="Z181" s="25">
        <v>0.00408791482600315</v>
      </c>
      <c r="AA181" s="25">
        <v>0.0639368033764838</v>
      </c>
      <c r="AB181" s="25">
        <v>0.908055426634232</v>
      </c>
      <c r="AC181" s="25">
        <v>0.0495419803212852</v>
      </c>
      <c r="AD181" s="25">
        <v>0.0636441295674726</v>
      </c>
      <c r="AE181" s="25">
        <v>0.909390242335813</v>
      </c>
      <c r="AF181" s="25">
        <v>0.0714936153387046</v>
      </c>
      <c r="AG181" s="25">
        <v>0.0931889708477291</v>
      </c>
      <c r="AH181" s="25">
        <v>0.807345288886291</v>
      </c>
      <c r="AI181" s="25">
        <v>10.0</v>
      </c>
      <c r="AJ181" s="25">
        <v>1.61206208347742</v>
      </c>
      <c r="AK181" s="25">
        <v>4.44136768961695</v>
      </c>
      <c r="AL181" s="25">
        <v>2.10745526396575</v>
      </c>
      <c r="AM181" s="25">
        <v>0.835289074408093</v>
      </c>
      <c r="AN181" s="25">
        <v>1.21377851787145</v>
      </c>
      <c r="AO181" s="25">
        <v>2.43135778084783</v>
      </c>
      <c r="AP181" s="25">
        <v>1.55928117440307</v>
      </c>
      <c r="AQ181" s="25">
        <v>0.909390242335813</v>
      </c>
      <c r="AR181" s="25">
        <v>1.75159357579827</v>
      </c>
      <c r="AS181" s="25">
        <v>5.21268161866727</v>
      </c>
      <c r="AT181" s="25">
        <v>2.28312978576936</v>
      </c>
      <c r="AU181" s="25">
        <v>0.807345288886291</v>
      </c>
      <c r="AV181" s="26">
        <f t="shared" ref="AV181:AW181" si="365">(AC181-AC$289)/AC$290</f>
        <v>-0.1611606716</v>
      </c>
      <c r="AW181" s="27">
        <f t="shared" si="365"/>
        <v>-0.1451165978</v>
      </c>
      <c r="AX181" s="27">
        <f t="shared" si="5"/>
        <v>-0.02643340515</v>
      </c>
      <c r="AY181" s="28">
        <f t="shared" si="6"/>
        <v>-0.007654306266</v>
      </c>
      <c r="AZ181" s="29">
        <f t="shared" si="7"/>
        <v>-0.0269417468</v>
      </c>
      <c r="BA181" s="28">
        <f t="shared" si="8"/>
        <v>-0.008559947414</v>
      </c>
      <c r="BB181" s="29">
        <f t="shared" si="9"/>
        <v>-0.02936935917</v>
      </c>
      <c r="BC181" s="27">
        <f t="shared" si="10"/>
        <v>-0.005810392305</v>
      </c>
      <c r="BD181" s="28">
        <f t="shared" si="11"/>
        <v>-0.004017419668</v>
      </c>
      <c r="BE181" s="30">
        <f t="shared" ref="BE181:BF181" si="366">((S181-S$289)/S$290)</f>
        <v>-0.6942227044</v>
      </c>
      <c r="BF181" s="30">
        <f t="shared" si="366"/>
        <v>-0.106015832</v>
      </c>
    </row>
    <row r="182">
      <c r="A182" s="21" t="s">
        <v>88</v>
      </c>
      <c r="B182" s="22">
        <f t="shared" si="3"/>
        <v>-0.5016882236</v>
      </c>
      <c r="C182" s="21" t="s">
        <v>68</v>
      </c>
      <c r="D182" s="21" t="s">
        <v>69</v>
      </c>
      <c r="E182" s="23">
        <v>12.0</v>
      </c>
      <c r="F182" s="24" t="s">
        <v>70</v>
      </c>
      <c r="G182" s="21" t="s">
        <v>82</v>
      </c>
      <c r="H182" s="24" t="s">
        <v>83</v>
      </c>
      <c r="I182" s="24" t="s">
        <v>95</v>
      </c>
      <c r="J182" s="24" t="s">
        <v>74</v>
      </c>
      <c r="K182" s="24" t="s">
        <v>75</v>
      </c>
      <c r="L182" s="21" t="s">
        <v>76</v>
      </c>
      <c r="M182" s="24" t="s">
        <v>85</v>
      </c>
      <c r="N182" s="21" t="s">
        <v>86</v>
      </c>
      <c r="O182" s="21" t="s">
        <v>102</v>
      </c>
      <c r="P182" s="21" t="s">
        <v>80</v>
      </c>
      <c r="Q182" s="24" t="s">
        <v>89</v>
      </c>
      <c r="R182" s="24" t="s">
        <v>100</v>
      </c>
      <c r="S182" s="25">
        <v>138.111263275146</v>
      </c>
      <c r="T182" s="25">
        <v>186.438949108123</v>
      </c>
      <c r="U182" s="25">
        <v>3.4816207339149</v>
      </c>
      <c r="V182" s="25">
        <v>18.2376573105441</v>
      </c>
      <c r="W182" s="25">
        <v>4.27055702579232</v>
      </c>
      <c r="X182" s="25">
        <v>0.304332146490611</v>
      </c>
      <c r="Y182" s="25">
        <v>0.118737845602669</v>
      </c>
      <c r="Z182" s="25">
        <v>0.0217397703079899</v>
      </c>
      <c r="AA182" s="25">
        <v>0.147444126054549</v>
      </c>
      <c r="AB182" s="25">
        <v>0.544962338359945</v>
      </c>
      <c r="AC182" s="25">
        <v>0.119494004491624</v>
      </c>
      <c r="AD182" s="25">
        <v>0.148196211322139</v>
      </c>
      <c r="AE182" s="25">
        <v>0.542620522285095</v>
      </c>
      <c r="AF182" s="25">
        <v>0.140695139617539</v>
      </c>
      <c r="AG182" s="25">
        <v>0.172954717173915</v>
      </c>
      <c r="AH182" s="25">
        <v>0.38160687335548</v>
      </c>
      <c r="AI182" s="25">
        <v>10.0</v>
      </c>
      <c r="AJ182" s="25">
        <v>3.48162073391491</v>
      </c>
      <c r="AK182" s="25">
        <v>18.2376573105441</v>
      </c>
      <c r="AL182" s="25">
        <v>4.27055702579232</v>
      </c>
      <c r="AM182" s="25">
        <v>0.304323709118629</v>
      </c>
      <c r="AN182" s="25">
        <v>2.78653379918665</v>
      </c>
      <c r="AO182" s="25">
        <v>11.9429221472637</v>
      </c>
      <c r="AP182" s="25">
        <v>3.45585331680379</v>
      </c>
      <c r="AQ182" s="25">
        <v>0.542620522285095</v>
      </c>
      <c r="AR182" s="25">
        <v>3.28093249191456</v>
      </c>
      <c r="AS182" s="25">
        <v>16.2667661141876</v>
      </c>
      <c r="AT182" s="25">
        <v>4.03320791854171</v>
      </c>
      <c r="AU182" s="25">
        <v>0.38160687335548</v>
      </c>
      <c r="AV182" s="26">
        <f t="shared" ref="AV182:AW182" si="367">(AC182-AC$289)/AC$290</f>
        <v>1.274580841</v>
      </c>
      <c r="AW182" s="27">
        <f t="shared" si="367"/>
        <v>1.221189989</v>
      </c>
      <c r="AX182" s="27">
        <f t="shared" si="5"/>
        <v>0.6212967844</v>
      </c>
      <c r="AY182" s="28">
        <f t="shared" si="6"/>
        <v>0.5748121994</v>
      </c>
      <c r="AZ182" s="29">
        <f t="shared" si="7"/>
        <v>0.9326876606</v>
      </c>
      <c r="BA182" s="28">
        <f t="shared" si="8"/>
        <v>0.8491509786</v>
      </c>
      <c r="BB182" s="29">
        <f t="shared" si="9"/>
        <v>0.3716015292</v>
      </c>
      <c r="BC182" s="27">
        <f t="shared" si="10"/>
        <v>0.633054108</v>
      </c>
      <c r="BD182" s="28">
        <f t="shared" si="11"/>
        <v>0.6904394649</v>
      </c>
      <c r="BE182" s="30">
        <f t="shared" ref="BE182:BF182" si="368">((S182-S$289)/S$290)</f>
        <v>-0.8011763639</v>
      </c>
      <c r="BF182" s="30">
        <f t="shared" si="368"/>
        <v>-0.849066732</v>
      </c>
    </row>
    <row r="183">
      <c r="A183" s="21" t="s">
        <v>88</v>
      </c>
      <c r="B183" s="22">
        <f t="shared" si="3"/>
        <v>0.05662591913</v>
      </c>
      <c r="C183" s="21" t="s">
        <v>68</v>
      </c>
      <c r="D183" s="21" t="s">
        <v>69</v>
      </c>
      <c r="E183" s="23">
        <v>106.0</v>
      </c>
      <c r="F183" s="24" t="s">
        <v>70</v>
      </c>
      <c r="G183" s="21" t="s">
        <v>71</v>
      </c>
      <c r="H183" s="24" t="s">
        <v>72</v>
      </c>
      <c r="I183" s="24" t="s">
        <v>73</v>
      </c>
      <c r="J183" s="24" t="s">
        <v>99</v>
      </c>
      <c r="K183" s="24" t="s">
        <v>101</v>
      </c>
      <c r="L183" s="21" t="s">
        <v>92</v>
      </c>
      <c r="M183" s="24" t="s">
        <v>77</v>
      </c>
      <c r="N183" s="21" t="s">
        <v>86</v>
      </c>
      <c r="O183" s="21" t="s">
        <v>102</v>
      </c>
      <c r="P183" s="21" t="s">
        <v>80</v>
      </c>
      <c r="Q183" s="24" t="s">
        <v>93</v>
      </c>
      <c r="S183" s="25">
        <v>584.825190544128</v>
      </c>
      <c r="T183" s="25">
        <v>169.63057231903</v>
      </c>
      <c r="U183" s="25">
        <v>1.88131956505983</v>
      </c>
      <c r="V183" s="25">
        <v>5.86683924605727</v>
      </c>
      <c r="W183" s="25">
        <v>2.42215590870143</v>
      </c>
      <c r="X183" s="25">
        <v>0.774629096304568</v>
      </c>
      <c r="Y183" s="25">
        <v>0.0646654217166813</v>
      </c>
      <c r="Z183" s="25">
        <v>0.00682182843796994</v>
      </c>
      <c r="AA183" s="25">
        <v>0.082594360812164</v>
      </c>
      <c r="AB183" s="25">
        <v>0.855897897961949</v>
      </c>
      <c r="AC183" s="25">
        <v>0.0643342506184939</v>
      </c>
      <c r="AD183" s="25">
        <v>0.0822460988744124</v>
      </c>
      <c r="AE183" s="25">
        <v>0.857942111644968</v>
      </c>
      <c r="AF183" s="25">
        <v>0.0881046080269521</v>
      </c>
      <c r="AG183" s="25">
        <v>0.113100005875783</v>
      </c>
      <c r="AH183" s="25">
        <v>0.734032554746489</v>
      </c>
      <c r="AI183" s="25">
        <v>10.0</v>
      </c>
      <c r="AJ183" s="25">
        <v>1.88131956505983</v>
      </c>
      <c r="AK183" s="25">
        <v>5.86683924605727</v>
      </c>
      <c r="AL183" s="25">
        <v>2.42215590870143</v>
      </c>
      <c r="AM183" s="25">
        <v>0.774521604406023</v>
      </c>
      <c r="AN183" s="25">
        <v>1.50023898317295</v>
      </c>
      <c r="AO183" s="25">
        <v>3.67846827165126</v>
      </c>
      <c r="AP183" s="25">
        <v>1.91793333347414</v>
      </c>
      <c r="AQ183" s="25">
        <v>0.857942111644968</v>
      </c>
      <c r="AR183" s="25">
        <v>2.05455051218407</v>
      </c>
      <c r="AS183" s="25">
        <v>6.95603333194518</v>
      </c>
      <c r="AT183" s="25">
        <v>2.63742930368667</v>
      </c>
      <c r="AU183" s="25">
        <v>0.734032554746489</v>
      </c>
      <c r="AV183" s="26">
        <f t="shared" ref="AV183:AW183" si="369">(AC183-AC$289)/AC$290</f>
        <v>0.1424456468</v>
      </c>
      <c r="AW183" s="27">
        <f t="shared" si="369"/>
        <v>0.155479114</v>
      </c>
      <c r="AX183" s="27">
        <f t="shared" si="5"/>
        <v>0.1018797841</v>
      </c>
      <c r="AY183" s="28">
        <f t="shared" si="6"/>
        <v>0.1102647731</v>
      </c>
      <c r="AZ183" s="29">
        <f t="shared" si="7"/>
        <v>0.1112659513</v>
      </c>
      <c r="BA183" s="28">
        <f t="shared" si="8"/>
        <v>0.1162248344</v>
      </c>
      <c r="BB183" s="29">
        <f t="shared" si="9"/>
        <v>0.02687629455</v>
      </c>
      <c r="BC183" s="27">
        <f t="shared" si="10"/>
        <v>0.1042029435</v>
      </c>
      <c r="BD183" s="28">
        <f t="shared" si="11"/>
        <v>0.0754611879</v>
      </c>
      <c r="BE183" s="30">
        <f t="shared" ref="BE183:BF183" si="370">((S183-S$289)/S$290)</f>
        <v>-0.6843066912</v>
      </c>
      <c r="BF183" s="30">
        <f t="shared" si="370"/>
        <v>-0.8826789488</v>
      </c>
    </row>
    <row r="184">
      <c r="A184" s="21" t="s">
        <v>88</v>
      </c>
      <c r="B184" s="22">
        <f t="shared" si="3"/>
        <v>0.173564615</v>
      </c>
      <c r="C184" s="21" t="s">
        <v>68</v>
      </c>
      <c r="D184" s="21" t="s">
        <v>69</v>
      </c>
      <c r="E184" s="23">
        <v>172.0</v>
      </c>
      <c r="F184" s="24" t="s">
        <v>97</v>
      </c>
      <c r="G184" s="21" t="s">
        <v>82</v>
      </c>
      <c r="H184" s="24" t="s">
        <v>98</v>
      </c>
      <c r="I184" s="24" t="s">
        <v>73</v>
      </c>
      <c r="J184" s="24" t="s">
        <v>99</v>
      </c>
      <c r="K184" s="24" t="s">
        <v>75</v>
      </c>
      <c r="L184" s="21" t="s">
        <v>92</v>
      </c>
      <c r="M184" s="24" t="s">
        <v>77</v>
      </c>
      <c r="N184" s="21" t="s">
        <v>86</v>
      </c>
      <c r="O184" s="21" t="s">
        <v>91</v>
      </c>
      <c r="P184" s="21" t="s">
        <v>80</v>
      </c>
      <c r="Q184" s="24" t="s">
        <v>94</v>
      </c>
      <c r="S184" s="25">
        <v>597.543305158615</v>
      </c>
      <c r="T184" s="25">
        <v>537.074841499328</v>
      </c>
      <c r="U184" s="25">
        <v>1.40676144342335</v>
      </c>
      <c r="V184" s="25">
        <v>3.44462073787715</v>
      </c>
      <c r="W184" s="25">
        <v>1.85596894852181</v>
      </c>
      <c r="X184" s="25">
        <v>0.872412299683421</v>
      </c>
      <c r="Y184" s="25">
        <v>0.0396624399372873</v>
      </c>
      <c r="Z184" s="25">
        <v>0.00255621008960982</v>
      </c>
      <c r="AA184" s="25">
        <v>0.0505589763504941</v>
      </c>
      <c r="AB184" s="25">
        <v>0.942730457924022</v>
      </c>
      <c r="AC184" s="25">
        <v>0.0395041757581012</v>
      </c>
      <c r="AD184" s="25">
        <v>0.0504201119698338</v>
      </c>
      <c r="AE184" s="25">
        <v>0.943312210472243</v>
      </c>
      <c r="AF184" s="25">
        <v>0.0744149489864229</v>
      </c>
      <c r="AG184" s="25">
        <v>0.0942123966546743</v>
      </c>
      <c r="AH184" s="25">
        <v>0.803034791855965</v>
      </c>
      <c r="AI184" s="25">
        <v>10.0</v>
      </c>
      <c r="AJ184" s="25">
        <v>1.40676144342337</v>
      </c>
      <c r="AK184" s="25">
        <v>3.44462073787715</v>
      </c>
      <c r="AL184" s="25">
        <v>1.85596894852181</v>
      </c>
      <c r="AM184" s="25">
        <v>0.872376854837934</v>
      </c>
      <c r="AN184" s="25">
        <v>0.96785230607346</v>
      </c>
      <c r="AO184" s="25">
        <v>1.52594816155312</v>
      </c>
      <c r="AP184" s="25">
        <v>1.23529274326093</v>
      </c>
      <c r="AQ184" s="25">
        <v>0.943312210472243</v>
      </c>
      <c r="AR184" s="25">
        <v>1.82316625016739</v>
      </c>
      <c r="AS184" s="25">
        <v>5.32780440397144</v>
      </c>
      <c r="AT184" s="25">
        <v>2.30820371803951</v>
      </c>
      <c r="AU184" s="25">
        <v>0.803034791855965</v>
      </c>
      <c r="AV184" s="26">
        <f t="shared" ref="AV184:AW184" si="371">(AC184-AC$289)/AC$290</f>
        <v>-0.3671831974</v>
      </c>
      <c r="AW184" s="27">
        <f t="shared" si="371"/>
        <v>-0.3588081117</v>
      </c>
      <c r="AX184" s="27">
        <f t="shared" si="5"/>
        <v>0.003880203853</v>
      </c>
      <c r="AY184" s="28">
        <f t="shared" si="6"/>
        <v>0.0006908786948</v>
      </c>
      <c r="AZ184" s="29">
        <f t="shared" si="7"/>
        <v>-0.1323209129</v>
      </c>
      <c r="BA184" s="28">
        <f t="shared" si="8"/>
        <v>-0.1082790472</v>
      </c>
      <c r="BB184" s="29">
        <f t="shared" si="9"/>
        <v>-0.06645454084</v>
      </c>
      <c r="BC184" s="27">
        <f t="shared" si="10"/>
        <v>0.0006579540577</v>
      </c>
      <c r="BD184" s="28">
        <f t="shared" si="11"/>
        <v>-0.05252503643</v>
      </c>
      <c r="BE184" s="30">
        <f t="shared" ref="BE184:BF184" si="372">((S184-S$289)/S$290)</f>
        <v>-0.6809793673</v>
      </c>
      <c r="BF184" s="30">
        <f t="shared" si="372"/>
        <v>-0.1478895876</v>
      </c>
    </row>
    <row r="185">
      <c r="A185" s="21" t="s">
        <v>88</v>
      </c>
      <c r="B185" s="22">
        <f t="shared" si="3"/>
        <v>-0.4191088319</v>
      </c>
      <c r="C185" s="21" t="s">
        <v>68</v>
      </c>
      <c r="D185" s="21" t="s">
        <v>69</v>
      </c>
      <c r="E185" s="23">
        <v>104.0</v>
      </c>
      <c r="F185" s="24" t="s">
        <v>70</v>
      </c>
      <c r="G185" s="21" t="s">
        <v>71</v>
      </c>
      <c r="H185" s="24" t="s">
        <v>72</v>
      </c>
      <c r="I185" s="24" t="s">
        <v>73</v>
      </c>
      <c r="J185" s="24" t="s">
        <v>99</v>
      </c>
      <c r="K185" s="24" t="s">
        <v>75</v>
      </c>
      <c r="L185" s="21" t="s">
        <v>92</v>
      </c>
      <c r="M185" s="24" t="s">
        <v>85</v>
      </c>
      <c r="N185" s="21" t="s">
        <v>86</v>
      </c>
      <c r="O185" s="21" t="s">
        <v>102</v>
      </c>
      <c r="P185" s="21" t="s">
        <v>80</v>
      </c>
      <c r="Q185" s="24" t="s">
        <v>93</v>
      </c>
      <c r="R185" s="24" t="s">
        <v>94</v>
      </c>
      <c r="S185" s="25">
        <v>212.017685174942</v>
      </c>
      <c r="T185" s="25">
        <v>238.643624544143</v>
      </c>
      <c r="U185" s="25">
        <v>2.77082740172789</v>
      </c>
      <c r="V185" s="25">
        <v>11.3497413414851</v>
      </c>
      <c r="W185" s="25">
        <v>3.36893771706826</v>
      </c>
      <c r="X185" s="25">
        <v>0.563927037798112</v>
      </c>
      <c r="Y185" s="25">
        <v>0.131865108102454</v>
      </c>
      <c r="Z185" s="25">
        <v>0.0240609162789181</v>
      </c>
      <c r="AA185" s="25">
        <v>0.155115815695621</v>
      </c>
      <c r="AB185" s="25">
        <v>0.491744970680405</v>
      </c>
      <c r="AC185" s="25">
        <v>0.132062664481816</v>
      </c>
      <c r="AD185" s="25">
        <v>0.15508087701019</v>
      </c>
      <c r="AE185" s="25">
        <v>0.494930391620147</v>
      </c>
      <c r="AF185" s="25">
        <v>0.128841628565702</v>
      </c>
      <c r="AG185" s="25">
        <v>0.157458322516904</v>
      </c>
      <c r="AH185" s="25">
        <v>0.484493118010106</v>
      </c>
      <c r="AI185" s="25">
        <v>10.0</v>
      </c>
      <c r="AJ185" s="25">
        <v>2.77082740172789</v>
      </c>
      <c r="AK185" s="25">
        <v>11.3497413414851</v>
      </c>
      <c r="AL185" s="25">
        <v>3.36893771706826</v>
      </c>
      <c r="AM185" s="25">
        <v>0.563798945095604</v>
      </c>
      <c r="AN185" s="25">
        <v>3.07962796756902</v>
      </c>
      <c r="AO185" s="25">
        <v>13.0783482065944</v>
      </c>
      <c r="AP185" s="25">
        <v>3.61639989583486</v>
      </c>
      <c r="AQ185" s="25">
        <v>0.494930391620147</v>
      </c>
      <c r="AR185" s="25">
        <v>3.00451519946965</v>
      </c>
      <c r="AS185" s="25">
        <v>13.482413423007</v>
      </c>
      <c r="AT185" s="25">
        <v>3.67184060424837</v>
      </c>
      <c r="AU185" s="25">
        <v>0.484493118010106</v>
      </c>
      <c r="AV185" s="26">
        <f t="shared" ref="AV185:AW185" si="373">(AC185-AC$289)/AC$290</f>
        <v>1.532548314</v>
      </c>
      <c r="AW185" s="27">
        <f t="shared" si="373"/>
        <v>1.332441704</v>
      </c>
      <c r="AX185" s="27">
        <f t="shared" si="5"/>
        <v>0.5042240915</v>
      </c>
      <c r="AY185" s="28">
        <f t="shared" si="6"/>
        <v>0.4545407939</v>
      </c>
      <c r="AZ185" s="29">
        <f t="shared" si="7"/>
        <v>0.5678431643</v>
      </c>
      <c r="BA185" s="28">
        <f t="shared" si="8"/>
        <v>0.4916418009</v>
      </c>
      <c r="BB185" s="29">
        <f t="shared" si="9"/>
        <v>0.4237387505</v>
      </c>
      <c r="BC185" s="27">
        <f t="shared" si="10"/>
        <v>0.4786626627</v>
      </c>
      <c r="BD185" s="28">
        <f t="shared" si="11"/>
        <v>0.3510682445</v>
      </c>
      <c r="BE185" s="30">
        <f t="shared" ref="BE185:BF185" si="374">((S185-S$289)/S$290)</f>
        <v>-0.7818409038</v>
      </c>
      <c r="BF185" s="30">
        <f t="shared" si="374"/>
        <v>-0.7446714717</v>
      </c>
    </row>
    <row r="186">
      <c r="A186" s="21" t="s">
        <v>67</v>
      </c>
      <c r="B186" s="22">
        <f t="shared" si="3"/>
        <v>-0.0006370717464</v>
      </c>
      <c r="C186" s="21" t="s">
        <v>68</v>
      </c>
      <c r="D186" s="21" t="s">
        <v>69</v>
      </c>
      <c r="E186" s="23">
        <v>210.0</v>
      </c>
      <c r="F186" s="24" t="s">
        <v>97</v>
      </c>
      <c r="G186" s="21" t="s">
        <v>82</v>
      </c>
      <c r="H186" s="24" t="s">
        <v>98</v>
      </c>
      <c r="I186" s="24" t="s">
        <v>95</v>
      </c>
      <c r="J186" s="24" t="s">
        <v>99</v>
      </c>
      <c r="K186" s="24" t="s">
        <v>101</v>
      </c>
      <c r="L186" s="21" t="s">
        <v>76</v>
      </c>
      <c r="M186" s="24" t="s">
        <v>85</v>
      </c>
      <c r="N186" s="21" t="s">
        <v>78</v>
      </c>
      <c r="O186" s="21" t="s">
        <v>91</v>
      </c>
      <c r="P186" s="21" t="s">
        <v>80</v>
      </c>
      <c r="Q186" s="24" t="s">
        <v>103</v>
      </c>
      <c r="R186" s="24" t="s">
        <v>100</v>
      </c>
      <c r="S186" s="25">
        <v>490.808132410049</v>
      </c>
      <c r="T186" s="25">
        <v>456.153856515884</v>
      </c>
      <c r="U186" s="25">
        <v>1.90385090916763</v>
      </c>
      <c r="V186" s="25">
        <v>5.76226208846145</v>
      </c>
      <c r="W186" s="25">
        <v>2.40047122216898</v>
      </c>
      <c r="X186" s="25">
        <v>0.786732425589383</v>
      </c>
      <c r="Y186" s="25">
        <v>0.06861484507993</v>
      </c>
      <c r="Z186" s="25">
        <v>0.00737512084321861</v>
      </c>
      <c r="AA186" s="25">
        <v>0.0858785237601265</v>
      </c>
      <c r="AB186" s="25">
        <v>0.834945589797646</v>
      </c>
      <c r="AC186" s="25">
        <v>0.06844679123575</v>
      </c>
      <c r="AD186" s="25">
        <v>0.0856838368878576</v>
      </c>
      <c r="AE186" s="25">
        <v>0.836478965707186</v>
      </c>
      <c r="AF186" s="25">
        <v>0.0832146635884845</v>
      </c>
      <c r="AG186" s="25">
        <v>0.104438630349119</v>
      </c>
      <c r="AH186" s="25">
        <v>0.75805904471243</v>
      </c>
      <c r="AI186" s="25">
        <v>10.0</v>
      </c>
      <c r="AJ186" s="25">
        <v>1.90385090916761</v>
      </c>
      <c r="AK186" s="25">
        <v>5.76226208846145</v>
      </c>
      <c r="AL186" s="25">
        <v>2.40047122216898</v>
      </c>
      <c r="AM186" s="25">
        <v>0.786709784867762</v>
      </c>
      <c r="AN186" s="25">
        <v>1.67694638527589</v>
      </c>
      <c r="AO186" s="25">
        <v>4.40686737227095</v>
      </c>
      <c r="AP186" s="25">
        <v>2.09925400375251</v>
      </c>
      <c r="AQ186" s="25">
        <v>0.836478965707186</v>
      </c>
      <c r="AR186" s="25">
        <v>2.03875925791787</v>
      </c>
      <c r="AS186" s="25">
        <v>6.54718336239733</v>
      </c>
      <c r="AT186" s="25">
        <v>2.55874644355343</v>
      </c>
      <c r="AU186" s="25">
        <v>0.75805904471243</v>
      </c>
      <c r="AV186" s="26">
        <f t="shared" ref="AV186:AW186" si="375">(AC186-AC$289)/AC$290</f>
        <v>0.2268541447</v>
      </c>
      <c r="AW186" s="27">
        <f t="shared" si="375"/>
        <v>0.2110307219</v>
      </c>
      <c r="AX186" s="27">
        <f t="shared" si="5"/>
        <v>0.09519161841</v>
      </c>
      <c r="AY186" s="28">
        <f t="shared" si="6"/>
        <v>0.08407729621</v>
      </c>
      <c r="AZ186" s="29">
        <f t="shared" si="7"/>
        <v>0.1228311088</v>
      </c>
      <c r="BA186" s="28">
        <f t="shared" si="8"/>
        <v>0.1076264444</v>
      </c>
      <c r="BB186" s="29">
        <f t="shared" si="9"/>
        <v>0.05034087252</v>
      </c>
      <c r="BC186" s="27">
        <f t="shared" si="10"/>
        <v>0.06814871171</v>
      </c>
      <c r="BD186" s="28">
        <f t="shared" si="11"/>
        <v>0.05952009949</v>
      </c>
      <c r="BE186" s="30">
        <f t="shared" ref="BE186:BF186" si="376">((S186-S$289)/S$290)</f>
        <v>-0.7089035129</v>
      </c>
      <c r="BF186" s="30">
        <f t="shared" si="376"/>
        <v>-0.3097097161</v>
      </c>
    </row>
    <row r="187">
      <c r="A187" s="21" t="s">
        <v>67</v>
      </c>
      <c r="B187" s="22">
        <f t="shared" si="3"/>
        <v>-0.5931808891</v>
      </c>
      <c r="C187" s="21" t="s">
        <v>68</v>
      </c>
      <c r="D187" s="21" t="s">
        <v>69</v>
      </c>
      <c r="E187" s="23">
        <v>68.0</v>
      </c>
      <c r="F187" s="24" t="s">
        <v>70</v>
      </c>
      <c r="G187" s="21" t="s">
        <v>82</v>
      </c>
      <c r="H187" s="24" t="s">
        <v>83</v>
      </c>
      <c r="I187" s="24" t="s">
        <v>95</v>
      </c>
      <c r="J187" s="24" t="s">
        <v>99</v>
      </c>
      <c r="K187" s="24" t="s">
        <v>75</v>
      </c>
      <c r="L187" s="21" t="s">
        <v>76</v>
      </c>
      <c r="M187" s="24" t="s">
        <v>77</v>
      </c>
      <c r="N187" s="21" t="s">
        <v>86</v>
      </c>
      <c r="O187" s="21" t="s">
        <v>102</v>
      </c>
      <c r="P187" s="21" t="s">
        <v>80</v>
      </c>
      <c r="Q187" s="24" t="s">
        <v>81</v>
      </c>
      <c r="S187" s="25">
        <v>104.611427545547</v>
      </c>
      <c r="T187" s="25">
        <v>166.743195772171</v>
      </c>
      <c r="U187" s="25">
        <v>3.26586133641962</v>
      </c>
      <c r="V187" s="25">
        <v>15.2434093111579</v>
      </c>
      <c r="W187" s="25">
        <v>3.90428089552454</v>
      </c>
      <c r="X187" s="25">
        <v>0.418474832765687</v>
      </c>
      <c r="Y187" s="25">
        <v>0.158597600719137</v>
      </c>
      <c r="Z187" s="25">
        <v>0.0343730282160395</v>
      </c>
      <c r="AA187" s="25">
        <v>0.185399644595235</v>
      </c>
      <c r="AB187" s="25">
        <v>0.280534147264391</v>
      </c>
      <c r="AC187" s="25">
        <v>0.158695928548139</v>
      </c>
      <c r="AD187" s="25">
        <v>0.185335769040424</v>
      </c>
      <c r="AE187" s="25">
        <v>0.284646080089056</v>
      </c>
      <c r="AF187" s="25">
        <v>0.139006106251062</v>
      </c>
      <c r="AG187" s="25">
        <v>0.161363928085287</v>
      </c>
      <c r="AH187" s="25">
        <v>0.461714420197763</v>
      </c>
      <c r="AI187" s="25">
        <v>10.0</v>
      </c>
      <c r="AJ187" s="25">
        <v>3.26586133641962</v>
      </c>
      <c r="AK187" s="25">
        <v>15.2434093111579</v>
      </c>
      <c r="AL187" s="25">
        <v>3.90428089552454</v>
      </c>
      <c r="AM187" s="25">
        <v>0.418539439062608</v>
      </c>
      <c r="AN187" s="25">
        <v>3.70070088933786</v>
      </c>
      <c r="AO187" s="25">
        <v>18.6790544602477</v>
      </c>
      <c r="AP187" s="25">
        <v>4.32192716970655</v>
      </c>
      <c r="AQ187" s="25">
        <v>0.284646080089055</v>
      </c>
      <c r="AR187" s="25">
        <v>3.24154517216022</v>
      </c>
      <c r="AS187" s="25">
        <v>14.1595455253439</v>
      </c>
      <c r="AT187" s="25">
        <v>3.76291715632219</v>
      </c>
      <c r="AU187" s="25">
        <v>0.461714420197763</v>
      </c>
      <c r="AV187" s="26">
        <f t="shared" ref="AV187:AW187" si="377">(AC187-AC$289)/AC$290</f>
        <v>2.079187003</v>
      </c>
      <c r="AW187" s="27">
        <f t="shared" si="377"/>
        <v>1.82134106</v>
      </c>
      <c r="AX187" s="27">
        <f t="shared" si="5"/>
        <v>0.6046148339</v>
      </c>
      <c r="AY187" s="28">
        <f t="shared" si="6"/>
        <v>0.4848531783</v>
      </c>
      <c r="AZ187" s="29">
        <f t="shared" si="7"/>
        <v>0.8219400985</v>
      </c>
      <c r="BA187" s="28">
        <f t="shared" si="8"/>
        <v>0.7039155374</v>
      </c>
      <c r="BB187" s="29">
        <f t="shared" si="9"/>
        <v>0.6536320121</v>
      </c>
      <c r="BC187" s="27">
        <f t="shared" si="10"/>
        <v>0.5128444534</v>
      </c>
      <c r="BD187" s="28">
        <f t="shared" si="11"/>
        <v>0.541055145</v>
      </c>
      <c r="BE187" s="30">
        <f t="shared" ref="BE187:BF187" si="378">((S187-S$289)/S$290)</f>
        <v>-0.8099406191</v>
      </c>
      <c r="BF187" s="30">
        <f t="shared" si="378"/>
        <v>-0.8884529226</v>
      </c>
    </row>
    <row r="188">
      <c r="A188" s="21" t="s">
        <v>88</v>
      </c>
      <c r="B188" s="22">
        <f t="shared" si="3"/>
        <v>-0.5676966484</v>
      </c>
      <c r="C188" s="21" t="s">
        <v>68</v>
      </c>
      <c r="D188" s="21" t="s">
        <v>69</v>
      </c>
      <c r="E188" s="23">
        <v>29.0</v>
      </c>
      <c r="F188" s="24" t="s">
        <v>70</v>
      </c>
      <c r="G188" s="21" t="s">
        <v>82</v>
      </c>
      <c r="H188" s="24" t="s">
        <v>83</v>
      </c>
      <c r="I188" s="24" t="s">
        <v>95</v>
      </c>
      <c r="J188" s="24" t="s">
        <v>99</v>
      </c>
      <c r="K188" s="24" t="s">
        <v>75</v>
      </c>
      <c r="L188" s="21" t="s">
        <v>76</v>
      </c>
      <c r="M188" s="24" t="s">
        <v>85</v>
      </c>
      <c r="N188" s="21" t="s">
        <v>86</v>
      </c>
      <c r="O188" s="21" t="s">
        <v>91</v>
      </c>
      <c r="P188" s="21" t="s">
        <v>80</v>
      </c>
      <c r="Q188" s="24" t="s">
        <v>81</v>
      </c>
      <c r="R188" s="24" t="s">
        <v>89</v>
      </c>
      <c r="S188" s="25">
        <v>155.560157775878</v>
      </c>
      <c r="T188" s="25">
        <v>186.55936050415</v>
      </c>
      <c r="U188" s="25">
        <v>2.97972069509795</v>
      </c>
      <c r="V188" s="25">
        <v>13.7375795824429</v>
      </c>
      <c r="W188" s="25">
        <v>3.70642409640922</v>
      </c>
      <c r="X188" s="25">
        <v>0.476036765037343</v>
      </c>
      <c r="Y188" s="25">
        <v>0.173404501167188</v>
      </c>
      <c r="Z188" s="25">
        <v>0.0436431773433996</v>
      </c>
      <c r="AA188" s="25">
        <v>0.208909495579783</v>
      </c>
      <c r="AB188" s="25">
        <v>0.086499577339878</v>
      </c>
      <c r="AC188" s="25">
        <v>0.174368613859476</v>
      </c>
      <c r="AD188" s="25">
        <v>0.209853783779999</v>
      </c>
      <c r="AE188" s="25">
        <v>0.0828590588852874</v>
      </c>
      <c r="AF188" s="25">
        <v>0.101460963540302</v>
      </c>
      <c r="AG188" s="25">
        <v>0.125308110645238</v>
      </c>
      <c r="AH188" s="25">
        <v>0.675392765547884</v>
      </c>
      <c r="AI188" s="25">
        <v>10.0</v>
      </c>
      <c r="AJ188" s="25">
        <v>2.97972069509795</v>
      </c>
      <c r="AK188" s="25">
        <v>13.7375795824429</v>
      </c>
      <c r="AL188" s="25">
        <v>3.70642409640922</v>
      </c>
      <c r="AM188" s="25">
        <v>0.475979384475208</v>
      </c>
      <c r="AN188" s="25">
        <v>4.06617920375082</v>
      </c>
      <c r="AO188" s="25">
        <v>23.9480418153538</v>
      </c>
      <c r="AP188" s="25">
        <v>4.89367365231416</v>
      </c>
      <c r="AQ188" s="25">
        <v>0.0828590588852872</v>
      </c>
      <c r="AR188" s="25">
        <v>2.3660133025579</v>
      </c>
      <c r="AS188" s="25">
        <v>8.53875913928325</v>
      </c>
      <c r="AT188" s="25">
        <v>2.92211552462993</v>
      </c>
      <c r="AU188" s="25">
        <v>0.675392765547883</v>
      </c>
      <c r="AV188" s="26">
        <f t="shared" ref="AV188:AW188" si="379">(AC188-AC$289)/AC$290</f>
        <v>2.40086354</v>
      </c>
      <c r="AW188" s="27">
        <f t="shared" si="379"/>
        <v>2.217536213</v>
      </c>
      <c r="AX188" s="27">
        <f t="shared" si="5"/>
        <v>0.2337955094</v>
      </c>
      <c r="AY188" s="28">
        <f t="shared" si="6"/>
        <v>0.2050149361</v>
      </c>
      <c r="AZ188" s="29">
        <f t="shared" si="7"/>
        <v>0.6750664104</v>
      </c>
      <c r="BA188" s="28">
        <f t="shared" si="8"/>
        <v>0.6254615592</v>
      </c>
      <c r="BB188" s="29">
        <f t="shared" si="9"/>
        <v>0.8742356136</v>
      </c>
      <c r="BC188" s="27">
        <f t="shared" si="10"/>
        <v>0.1921980087</v>
      </c>
      <c r="BD188" s="28">
        <f t="shared" si="11"/>
        <v>0.4659286525</v>
      </c>
      <c r="BE188" s="30">
        <f t="shared" ref="BE188:BF188" si="380">((S188-S$289)/S$290)</f>
        <v>-0.7966113695</v>
      </c>
      <c r="BF188" s="30">
        <f t="shared" si="380"/>
        <v>-0.8488259417</v>
      </c>
    </row>
    <row r="189">
      <c r="A189" s="21" t="s">
        <v>88</v>
      </c>
      <c r="B189" s="22">
        <f t="shared" si="3"/>
        <v>-0.5656091297</v>
      </c>
      <c r="C189" s="21" t="s">
        <v>68</v>
      </c>
      <c r="D189" s="21" t="s">
        <v>69</v>
      </c>
      <c r="E189" s="23">
        <v>80.0</v>
      </c>
      <c r="F189" s="24" t="s">
        <v>70</v>
      </c>
      <c r="G189" s="21" t="s">
        <v>71</v>
      </c>
      <c r="H189" s="24" t="s">
        <v>72</v>
      </c>
      <c r="I189" s="24" t="s">
        <v>73</v>
      </c>
      <c r="J189" s="24" t="s">
        <v>74</v>
      </c>
      <c r="K189" s="24" t="s">
        <v>75</v>
      </c>
      <c r="L189" s="21" t="s">
        <v>84</v>
      </c>
      <c r="M189" s="24" t="s">
        <v>85</v>
      </c>
      <c r="N189" s="21" t="s">
        <v>104</v>
      </c>
      <c r="O189" s="21" t="s">
        <v>91</v>
      </c>
      <c r="P189" s="21" t="s">
        <v>80</v>
      </c>
      <c r="Q189" s="24" t="s">
        <v>103</v>
      </c>
      <c r="R189" s="24" t="s">
        <v>87</v>
      </c>
      <c r="S189" s="25">
        <v>105.962673425674</v>
      </c>
      <c r="T189" s="25">
        <v>172.6494743824</v>
      </c>
      <c r="U189" s="25">
        <v>3.18221048839966</v>
      </c>
      <c r="V189" s="25">
        <v>14.8729909554137</v>
      </c>
      <c r="W189" s="25">
        <v>3.85655169230411</v>
      </c>
      <c r="X189" s="25">
        <v>0.428415091025257</v>
      </c>
      <c r="Y189" s="25">
        <v>0.13784983520698</v>
      </c>
      <c r="Z189" s="25">
        <v>0.0265225479543734</v>
      </c>
      <c r="AA189" s="25">
        <v>0.162857446726802</v>
      </c>
      <c r="AB189" s="25">
        <v>0.439746257710409</v>
      </c>
      <c r="AC189" s="25">
        <v>0.138473988061589</v>
      </c>
      <c r="AD189" s="25">
        <v>0.163268129913604</v>
      </c>
      <c r="AE189" s="25">
        <v>0.440193964584549</v>
      </c>
      <c r="AF189" s="25">
        <v>0.157331772666493</v>
      </c>
      <c r="AG189" s="25">
        <v>0.188934956526054</v>
      </c>
      <c r="AH189" s="25">
        <v>0.257788186176082</v>
      </c>
      <c r="AI189" s="25">
        <v>10.0</v>
      </c>
      <c r="AJ189" s="25">
        <v>3.18221048839966</v>
      </c>
      <c r="AK189" s="25">
        <v>14.8729909554137</v>
      </c>
      <c r="AL189" s="25">
        <v>3.85655169230411</v>
      </c>
      <c r="AM189" s="25">
        <v>0.428390995958493</v>
      </c>
      <c r="AN189" s="25">
        <v>3.2291364716029</v>
      </c>
      <c r="AO189" s="25">
        <v>14.4957014594514</v>
      </c>
      <c r="AP189" s="25">
        <v>3.80732208506864</v>
      </c>
      <c r="AQ189" s="25">
        <v>0.440193964584549</v>
      </c>
      <c r="AR189" s="25">
        <v>3.66888953204225</v>
      </c>
      <c r="AS189" s="25">
        <v>19.4115866752099</v>
      </c>
      <c r="AT189" s="25">
        <v>4.40585822232285</v>
      </c>
      <c r="AU189" s="25">
        <v>0.257788186176082</v>
      </c>
      <c r="AV189" s="26">
        <f t="shared" ref="AV189:AW189" si="381">(AC189-AC$289)/AC$290</f>
        <v>1.66413855</v>
      </c>
      <c r="AW189" s="27">
        <f t="shared" si="381"/>
        <v>1.46474238</v>
      </c>
      <c r="AX189" s="27">
        <f t="shared" si="5"/>
        <v>0.7856105833</v>
      </c>
      <c r="AY189" s="28">
        <f t="shared" si="6"/>
        <v>0.698838845</v>
      </c>
      <c r="AZ189" s="29">
        <f t="shared" si="7"/>
        <v>0.7790027915</v>
      </c>
      <c r="BA189" s="28">
        <f t="shared" si="8"/>
        <v>0.6849900019</v>
      </c>
      <c r="BB189" s="29">
        <f t="shared" si="9"/>
        <v>0.4835793332</v>
      </c>
      <c r="BC189" s="27">
        <f t="shared" si="10"/>
        <v>0.818856847</v>
      </c>
      <c r="BD189" s="28">
        <f t="shared" si="11"/>
        <v>0.5281701586</v>
      </c>
      <c r="BE189" s="30">
        <f t="shared" ref="BE189:BF189" si="382">((S189-S$289)/S$290)</f>
        <v>-0.809587105</v>
      </c>
      <c r="BF189" s="30">
        <f t="shared" si="382"/>
        <v>-0.8766419595</v>
      </c>
    </row>
    <row r="190">
      <c r="A190" s="21" t="s">
        <v>88</v>
      </c>
      <c r="B190" s="22">
        <f t="shared" si="3"/>
        <v>-0.005715541118</v>
      </c>
      <c r="C190" s="21" t="s">
        <v>68</v>
      </c>
      <c r="D190" s="21" t="s">
        <v>69</v>
      </c>
      <c r="E190" s="23">
        <v>174.0</v>
      </c>
      <c r="F190" s="24" t="s">
        <v>97</v>
      </c>
      <c r="G190" s="21" t="s">
        <v>82</v>
      </c>
      <c r="H190" s="24" t="s">
        <v>98</v>
      </c>
      <c r="I190" s="24" t="s">
        <v>95</v>
      </c>
      <c r="J190" s="24" t="s">
        <v>99</v>
      </c>
      <c r="K190" s="24" t="s">
        <v>101</v>
      </c>
      <c r="L190" s="21" t="s">
        <v>76</v>
      </c>
      <c r="M190" s="24" t="s">
        <v>77</v>
      </c>
      <c r="N190" s="21" t="s">
        <v>104</v>
      </c>
      <c r="O190" s="21" t="s">
        <v>79</v>
      </c>
      <c r="P190" s="21" t="s">
        <v>80</v>
      </c>
      <c r="Q190" s="24" t="s">
        <v>103</v>
      </c>
      <c r="S190" s="25">
        <v>484.267318487167</v>
      </c>
      <c r="T190" s="25">
        <v>534.435535907745</v>
      </c>
      <c r="U190" s="25">
        <v>1.85592603010692</v>
      </c>
      <c r="V190" s="25">
        <v>5.46233649975288</v>
      </c>
      <c r="W190" s="25">
        <v>2.33716420042599</v>
      </c>
      <c r="X190" s="25">
        <v>0.797836267976192</v>
      </c>
      <c r="Y190" s="25">
        <v>0.069987428341915</v>
      </c>
      <c r="Z190" s="25">
        <v>0.00739269718257371</v>
      </c>
      <c r="AA190" s="25">
        <v>0.0859807954288265</v>
      </c>
      <c r="AB190" s="25">
        <v>0.834552233215775</v>
      </c>
      <c r="AC190" s="25">
        <v>0.0700558789416141</v>
      </c>
      <c r="AD190" s="25">
        <v>0.0859563230638916</v>
      </c>
      <c r="AE190" s="25">
        <v>0.835437274019514</v>
      </c>
      <c r="AF190" s="25">
        <v>0.0809609967294639</v>
      </c>
      <c r="AG190" s="25">
        <v>0.101109161647642</v>
      </c>
      <c r="AH190" s="25">
        <v>0.773239150859006</v>
      </c>
      <c r="AI190" s="25">
        <v>10.0</v>
      </c>
      <c r="AJ190" s="25">
        <v>1.85592603010687</v>
      </c>
      <c r="AK190" s="25">
        <v>5.46233649975288</v>
      </c>
      <c r="AL190" s="25">
        <v>2.33716420042599</v>
      </c>
      <c r="AM190" s="25">
        <v>0.797811534902252</v>
      </c>
      <c r="AN190" s="25">
        <v>1.71636903406957</v>
      </c>
      <c r="AO190" s="25">
        <v>4.4349408071671</v>
      </c>
      <c r="AP190" s="25">
        <v>2.10592991506533</v>
      </c>
      <c r="AQ190" s="25">
        <v>0.835437274019514</v>
      </c>
      <c r="AR190" s="25">
        <v>1.9835444198719</v>
      </c>
      <c r="AS190" s="25">
        <v>6.13639330709579</v>
      </c>
      <c r="AT190" s="25">
        <v>2.47717446036725</v>
      </c>
      <c r="AU190" s="25">
        <v>0.773239150859006</v>
      </c>
      <c r="AV190" s="26">
        <f t="shared" ref="AV190:AW190" si="383">(AC190-AC$289)/AC$290</f>
        <v>0.2598801228</v>
      </c>
      <c r="AW190" s="27">
        <f t="shared" si="383"/>
        <v>0.215433921</v>
      </c>
      <c r="AX190" s="27">
        <f t="shared" si="5"/>
        <v>0.07180614307</v>
      </c>
      <c r="AY190" s="28">
        <f t="shared" si="6"/>
        <v>0.05692825233</v>
      </c>
      <c r="AZ190" s="29">
        <f t="shared" si="7"/>
        <v>0.09823165417</v>
      </c>
      <c r="BA190" s="28">
        <f t="shared" si="8"/>
        <v>0.08252400808</v>
      </c>
      <c r="BB190" s="29">
        <f t="shared" si="9"/>
        <v>0.05147970165</v>
      </c>
      <c r="BC190" s="27">
        <f t="shared" si="10"/>
        <v>0.0453693933</v>
      </c>
      <c r="BD190" s="28">
        <f t="shared" si="11"/>
        <v>0.04499996833</v>
      </c>
      <c r="BE190" s="30">
        <f t="shared" ref="BE190:BF190" si="384">((S190-S$289)/S$290)</f>
        <v>-0.7106147261</v>
      </c>
      <c r="BF190" s="30">
        <f t="shared" si="384"/>
        <v>-0.1531674864</v>
      </c>
    </row>
    <row r="191">
      <c r="A191" s="21" t="s">
        <v>67</v>
      </c>
      <c r="B191" s="22">
        <f t="shared" si="3"/>
        <v>-0.1336088855</v>
      </c>
      <c r="C191" s="21" t="s">
        <v>68</v>
      </c>
      <c r="D191" s="21" t="s">
        <v>69</v>
      </c>
      <c r="E191" s="23">
        <v>140.0</v>
      </c>
      <c r="F191" s="24" t="s">
        <v>70</v>
      </c>
      <c r="G191" s="21" t="s">
        <v>71</v>
      </c>
      <c r="H191" s="24" t="s">
        <v>72</v>
      </c>
      <c r="I191" s="24" t="s">
        <v>95</v>
      </c>
      <c r="J191" s="24" t="s">
        <v>99</v>
      </c>
      <c r="K191" s="24" t="s">
        <v>101</v>
      </c>
      <c r="L191" s="21" t="s">
        <v>84</v>
      </c>
      <c r="M191" s="24" t="s">
        <v>85</v>
      </c>
      <c r="N191" s="21" t="s">
        <v>78</v>
      </c>
      <c r="O191" s="21" t="s">
        <v>91</v>
      </c>
      <c r="P191" s="21" t="s">
        <v>80</v>
      </c>
      <c r="Q191" s="24" t="s">
        <v>81</v>
      </c>
      <c r="R191" s="24" t="s">
        <v>103</v>
      </c>
      <c r="S191" s="25">
        <v>445.718941926956</v>
      </c>
      <c r="T191" s="25">
        <v>221.547384023666</v>
      </c>
      <c r="U191" s="25">
        <v>2.23812046719859</v>
      </c>
      <c r="V191" s="25">
        <v>8.34384940015788</v>
      </c>
      <c r="W191" s="25">
        <v>2.88857220788366</v>
      </c>
      <c r="X191" s="25">
        <v>0.681794752336446</v>
      </c>
      <c r="Y191" s="25">
        <v>0.0885160495890845</v>
      </c>
      <c r="Z191" s="25">
        <v>0.012696900121707</v>
      </c>
      <c r="AA191" s="25">
        <v>0.112680522370581</v>
      </c>
      <c r="AB191" s="25">
        <v>0.733060498984831</v>
      </c>
      <c r="AC191" s="25">
        <v>0.0884586852441642</v>
      </c>
      <c r="AD191" s="25">
        <v>0.11242691356019</v>
      </c>
      <c r="AE191" s="25">
        <v>0.735873774427239</v>
      </c>
      <c r="AF191" s="25">
        <v>0.102012213675669</v>
      </c>
      <c r="AG191" s="25">
        <v>0.131690138217377</v>
      </c>
      <c r="AH191" s="25">
        <v>0.642266548231002</v>
      </c>
      <c r="AI191" s="25">
        <v>10.0</v>
      </c>
      <c r="AJ191" s="25">
        <v>2.23812046719859</v>
      </c>
      <c r="AK191" s="25">
        <v>8.34384940015788</v>
      </c>
      <c r="AL191" s="25">
        <v>2.88857220788366</v>
      </c>
      <c r="AM191" s="25">
        <v>0.681683827180054</v>
      </c>
      <c r="AN191" s="25">
        <v>2.06280739617989</v>
      </c>
      <c r="AO191" s="25">
        <v>6.87348478755499</v>
      </c>
      <c r="AP191" s="25">
        <v>2.62173316482722</v>
      </c>
      <c r="AQ191" s="25">
        <v>0.735873774427239</v>
      </c>
      <c r="AR191" s="25">
        <v>2.37886814946456</v>
      </c>
      <c r="AS191" s="25">
        <v>9.43067777815527</v>
      </c>
      <c r="AT191" s="25">
        <v>3.07094086204135</v>
      </c>
      <c r="AU191" s="25">
        <v>0.642266548231002</v>
      </c>
      <c r="AV191" s="26">
        <f t="shared" ref="AV191:AW191" si="385">(AC191-AC$289)/AC$290</f>
        <v>0.6375914652</v>
      </c>
      <c r="AW191" s="27">
        <f t="shared" si="385"/>
        <v>0.6431814278</v>
      </c>
      <c r="AX191" s="27">
        <f t="shared" si="5"/>
        <v>0.2392400007</v>
      </c>
      <c r="AY191" s="28">
        <f t="shared" si="6"/>
        <v>0.2545474527</v>
      </c>
      <c r="AZ191" s="29">
        <f t="shared" si="7"/>
        <v>0.2944089825</v>
      </c>
      <c r="BA191" s="28">
        <f t="shared" si="8"/>
        <v>0.3011677543</v>
      </c>
      <c r="BB191" s="29">
        <f t="shared" si="9"/>
        <v>0.1603274682</v>
      </c>
      <c r="BC191" s="27">
        <f t="shared" si="10"/>
        <v>0.2419073219</v>
      </c>
      <c r="BD191" s="28">
        <f t="shared" si="11"/>
        <v>0.1968849902</v>
      </c>
      <c r="BE191" s="30">
        <f t="shared" ref="BE191:BF191" si="386">((S191-S$289)/S$290)</f>
        <v>-0.7206997847</v>
      </c>
      <c r="BF191" s="30">
        <f t="shared" si="386"/>
        <v>-0.7788593383</v>
      </c>
    </row>
    <row r="192">
      <c r="A192" s="21" t="s">
        <v>88</v>
      </c>
      <c r="B192" s="22">
        <f t="shared" si="3"/>
        <v>0.1625340114</v>
      </c>
      <c r="C192" s="21" t="s">
        <v>68</v>
      </c>
      <c r="D192" s="21" t="s">
        <v>69</v>
      </c>
      <c r="E192" s="23">
        <v>9.0</v>
      </c>
      <c r="F192" s="24" t="s">
        <v>70</v>
      </c>
      <c r="G192" s="21" t="s">
        <v>82</v>
      </c>
      <c r="H192" s="24" t="s">
        <v>83</v>
      </c>
      <c r="I192" s="24" t="s">
        <v>95</v>
      </c>
      <c r="J192" s="24" t="s">
        <v>74</v>
      </c>
      <c r="K192" s="24" t="s">
        <v>101</v>
      </c>
      <c r="L192" s="21" t="s">
        <v>92</v>
      </c>
      <c r="M192" s="24" t="s">
        <v>77</v>
      </c>
      <c r="N192" s="21" t="s">
        <v>86</v>
      </c>
      <c r="O192" s="21" t="s">
        <v>79</v>
      </c>
      <c r="P192" s="21" t="s">
        <v>80</v>
      </c>
      <c r="Q192" s="24" t="s">
        <v>96</v>
      </c>
      <c r="S192" s="25">
        <v>696.894239902496</v>
      </c>
      <c r="T192" s="25">
        <v>180.669997930526</v>
      </c>
      <c r="U192" s="25">
        <v>1.63131859952172</v>
      </c>
      <c r="V192" s="25">
        <v>4.52210136220513</v>
      </c>
      <c r="W192" s="25">
        <v>2.12652330394123</v>
      </c>
      <c r="X192" s="25">
        <v>0.827591238776167</v>
      </c>
      <c r="Y192" s="25">
        <v>0.049977350693482</v>
      </c>
      <c r="Z192" s="25">
        <v>0.00409937565586297</v>
      </c>
      <c r="AA192" s="25">
        <v>0.0640263668800828</v>
      </c>
      <c r="AB192" s="25">
        <v>0.914195491203396</v>
      </c>
      <c r="AC192" s="25">
        <v>0.0498716668184596</v>
      </c>
      <c r="AD192" s="25">
        <v>0.0638878055908152</v>
      </c>
      <c r="AE192" s="25">
        <v>0.914996185478933</v>
      </c>
      <c r="AF192" s="25">
        <v>0.079394992441962</v>
      </c>
      <c r="AG192" s="25">
        <v>0.102203248077503</v>
      </c>
      <c r="AH192" s="25">
        <v>0.784061924178565</v>
      </c>
      <c r="AI192" s="25">
        <v>10.0</v>
      </c>
      <c r="AJ192" s="25">
        <v>1.63131859952172</v>
      </c>
      <c r="AK192" s="25">
        <v>4.52210136220513</v>
      </c>
      <c r="AL192" s="25">
        <v>2.12652330394123</v>
      </c>
      <c r="AM192" s="25">
        <v>0.827504232090728</v>
      </c>
      <c r="AN192" s="25">
        <v>1.16297956372492</v>
      </c>
      <c r="AO192" s="25">
        <v>2.21958786633261</v>
      </c>
      <c r="AP192" s="25">
        <v>1.48982813315248</v>
      </c>
      <c r="AQ192" s="25">
        <v>0.914996185478933</v>
      </c>
      <c r="AR192" s="25">
        <v>1.85144711541744</v>
      </c>
      <c r="AS192" s="25">
        <v>5.68022835828542</v>
      </c>
      <c r="AT192" s="25">
        <v>2.38332296558511</v>
      </c>
      <c r="AU192" s="25">
        <v>0.784061924178565</v>
      </c>
      <c r="AV192" s="26">
        <f t="shared" ref="AV192:AW192" si="387">(AC192-AC$289)/AC$290</f>
        <v>-0.1543939684</v>
      </c>
      <c r="AW192" s="27">
        <f t="shared" si="387"/>
        <v>-0.141178952</v>
      </c>
      <c r="AX192" s="27">
        <f t="shared" si="5"/>
        <v>0.01585817029</v>
      </c>
      <c r="AY192" s="28">
        <f t="shared" si="6"/>
        <v>0.02569230281</v>
      </c>
      <c r="AZ192" s="29">
        <f t="shared" si="7"/>
        <v>-0.01705753211</v>
      </c>
      <c r="BA192" s="28">
        <f t="shared" si="8"/>
        <v>-0.0009991074601</v>
      </c>
      <c r="BB192" s="29">
        <f t="shared" si="9"/>
        <v>-0.03549805486</v>
      </c>
      <c r="BC192" s="27">
        <f t="shared" si="10"/>
        <v>0.0291287032</v>
      </c>
      <c r="BD192" s="28">
        <f t="shared" si="11"/>
        <v>0.006164482384</v>
      </c>
      <c r="BE192" s="30">
        <f t="shared" ref="BE192:BF192" si="388">((S192-S$289)/S$290)</f>
        <v>-0.6549870924</v>
      </c>
      <c r="BF192" s="30">
        <f t="shared" si="388"/>
        <v>-0.8606030773</v>
      </c>
    </row>
    <row r="193">
      <c r="A193" s="21" t="s">
        <v>67</v>
      </c>
      <c r="B193" s="22">
        <f t="shared" si="3"/>
        <v>-0.10136262</v>
      </c>
      <c r="C193" s="21" t="s">
        <v>68</v>
      </c>
      <c r="D193" s="21" t="s">
        <v>69</v>
      </c>
      <c r="E193" s="23">
        <v>138.0</v>
      </c>
      <c r="F193" s="24" t="s">
        <v>70</v>
      </c>
      <c r="G193" s="21" t="s">
        <v>71</v>
      </c>
      <c r="H193" s="24" t="s">
        <v>72</v>
      </c>
      <c r="I193" s="24" t="s">
        <v>95</v>
      </c>
      <c r="J193" s="24" t="s">
        <v>74</v>
      </c>
      <c r="K193" s="24" t="s">
        <v>101</v>
      </c>
      <c r="L193" s="21" t="s">
        <v>92</v>
      </c>
      <c r="M193" s="24" t="s">
        <v>85</v>
      </c>
      <c r="N193" s="21" t="s">
        <v>86</v>
      </c>
      <c r="O193" s="21" t="s">
        <v>91</v>
      </c>
      <c r="P193" s="21" t="s">
        <v>80</v>
      </c>
      <c r="Q193" s="24" t="s">
        <v>81</v>
      </c>
      <c r="R193" s="24" t="s">
        <v>81</v>
      </c>
      <c r="S193" s="25">
        <v>494.608894348144</v>
      </c>
      <c r="T193" s="25">
        <v>216.436664581298</v>
      </c>
      <c r="U193" s="25">
        <v>2.13664857811565</v>
      </c>
      <c r="V193" s="25">
        <v>7.62101106395552</v>
      </c>
      <c r="W193" s="25">
        <v>2.76061787720711</v>
      </c>
      <c r="X193" s="25">
        <v>0.709350390536984</v>
      </c>
      <c r="Y193" s="25">
        <v>0.0854127691412862</v>
      </c>
      <c r="Z193" s="25">
        <v>0.0116869524039663</v>
      </c>
      <c r="AA193" s="25">
        <v>0.108106208905716</v>
      </c>
      <c r="AB193" s="25">
        <v>0.754293629689247</v>
      </c>
      <c r="AC193" s="25">
        <v>0.0849641351681707</v>
      </c>
      <c r="AD193" s="25">
        <v>0.107641237252396</v>
      </c>
      <c r="AE193" s="25">
        <v>0.757881312588111</v>
      </c>
      <c r="AF193" s="25">
        <v>0.0998290442980568</v>
      </c>
      <c r="AG193" s="25">
        <v>0.130195826084283</v>
      </c>
      <c r="AH193" s="25">
        <v>0.650339021061441</v>
      </c>
      <c r="AI193" s="25">
        <v>10.0</v>
      </c>
      <c r="AJ193" s="25">
        <v>2.13664857811565</v>
      </c>
      <c r="AK193" s="25">
        <v>7.62101106395551</v>
      </c>
      <c r="AL193" s="25">
        <v>2.76061787720711</v>
      </c>
      <c r="AM193" s="25">
        <v>0.709259964010031</v>
      </c>
      <c r="AN193" s="25">
        <v>1.98131642982444</v>
      </c>
      <c r="AO193" s="25">
        <v>6.30077195514974</v>
      </c>
      <c r="AP193" s="25">
        <v>2.51013385203852</v>
      </c>
      <c r="AQ193" s="25">
        <v>0.757881312588111</v>
      </c>
      <c r="AR193" s="25">
        <v>2.32795785245052</v>
      </c>
      <c r="AS193" s="25">
        <v>9.2178688005203</v>
      </c>
      <c r="AT193" s="25">
        <v>3.036094333271</v>
      </c>
      <c r="AU193" s="25">
        <v>0.650339021061441</v>
      </c>
      <c r="AV193" s="26">
        <f t="shared" ref="AV193:AW193" si="389">(AC193-AC$289)/AC$290</f>
        <v>0.565867013</v>
      </c>
      <c r="AW193" s="27">
        <f t="shared" si="389"/>
        <v>0.5658480147</v>
      </c>
      <c r="AX193" s="27">
        <f t="shared" si="5"/>
        <v>0.2176776537</v>
      </c>
      <c r="AY193" s="28">
        <f t="shared" si="6"/>
        <v>0.2429497215</v>
      </c>
      <c r="AZ193" s="29">
        <f t="shared" si="7"/>
        <v>0.2423242785</v>
      </c>
      <c r="BA193" s="28">
        <f t="shared" si="8"/>
        <v>0.2504314323</v>
      </c>
      <c r="BB193" s="29">
        <f t="shared" si="9"/>
        <v>0.1362677336</v>
      </c>
      <c r="BC193" s="27">
        <f t="shared" si="10"/>
        <v>0.229793742</v>
      </c>
      <c r="BD193" s="28">
        <f t="shared" si="11"/>
        <v>0.1608177826</v>
      </c>
      <c r="BE193" s="30">
        <f t="shared" ref="BE193:BF193" si="390">((S193-S$289)/S$290)</f>
        <v>-0.7079091543</v>
      </c>
      <c r="BF193" s="30">
        <f t="shared" si="390"/>
        <v>-0.7890793978</v>
      </c>
    </row>
    <row r="194">
      <c r="A194" s="21" t="s">
        <v>88</v>
      </c>
      <c r="B194" s="22">
        <f t="shared" si="3"/>
        <v>-0.03506854403</v>
      </c>
      <c r="C194" s="21" t="s">
        <v>68</v>
      </c>
      <c r="D194" s="21" t="s">
        <v>69</v>
      </c>
      <c r="E194" s="23">
        <v>229.0</v>
      </c>
      <c r="F194" s="24" t="s">
        <v>97</v>
      </c>
      <c r="G194" s="21" t="s">
        <v>71</v>
      </c>
      <c r="H194" s="24" t="s">
        <v>105</v>
      </c>
      <c r="I194" s="24" t="s">
        <v>73</v>
      </c>
      <c r="J194" s="24" t="s">
        <v>74</v>
      </c>
      <c r="K194" s="24" t="s">
        <v>101</v>
      </c>
      <c r="L194" s="21" t="s">
        <v>84</v>
      </c>
      <c r="M194" s="24" t="s">
        <v>85</v>
      </c>
      <c r="N194" s="21" t="s">
        <v>86</v>
      </c>
      <c r="O194" s="21" t="s">
        <v>91</v>
      </c>
      <c r="P194" s="21" t="s">
        <v>80</v>
      </c>
      <c r="Q194" s="24" t="s">
        <v>81</v>
      </c>
      <c r="R194" s="24" t="s">
        <v>87</v>
      </c>
      <c r="S194" s="25">
        <v>499.884915590286</v>
      </c>
      <c r="T194" s="25">
        <v>442.295997858047</v>
      </c>
      <c r="U194" s="25">
        <v>1.99199059440806</v>
      </c>
      <c r="V194" s="25">
        <v>6.55088870741549</v>
      </c>
      <c r="W194" s="25">
        <v>2.55947039588573</v>
      </c>
      <c r="X194" s="25">
        <v>0.757126383023336</v>
      </c>
      <c r="Y194" s="25">
        <v>0.071208776879772</v>
      </c>
      <c r="Z194" s="25">
        <v>0.00817370842791753</v>
      </c>
      <c r="AA194" s="25">
        <v>0.0904085639080587</v>
      </c>
      <c r="AB194" s="25">
        <v>0.816158563421966</v>
      </c>
      <c r="AC194" s="25">
        <v>0.0709720251981746</v>
      </c>
      <c r="AD194" s="25">
        <v>0.0900913348927561</v>
      </c>
      <c r="AE194" s="25">
        <v>0.81843827078055</v>
      </c>
      <c r="AF194" s="25">
        <v>0.0858507610018973</v>
      </c>
      <c r="AG194" s="25">
        <v>0.110114999593585</v>
      </c>
      <c r="AH194" s="25">
        <v>0.731005397639732</v>
      </c>
      <c r="AI194" s="25">
        <v>10.0</v>
      </c>
      <c r="AJ194" s="25">
        <v>1.991990594408</v>
      </c>
      <c r="AK194" s="25">
        <v>6.55088870741548</v>
      </c>
      <c r="AL194" s="25">
        <v>2.55947039588573</v>
      </c>
      <c r="AM194" s="25">
        <v>0.7570561552536</v>
      </c>
      <c r="AN194" s="25">
        <v>1.73881461735531</v>
      </c>
      <c r="AO194" s="25">
        <v>4.87189828581094</v>
      </c>
      <c r="AP194" s="25">
        <v>2.20723770487252</v>
      </c>
      <c r="AQ194" s="25">
        <v>0.81843827078055</v>
      </c>
      <c r="AR194" s="25">
        <v>2.10334364454652</v>
      </c>
      <c r="AS194" s="25">
        <v>7.27821920958104</v>
      </c>
      <c r="AT194" s="25">
        <v>2.69781749004283</v>
      </c>
      <c r="AU194" s="25">
        <v>0.731005397639732</v>
      </c>
      <c r="AV194" s="26">
        <f t="shared" ref="AV194:AW194" si="391">(AC194-AC$289)/AC$290</f>
        <v>0.2786837132</v>
      </c>
      <c r="AW194" s="27">
        <f t="shared" si="391"/>
        <v>0.2822530198</v>
      </c>
      <c r="AX194" s="27">
        <f t="shared" si="5"/>
        <v>0.1225454355</v>
      </c>
      <c r="AY194" s="28">
        <f t="shared" si="6"/>
        <v>0.1303633591</v>
      </c>
      <c r="AZ194" s="29">
        <f t="shared" si="7"/>
        <v>0.1680724999</v>
      </c>
      <c r="BA194" s="28">
        <f t="shared" si="8"/>
        <v>0.1706726362</v>
      </c>
      <c r="BB194" s="29">
        <f t="shared" si="9"/>
        <v>0.07006385693</v>
      </c>
      <c r="BC194" s="27">
        <f t="shared" si="10"/>
        <v>0.1087455056</v>
      </c>
      <c r="BD194" s="28">
        <f t="shared" si="11"/>
        <v>0.09830448842</v>
      </c>
      <c r="BE194" s="30">
        <f t="shared" ref="BE194:BF194" si="392">((S194-S$289)/S$290)</f>
        <v>-0.7065288372</v>
      </c>
      <c r="BF194" s="30">
        <f t="shared" si="392"/>
        <v>-0.337421693</v>
      </c>
    </row>
    <row r="195">
      <c r="A195" s="21" t="s">
        <v>88</v>
      </c>
      <c r="B195" s="22">
        <f t="shared" si="3"/>
        <v>-0.03245597273</v>
      </c>
      <c r="C195" s="21" t="s">
        <v>68</v>
      </c>
      <c r="D195" s="21" t="s">
        <v>69</v>
      </c>
      <c r="E195" s="23">
        <v>247.0</v>
      </c>
      <c r="F195" s="24" t="s">
        <v>97</v>
      </c>
      <c r="G195" s="21" t="s">
        <v>71</v>
      </c>
      <c r="H195" s="24" t="s">
        <v>105</v>
      </c>
      <c r="I195" s="24" t="s">
        <v>95</v>
      </c>
      <c r="J195" s="24" t="s">
        <v>99</v>
      </c>
      <c r="K195" s="24" t="s">
        <v>75</v>
      </c>
      <c r="L195" s="21" t="s">
        <v>84</v>
      </c>
      <c r="M195" s="24" t="s">
        <v>85</v>
      </c>
      <c r="N195" s="21" t="s">
        <v>104</v>
      </c>
      <c r="O195" s="21" t="s">
        <v>79</v>
      </c>
      <c r="P195" s="21" t="s">
        <v>80</v>
      </c>
      <c r="Q195" s="24" t="s">
        <v>87</v>
      </c>
      <c r="R195" s="24" t="s">
        <v>81</v>
      </c>
      <c r="S195" s="25">
        <v>495.507738828659</v>
      </c>
      <c r="T195" s="25">
        <v>530.312635421752</v>
      </c>
      <c r="U195" s="25">
        <v>1.97415448274513</v>
      </c>
      <c r="V195" s="25">
        <v>6.22119426412226</v>
      </c>
      <c r="W195" s="25">
        <v>2.49423219931951</v>
      </c>
      <c r="X195" s="25">
        <v>0.769555515784219</v>
      </c>
      <c r="Y195" s="25">
        <v>0.0722826696416682</v>
      </c>
      <c r="Z195" s="25">
        <v>0.00783228439081342</v>
      </c>
      <c r="AA195" s="25">
        <v>0.0885001942981676</v>
      </c>
      <c r="AB195" s="25">
        <v>0.824010547887819</v>
      </c>
      <c r="AC195" s="25">
        <v>0.0725752188113143</v>
      </c>
      <c r="AD195" s="25">
        <v>0.0886513013591609</v>
      </c>
      <c r="AE195" s="25">
        <v>0.824390919745857</v>
      </c>
      <c r="AF195" s="25">
        <v>0.0816366844084805</v>
      </c>
      <c r="AG195" s="25">
        <v>0.102826405206161</v>
      </c>
      <c r="AH195" s="25">
        <v>0.765853673626717</v>
      </c>
      <c r="AI195" s="25">
        <v>10.0</v>
      </c>
      <c r="AJ195" s="25">
        <v>1.97415448274507</v>
      </c>
      <c r="AK195" s="25">
        <v>6.22119426412226</v>
      </c>
      <c r="AL195" s="25">
        <v>2.49423219931951</v>
      </c>
      <c r="AM195" s="25">
        <v>0.769482669505707</v>
      </c>
      <c r="AN195" s="25">
        <v>1.77809286087723</v>
      </c>
      <c r="AO195" s="25">
        <v>4.71739670291181</v>
      </c>
      <c r="AP195" s="25">
        <v>2.17195688329944</v>
      </c>
      <c r="AQ195" s="25">
        <v>0.824390919745857</v>
      </c>
      <c r="AR195" s="25">
        <v>2.00009876800782</v>
      </c>
      <c r="AS195" s="25">
        <v>6.346605081975</v>
      </c>
      <c r="AT195" s="25">
        <v>2.51924692755097</v>
      </c>
      <c r="AU195" s="25">
        <v>0.765853673626718</v>
      </c>
      <c r="AV195" s="26">
        <f t="shared" ref="AV195:AW195" si="393">(AC195-AC$289)/AC$290</f>
        <v>0.311588717</v>
      </c>
      <c r="AW195" s="27">
        <f t="shared" si="393"/>
        <v>0.2589830155</v>
      </c>
      <c r="AX195" s="27">
        <f t="shared" si="5"/>
        <v>0.07881750657</v>
      </c>
      <c r="AY195" s="28">
        <f t="shared" si="6"/>
        <v>0.07093094312</v>
      </c>
      <c r="AZ195" s="29">
        <f t="shared" si="7"/>
        <v>0.1589173673</v>
      </c>
      <c r="BA195" s="28">
        <f t="shared" si="8"/>
        <v>0.1448044524</v>
      </c>
      <c r="BB195" s="29">
        <f t="shared" si="9"/>
        <v>0.0635561252</v>
      </c>
      <c r="BC195" s="27">
        <f t="shared" si="10"/>
        <v>0.05645206531</v>
      </c>
      <c r="BD195" s="28">
        <f t="shared" si="11"/>
        <v>0.08205167997</v>
      </c>
      <c r="BE195" s="30">
        <f t="shared" ref="BE195:BF195" si="394">((S195-S$289)/S$290)</f>
        <v>-0.7076739979</v>
      </c>
      <c r="BF195" s="30">
        <f t="shared" si="394"/>
        <v>-0.1614121745</v>
      </c>
    </row>
    <row r="196">
      <c r="A196" s="21" t="s">
        <v>67</v>
      </c>
      <c r="B196" s="22">
        <f t="shared" si="3"/>
        <v>0.04618324413</v>
      </c>
      <c r="C196" s="21" t="s">
        <v>68</v>
      </c>
      <c r="D196" s="21" t="s">
        <v>69</v>
      </c>
      <c r="E196" s="23">
        <v>202.0</v>
      </c>
      <c r="F196" s="24" t="s">
        <v>97</v>
      </c>
      <c r="G196" s="21" t="s">
        <v>82</v>
      </c>
      <c r="H196" s="24" t="s">
        <v>98</v>
      </c>
      <c r="I196" s="24" t="s">
        <v>95</v>
      </c>
      <c r="J196" s="24" t="s">
        <v>99</v>
      </c>
      <c r="K196" s="24" t="s">
        <v>101</v>
      </c>
      <c r="L196" s="21" t="s">
        <v>84</v>
      </c>
      <c r="M196" s="24" t="s">
        <v>85</v>
      </c>
      <c r="N196" s="21" t="s">
        <v>78</v>
      </c>
      <c r="O196" s="21" t="s">
        <v>79</v>
      </c>
      <c r="P196" s="21" t="s">
        <v>80</v>
      </c>
      <c r="Q196" s="24" t="s">
        <v>103</v>
      </c>
      <c r="R196" s="24" t="s">
        <v>103</v>
      </c>
      <c r="S196" s="25">
        <v>571.387957334518</v>
      </c>
      <c r="T196" s="25">
        <v>459.23506784439</v>
      </c>
      <c r="U196" s="25">
        <v>1.79323300803246</v>
      </c>
      <c r="V196" s="25">
        <v>5.14455589488794</v>
      </c>
      <c r="W196" s="25">
        <v>2.26816134674937</v>
      </c>
      <c r="X196" s="25">
        <v>0.809598280188105</v>
      </c>
      <c r="Y196" s="25">
        <v>0.0625030696584519</v>
      </c>
      <c r="Z196" s="25">
        <v>0.0060985677525382</v>
      </c>
      <c r="AA196" s="25">
        <v>0.0780933271959787</v>
      </c>
      <c r="AB196" s="25">
        <v>0.863514710487782</v>
      </c>
      <c r="AC196" s="25">
        <v>0.0623679731693403</v>
      </c>
      <c r="AD196" s="25">
        <v>0.0779276817799357</v>
      </c>
      <c r="AE196" s="25">
        <v>0.864743131714882</v>
      </c>
      <c r="AF196" s="25">
        <v>0.078928592066502</v>
      </c>
      <c r="AG196" s="25">
        <v>0.099239352971207</v>
      </c>
      <c r="AH196" s="25">
        <v>0.781548564017369</v>
      </c>
      <c r="AI196" s="25">
        <v>10.0</v>
      </c>
      <c r="AJ196" s="25">
        <v>1.79323300803244</v>
      </c>
      <c r="AK196" s="25">
        <v>5.14455589488794</v>
      </c>
      <c r="AL196" s="25">
        <v>2.26816134674937</v>
      </c>
      <c r="AM196" s="25">
        <v>0.809574188619829</v>
      </c>
      <c r="AN196" s="25">
        <v>1.52801534264883</v>
      </c>
      <c r="AO196" s="25">
        <v>3.64515233345385</v>
      </c>
      <c r="AP196" s="25">
        <v>1.90922820360842</v>
      </c>
      <c r="AQ196" s="25">
        <v>0.864743131714882</v>
      </c>
      <c r="AR196" s="25">
        <v>1.93375050562933</v>
      </c>
      <c r="AS196" s="25">
        <v>5.91153161918082</v>
      </c>
      <c r="AT196" s="25">
        <v>2.43136414779457</v>
      </c>
      <c r="AU196" s="25">
        <v>0.781548564017369</v>
      </c>
      <c r="AV196" s="26">
        <f t="shared" ref="AV196:AW196" si="395">(AC196-AC$289)/AC$290</f>
        <v>0.1020884707</v>
      </c>
      <c r="AW196" s="27">
        <f t="shared" si="395"/>
        <v>0.08569630555</v>
      </c>
      <c r="AX196" s="27">
        <f t="shared" si="5"/>
        <v>0.05071662448</v>
      </c>
      <c r="AY196" s="28">
        <f t="shared" si="6"/>
        <v>0.04168152009</v>
      </c>
      <c r="AZ196" s="29">
        <f t="shared" si="7"/>
        <v>0.06605183055</v>
      </c>
      <c r="BA196" s="28">
        <f t="shared" si="8"/>
        <v>0.05516306623</v>
      </c>
      <c r="BB196" s="29">
        <f t="shared" si="9"/>
        <v>0.01944108136</v>
      </c>
      <c r="BC196" s="27">
        <f t="shared" si="10"/>
        <v>0.03290025992</v>
      </c>
      <c r="BD196" s="28">
        <f t="shared" si="11"/>
        <v>0.02961543219</v>
      </c>
      <c r="BE196" s="30">
        <f t="shared" ref="BE196:BF196" si="396">((S196-S$289)/S$290)</f>
        <v>-0.6878221514</v>
      </c>
      <c r="BF196" s="30">
        <f t="shared" si="396"/>
        <v>-0.3035481251</v>
      </c>
    </row>
    <row r="197">
      <c r="A197" s="21" t="s">
        <v>67</v>
      </c>
      <c r="B197" s="22">
        <f t="shared" si="3"/>
        <v>-0.2051211618</v>
      </c>
      <c r="C197" s="21" t="s">
        <v>68</v>
      </c>
      <c r="D197" s="21" t="s">
        <v>69</v>
      </c>
      <c r="E197" s="23">
        <v>277.0</v>
      </c>
      <c r="F197" s="24" t="s">
        <v>97</v>
      </c>
      <c r="G197" s="21" t="s">
        <v>71</v>
      </c>
      <c r="H197" s="24" t="s">
        <v>105</v>
      </c>
      <c r="I197" s="24" t="s">
        <v>95</v>
      </c>
      <c r="J197" s="24" t="s">
        <v>99</v>
      </c>
      <c r="K197" s="24" t="s">
        <v>101</v>
      </c>
      <c r="L197" s="21" t="s">
        <v>76</v>
      </c>
      <c r="M197" s="24" t="s">
        <v>85</v>
      </c>
      <c r="N197" s="21" t="s">
        <v>86</v>
      </c>
      <c r="O197" s="21" t="s">
        <v>91</v>
      </c>
      <c r="P197" s="21" t="s">
        <v>80</v>
      </c>
      <c r="Q197" s="24" t="s">
        <v>103</v>
      </c>
      <c r="R197" s="24" t="s">
        <v>100</v>
      </c>
      <c r="S197" s="25">
        <v>382.768334388732</v>
      </c>
      <c r="T197" s="25">
        <v>422.246879577636</v>
      </c>
      <c r="U197" s="25">
        <v>2.33166577673542</v>
      </c>
      <c r="V197" s="25">
        <v>9.25058043683435</v>
      </c>
      <c r="W197" s="25">
        <v>3.04147668687996</v>
      </c>
      <c r="X197" s="25">
        <v>0.657311218160858</v>
      </c>
      <c r="Y197" s="25">
        <v>0.0906870438331597</v>
      </c>
      <c r="Z197" s="25">
        <v>0.0135356832874162</v>
      </c>
      <c r="AA197" s="25">
        <v>0.116342955469664</v>
      </c>
      <c r="AB197" s="25">
        <v>0.695856615151713</v>
      </c>
      <c r="AC197" s="25">
        <v>0.0898944260094162</v>
      </c>
      <c r="AD197" s="25">
        <v>0.115747738156157</v>
      </c>
      <c r="AE197" s="25">
        <v>0.700634489653733</v>
      </c>
      <c r="AF197" s="25">
        <v>0.100363017745748</v>
      </c>
      <c r="AG197" s="25">
        <v>0.132537818609527</v>
      </c>
      <c r="AH197" s="25">
        <v>0.61099276492838</v>
      </c>
      <c r="AI197" s="25">
        <v>10.0</v>
      </c>
      <c r="AJ197" s="25">
        <v>2.33166577673539</v>
      </c>
      <c r="AK197" s="25">
        <v>9.25058043683435</v>
      </c>
      <c r="AL197" s="25">
        <v>3.04147668687996</v>
      </c>
      <c r="AM197" s="25">
        <v>0.657233158572224</v>
      </c>
      <c r="AN197" s="25">
        <v>2.20241343723071</v>
      </c>
      <c r="AO197" s="25">
        <v>8.04187271768182</v>
      </c>
      <c r="AP197" s="25">
        <v>2.83581958482584</v>
      </c>
      <c r="AQ197" s="25">
        <v>0.700634489653733</v>
      </c>
      <c r="AR197" s="25">
        <v>2.45889393477088</v>
      </c>
      <c r="AS197" s="25">
        <v>10.5441555854036</v>
      </c>
      <c r="AT197" s="25">
        <v>3.24717655593342</v>
      </c>
      <c r="AU197" s="25">
        <v>0.61099276492838</v>
      </c>
      <c r="AV197" s="26">
        <f t="shared" ref="AV197:AW197" si="397">(AC197-AC$289)/AC$290</f>
        <v>0.6670595562</v>
      </c>
      <c r="AW197" s="27">
        <f t="shared" si="397"/>
        <v>0.696843791</v>
      </c>
      <c r="AX197" s="27">
        <f t="shared" si="5"/>
        <v>0.273133807</v>
      </c>
      <c r="AY197" s="28">
        <f t="shared" si="6"/>
        <v>0.3132027704</v>
      </c>
      <c r="AZ197" s="29">
        <f t="shared" si="7"/>
        <v>0.3424250369</v>
      </c>
      <c r="BA197" s="28">
        <f t="shared" si="8"/>
        <v>0.3617972839</v>
      </c>
      <c r="BB197" s="29">
        <f t="shared" si="9"/>
        <v>0.1988528059</v>
      </c>
      <c r="BC197" s="27">
        <f t="shared" si="10"/>
        <v>0.2888368665</v>
      </c>
      <c r="BD197" s="28">
        <f t="shared" si="11"/>
        <v>0.2288643551</v>
      </c>
      <c r="BE197" s="30">
        <f t="shared" ref="BE197:BF197" si="398">((S197-S$289)/S$290)</f>
        <v>-0.7371689755</v>
      </c>
      <c r="BF197" s="30">
        <f t="shared" si="398"/>
        <v>-0.3775145181</v>
      </c>
    </row>
    <row r="198">
      <c r="A198" s="21" t="s">
        <v>88</v>
      </c>
      <c r="B198" s="22">
        <f t="shared" si="3"/>
        <v>-0.1255076018</v>
      </c>
      <c r="C198" s="21" t="s">
        <v>68</v>
      </c>
      <c r="D198" s="21" t="s">
        <v>69</v>
      </c>
      <c r="E198" s="23">
        <v>74.0</v>
      </c>
      <c r="F198" s="24" t="s">
        <v>70</v>
      </c>
      <c r="G198" s="21" t="s">
        <v>71</v>
      </c>
      <c r="H198" s="24" t="s">
        <v>72</v>
      </c>
      <c r="I198" s="24" t="s">
        <v>95</v>
      </c>
      <c r="J198" s="24" t="s">
        <v>90</v>
      </c>
      <c r="K198" s="24" t="s">
        <v>101</v>
      </c>
      <c r="L198" s="21" t="s">
        <v>76</v>
      </c>
      <c r="M198" s="24" t="s">
        <v>85</v>
      </c>
      <c r="N198" s="21" t="s">
        <v>86</v>
      </c>
      <c r="O198" s="21" t="s">
        <v>91</v>
      </c>
      <c r="P198" s="21" t="s">
        <v>80</v>
      </c>
      <c r="Q198" s="24" t="s">
        <v>89</v>
      </c>
      <c r="R198" s="24" t="s">
        <v>81</v>
      </c>
      <c r="S198" s="25">
        <v>496.41025352478</v>
      </c>
      <c r="T198" s="25">
        <v>181.133113145828</v>
      </c>
      <c r="U198" s="25">
        <v>2.22579267842789</v>
      </c>
      <c r="V198" s="25">
        <v>8.41702169529934</v>
      </c>
      <c r="W198" s="25">
        <v>2.90121038452907</v>
      </c>
      <c r="X198" s="25">
        <v>0.679025366650365</v>
      </c>
      <c r="Y198" s="25">
        <v>0.0879775463450017</v>
      </c>
      <c r="Z198" s="25">
        <v>0.0127449805718735</v>
      </c>
      <c r="AA198" s="25">
        <v>0.112893669317076</v>
      </c>
      <c r="AB198" s="25">
        <v>0.732049656081997</v>
      </c>
      <c r="AC198" s="25">
        <v>0.0876178743293829</v>
      </c>
      <c r="AD198" s="25">
        <v>0.112446539353762</v>
      </c>
      <c r="AE198" s="25">
        <v>0.735781552039192</v>
      </c>
      <c r="AF198" s="25">
        <v>0.100246091570505</v>
      </c>
      <c r="AG198" s="25">
        <v>0.132342181742527</v>
      </c>
      <c r="AH198" s="25">
        <v>0.638715253438739</v>
      </c>
      <c r="AI198" s="25">
        <v>10.0</v>
      </c>
      <c r="AJ198" s="25">
        <v>2.22579267842789</v>
      </c>
      <c r="AK198" s="25">
        <v>8.41702169529935</v>
      </c>
      <c r="AL198" s="25">
        <v>2.90121038452907</v>
      </c>
      <c r="AM198" s="25">
        <v>0.678892318869101</v>
      </c>
      <c r="AN198" s="25">
        <v>2.04320015276438</v>
      </c>
      <c r="AO198" s="25">
        <v>6.87588473545848</v>
      </c>
      <c r="AP198" s="25">
        <v>2.62219082743008</v>
      </c>
      <c r="AQ198" s="25">
        <v>0.735781552039192</v>
      </c>
      <c r="AR198" s="25">
        <v>2.33768316315109</v>
      </c>
      <c r="AS198" s="25">
        <v>9.52429808879565</v>
      </c>
      <c r="AT198" s="25">
        <v>3.08614615480143</v>
      </c>
      <c r="AU198" s="25">
        <v>0.638715253438739</v>
      </c>
      <c r="AV198" s="26">
        <f t="shared" ref="AV198:AW198" si="399">(AC198-AC$289)/AC$290</f>
        <v>0.620334107</v>
      </c>
      <c r="AW198" s="27">
        <f t="shared" si="399"/>
        <v>0.6434985678</v>
      </c>
      <c r="AX198" s="27">
        <f t="shared" si="5"/>
        <v>0.2217966735</v>
      </c>
      <c r="AY198" s="28">
        <f t="shared" si="6"/>
        <v>0.259608126</v>
      </c>
      <c r="AZ198" s="29">
        <f t="shared" si="7"/>
        <v>0.2880812277</v>
      </c>
      <c r="BA198" s="28">
        <f t="shared" si="8"/>
        <v>0.3061790314</v>
      </c>
      <c r="BB198" s="29">
        <f t="shared" si="9"/>
        <v>0.1604282903</v>
      </c>
      <c r="BC198" s="27">
        <f t="shared" si="10"/>
        <v>0.2472364069</v>
      </c>
      <c r="BD198" s="28">
        <f t="shared" si="11"/>
        <v>0.2005360422</v>
      </c>
      <c r="BE198" s="30">
        <f t="shared" ref="BE198:BF198" si="400">((S198-S$289)/S$290)</f>
        <v>-0.7074378812</v>
      </c>
      <c r="BF198" s="30">
        <f t="shared" si="400"/>
        <v>-0.8596769718</v>
      </c>
    </row>
    <row r="199">
      <c r="A199" s="21" t="s">
        <v>88</v>
      </c>
      <c r="B199" s="22">
        <f t="shared" si="3"/>
        <v>0.04413932577</v>
      </c>
      <c r="C199" s="21" t="s">
        <v>68</v>
      </c>
      <c r="D199" s="21" t="s">
        <v>69</v>
      </c>
      <c r="E199" s="23">
        <v>146.0</v>
      </c>
      <c r="F199" s="24" t="s">
        <v>97</v>
      </c>
      <c r="G199" s="21" t="s">
        <v>82</v>
      </c>
      <c r="H199" s="24" t="s">
        <v>98</v>
      </c>
      <c r="I199" s="24" t="s">
        <v>73</v>
      </c>
      <c r="J199" s="24" t="s">
        <v>74</v>
      </c>
      <c r="K199" s="24" t="s">
        <v>75</v>
      </c>
      <c r="L199" s="21" t="s">
        <v>92</v>
      </c>
      <c r="M199" s="24" t="s">
        <v>85</v>
      </c>
      <c r="N199" s="21" t="s">
        <v>104</v>
      </c>
      <c r="O199" s="21" t="s">
        <v>91</v>
      </c>
      <c r="P199" s="21" t="s">
        <v>80</v>
      </c>
      <c r="Q199" s="24" t="s">
        <v>81</v>
      </c>
      <c r="R199" s="24" t="s">
        <v>96</v>
      </c>
      <c r="S199" s="25">
        <v>585.330676078796</v>
      </c>
      <c r="T199" s="25">
        <v>447.571766376495</v>
      </c>
      <c r="U199" s="25">
        <v>1.88427531169092</v>
      </c>
      <c r="V199" s="25">
        <v>5.72212228717281</v>
      </c>
      <c r="W199" s="25">
        <v>2.39209579389555</v>
      </c>
      <c r="X199" s="25">
        <v>0.788021489148701</v>
      </c>
      <c r="Y199" s="25">
        <v>0.0604492674298406</v>
      </c>
      <c r="Z199" s="25">
        <v>0.00582003622776886</v>
      </c>
      <c r="AA199" s="25">
        <v>0.0762891619286046</v>
      </c>
      <c r="AB199" s="25">
        <v>0.869607427423621</v>
      </c>
      <c r="AC199" s="25">
        <v>0.0602437224446915</v>
      </c>
      <c r="AD199" s="25">
        <v>0.0760912428648142</v>
      </c>
      <c r="AE199" s="25">
        <v>0.87089256093542</v>
      </c>
      <c r="AF199" s="25">
        <v>0.0785205046195274</v>
      </c>
      <c r="AG199" s="25">
        <v>0.0993852066743152</v>
      </c>
      <c r="AH199" s="25">
        <v>0.780811933373471</v>
      </c>
      <c r="AI199" s="25">
        <v>10.0</v>
      </c>
      <c r="AJ199" s="25">
        <v>1.88427531169086</v>
      </c>
      <c r="AK199" s="25">
        <v>5.72212228717281</v>
      </c>
      <c r="AL199" s="25">
        <v>2.39209579389555</v>
      </c>
      <c r="AM199" s="25">
        <v>0.787995457595427</v>
      </c>
      <c r="AN199" s="25">
        <v>1.47597119989493</v>
      </c>
      <c r="AO199" s="25">
        <v>3.47537381373748</v>
      </c>
      <c r="AP199" s="25">
        <v>1.86423545018795</v>
      </c>
      <c r="AQ199" s="25">
        <v>0.87089256093542</v>
      </c>
      <c r="AR199" s="25">
        <v>1.92375236317844</v>
      </c>
      <c r="AS199" s="25">
        <v>5.92892093824424</v>
      </c>
      <c r="AT199" s="25">
        <v>2.43493756352072</v>
      </c>
      <c r="AU199" s="25">
        <v>0.780811933373471</v>
      </c>
      <c r="AV199" s="26">
        <f t="shared" ref="AV199:AW199" si="401">(AC199-AC$289)/AC$290</f>
        <v>0.05848894685</v>
      </c>
      <c r="AW199" s="27">
        <f t="shared" si="401"/>
        <v>0.05602064843</v>
      </c>
      <c r="AX199" s="27">
        <f t="shared" si="5"/>
        <v>0.04648205055</v>
      </c>
      <c r="AY199" s="28">
        <f t="shared" si="6"/>
        <v>0.04287083555</v>
      </c>
      <c r="AZ199" s="29">
        <f t="shared" si="7"/>
        <v>0.1127831122</v>
      </c>
      <c r="BA199" s="28">
        <f t="shared" si="8"/>
        <v>0.104305428</v>
      </c>
      <c r="BB199" s="29">
        <f t="shared" si="9"/>
        <v>0.01271821967</v>
      </c>
      <c r="BC199" s="27">
        <f t="shared" si="10"/>
        <v>0.03400565035</v>
      </c>
      <c r="BD199" s="28">
        <f t="shared" si="11"/>
        <v>0.05783855049</v>
      </c>
      <c r="BE199" s="30">
        <f t="shared" ref="BE199:BF199" si="402">((S199-S$289)/S$290)</f>
        <v>-0.6841744456</v>
      </c>
      <c r="BF199" s="30">
        <f t="shared" si="402"/>
        <v>-0.32687158</v>
      </c>
    </row>
    <row r="200">
      <c r="A200" s="21" t="s">
        <v>67</v>
      </c>
      <c r="B200" s="22">
        <f t="shared" si="3"/>
        <v>-0.1344315316</v>
      </c>
      <c r="C200" s="21" t="s">
        <v>68</v>
      </c>
      <c r="D200" s="21" t="s">
        <v>69</v>
      </c>
      <c r="E200" s="23">
        <v>275.0</v>
      </c>
      <c r="F200" s="24" t="s">
        <v>97</v>
      </c>
      <c r="G200" s="21" t="s">
        <v>71</v>
      </c>
      <c r="H200" s="24" t="s">
        <v>105</v>
      </c>
      <c r="I200" s="24" t="s">
        <v>73</v>
      </c>
      <c r="J200" s="24" t="s">
        <v>99</v>
      </c>
      <c r="K200" s="24" t="s">
        <v>101</v>
      </c>
      <c r="L200" s="21" t="s">
        <v>84</v>
      </c>
      <c r="M200" s="24" t="s">
        <v>85</v>
      </c>
      <c r="N200" s="21" t="s">
        <v>78</v>
      </c>
      <c r="O200" s="21" t="s">
        <v>79</v>
      </c>
      <c r="P200" s="21" t="s">
        <v>80</v>
      </c>
      <c r="Q200" s="24" t="s">
        <v>81</v>
      </c>
      <c r="R200" s="24" t="s">
        <v>103</v>
      </c>
      <c r="S200" s="25">
        <v>449.323335647583</v>
      </c>
      <c r="T200" s="25">
        <v>468.515053510665</v>
      </c>
      <c r="U200" s="25">
        <v>2.21373015553394</v>
      </c>
      <c r="V200" s="25">
        <v>7.95393923767761</v>
      </c>
      <c r="W200" s="25">
        <v>2.82027290127704</v>
      </c>
      <c r="X200" s="25">
        <v>0.705091713095734</v>
      </c>
      <c r="Y200" s="25">
        <v>0.0807909531511163</v>
      </c>
      <c r="Z200" s="25">
        <v>0.0104120349880084</v>
      </c>
      <c r="AA200" s="25">
        <v>0.102039379594392</v>
      </c>
      <c r="AB200" s="25">
        <v>0.765814564248665</v>
      </c>
      <c r="AC200" s="25">
        <v>0.0807007841066029</v>
      </c>
      <c r="AD200" s="25">
        <v>0.101793147754717</v>
      </c>
      <c r="AE200" s="25">
        <v>0.768209647987481</v>
      </c>
      <c r="AF200" s="25">
        <v>0.0964004752395741</v>
      </c>
      <c r="AG200" s="25">
        <v>0.123628734560708</v>
      </c>
      <c r="AH200" s="25">
        <v>0.660929934375342</v>
      </c>
      <c r="AI200" s="25">
        <v>10.0</v>
      </c>
      <c r="AJ200" s="25">
        <v>2.21373015553386</v>
      </c>
      <c r="AK200" s="25">
        <v>7.95393923767762</v>
      </c>
      <c r="AL200" s="25">
        <v>2.82027290127704</v>
      </c>
      <c r="AM200" s="25">
        <v>0.705023140281218</v>
      </c>
      <c r="AN200" s="25">
        <v>1.97716921061182</v>
      </c>
      <c r="AO200" s="25">
        <v>6.21969741912071</v>
      </c>
      <c r="AP200" s="25">
        <v>2.49393211999058</v>
      </c>
      <c r="AQ200" s="25">
        <v>0.768209647987481</v>
      </c>
      <c r="AR200" s="25">
        <v>2.36181164336949</v>
      </c>
      <c r="AS200" s="25">
        <v>9.17425942145152</v>
      </c>
      <c r="AT200" s="25">
        <v>3.02890399673735</v>
      </c>
      <c r="AU200" s="25">
        <v>0.660929934375342</v>
      </c>
      <c r="AV200" s="26">
        <f t="shared" ref="AV200:AW200" si="403">(AC200-AC$289)/AC$290</f>
        <v>0.478363182</v>
      </c>
      <c r="AW200" s="27">
        <f t="shared" si="403"/>
        <v>0.4713466963</v>
      </c>
      <c r="AX200" s="27">
        <f t="shared" si="5"/>
        <v>0.2320159552</v>
      </c>
      <c r="AY200" s="28">
        <f t="shared" si="6"/>
        <v>0.240556611</v>
      </c>
      <c r="AZ200" s="29">
        <f t="shared" si="7"/>
        <v>0.2818896318</v>
      </c>
      <c r="BA200" s="28">
        <f t="shared" si="8"/>
        <v>0.2740857822</v>
      </c>
      <c r="BB200" s="29">
        <f t="shared" si="9"/>
        <v>0.124976284</v>
      </c>
      <c r="BC200" s="27">
        <f t="shared" si="10"/>
        <v>0.2139009818</v>
      </c>
      <c r="BD200" s="28">
        <f t="shared" si="11"/>
        <v>0.1663591824</v>
      </c>
      <c r="BE200" s="30">
        <f t="shared" ref="BE200:BF200" si="404">((S200-S$289)/S$290)</f>
        <v>-0.7197568002</v>
      </c>
      <c r="BF200" s="30">
        <f t="shared" si="404"/>
        <v>-0.2849906585</v>
      </c>
    </row>
    <row r="201">
      <c r="A201" s="21" t="s">
        <v>88</v>
      </c>
      <c r="B201" s="22">
        <f t="shared" si="3"/>
        <v>0.01674050792</v>
      </c>
      <c r="C201" s="21" t="s">
        <v>68</v>
      </c>
      <c r="D201" s="21" t="s">
        <v>69</v>
      </c>
      <c r="E201" s="23">
        <v>236.0</v>
      </c>
      <c r="F201" s="24" t="s">
        <v>97</v>
      </c>
      <c r="G201" s="21" t="s">
        <v>71</v>
      </c>
      <c r="H201" s="24" t="s">
        <v>105</v>
      </c>
      <c r="I201" s="24" t="s">
        <v>73</v>
      </c>
      <c r="J201" s="24" t="s">
        <v>90</v>
      </c>
      <c r="K201" s="24" t="s">
        <v>75</v>
      </c>
      <c r="L201" s="21" t="s">
        <v>92</v>
      </c>
      <c r="M201" s="24" t="s">
        <v>85</v>
      </c>
      <c r="N201" s="21" t="s">
        <v>104</v>
      </c>
      <c r="O201" s="21" t="s">
        <v>91</v>
      </c>
      <c r="P201" s="21" t="s">
        <v>80</v>
      </c>
      <c r="Q201" s="24" t="s">
        <v>96</v>
      </c>
      <c r="R201" s="24" t="s">
        <v>96</v>
      </c>
      <c r="S201" s="25">
        <v>573.667524337768</v>
      </c>
      <c r="T201" s="25">
        <v>463.06056189537</v>
      </c>
      <c r="U201" s="25">
        <v>1.92974158991962</v>
      </c>
      <c r="V201" s="25">
        <v>5.87710437342631</v>
      </c>
      <c r="W201" s="25">
        <v>2.42427398893489</v>
      </c>
      <c r="X201" s="25">
        <v>0.782109382815361</v>
      </c>
      <c r="Y201" s="25">
        <v>0.0662268268149143</v>
      </c>
      <c r="Z201" s="25">
        <v>0.00691457136477319</v>
      </c>
      <c r="AA201" s="25">
        <v>0.0831539016809986</v>
      </c>
      <c r="AB201" s="25">
        <v>0.84447882570909</v>
      </c>
      <c r="AC201" s="25">
        <v>0.065801660635883</v>
      </c>
      <c r="AD201" s="25">
        <v>0.0827718430149756</v>
      </c>
      <c r="AE201" s="25">
        <v>0.846741871725347</v>
      </c>
      <c r="AF201" s="25">
        <v>0.078361696505661</v>
      </c>
      <c r="AG201" s="25">
        <v>0.0982240574713905</v>
      </c>
      <c r="AH201" s="25">
        <v>0.785964238189158</v>
      </c>
      <c r="AI201" s="25">
        <v>10.0</v>
      </c>
      <c r="AJ201" s="25">
        <v>1.92974158991957</v>
      </c>
      <c r="AK201" s="25">
        <v>5.87710437342631</v>
      </c>
      <c r="AL201" s="25">
        <v>2.42427398893489</v>
      </c>
      <c r="AM201" s="25">
        <v>0.782043872789379</v>
      </c>
      <c r="AN201" s="25">
        <v>1.61214068557912</v>
      </c>
      <c r="AO201" s="25">
        <v>4.11241959215649</v>
      </c>
      <c r="AP201" s="25">
        <v>2.0279101538669</v>
      </c>
      <c r="AQ201" s="25">
        <v>0.846741871725347</v>
      </c>
      <c r="AR201" s="25">
        <v>1.9198615643887</v>
      </c>
      <c r="AS201" s="25">
        <v>5.79119127105235</v>
      </c>
      <c r="AT201" s="25">
        <v>2.40648940804906</v>
      </c>
      <c r="AU201" s="25">
        <v>0.785964238189158</v>
      </c>
      <c r="AV201" s="26">
        <f t="shared" ref="AV201:AW201" si="405">(AC201-AC$289)/AC$290</f>
        <v>0.1725637385</v>
      </c>
      <c r="AW201" s="27">
        <f t="shared" si="405"/>
        <v>0.163974797</v>
      </c>
      <c r="AX201" s="27">
        <f t="shared" si="5"/>
        <v>0.04483415693</v>
      </c>
      <c r="AY201" s="28">
        <f t="shared" si="6"/>
        <v>0.03340263101</v>
      </c>
      <c r="AZ201" s="29">
        <f t="shared" si="7"/>
        <v>0.1361205869</v>
      </c>
      <c r="BA201" s="28">
        <f t="shared" si="8"/>
        <v>0.1170646934</v>
      </c>
      <c r="BB201" s="29">
        <f t="shared" si="9"/>
        <v>0.03912095354</v>
      </c>
      <c r="BC201" s="27">
        <f t="shared" si="10"/>
        <v>0.02627408439</v>
      </c>
      <c r="BD201" s="28">
        <f t="shared" si="11"/>
        <v>0.0656227099</v>
      </c>
      <c r="BE201" s="30">
        <f t="shared" ref="BE201:BF201" si="406">((S201-S$289)/S$290)</f>
        <v>-0.6872257692</v>
      </c>
      <c r="BF201" s="30">
        <f t="shared" si="406"/>
        <v>-0.2958981695</v>
      </c>
    </row>
    <row r="202">
      <c r="A202" s="21" t="s">
        <v>67</v>
      </c>
      <c r="B202" s="22">
        <f t="shared" si="3"/>
        <v>-0.1293811952</v>
      </c>
      <c r="C202" s="21" t="s">
        <v>68</v>
      </c>
      <c r="D202" s="21" t="s">
        <v>69</v>
      </c>
      <c r="E202" s="23">
        <v>123.0</v>
      </c>
      <c r="F202" s="24" t="s">
        <v>70</v>
      </c>
      <c r="G202" s="21" t="s">
        <v>71</v>
      </c>
      <c r="H202" s="24" t="s">
        <v>72</v>
      </c>
      <c r="I202" s="24" t="s">
        <v>95</v>
      </c>
      <c r="J202" s="24" t="s">
        <v>90</v>
      </c>
      <c r="K202" s="24" t="s">
        <v>101</v>
      </c>
      <c r="L202" s="21" t="s">
        <v>84</v>
      </c>
      <c r="M202" s="24" t="s">
        <v>85</v>
      </c>
      <c r="N202" s="21" t="s">
        <v>78</v>
      </c>
      <c r="O202" s="21" t="s">
        <v>79</v>
      </c>
      <c r="P202" s="21" t="s">
        <v>80</v>
      </c>
      <c r="Q202" s="24" t="s">
        <v>87</v>
      </c>
      <c r="R202" s="24" t="s">
        <v>103</v>
      </c>
      <c r="S202" s="25">
        <v>510.099228143692</v>
      </c>
      <c r="T202" s="25">
        <v>230.745902061462</v>
      </c>
      <c r="U202" s="25">
        <v>2.19364428182265</v>
      </c>
      <c r="V202" s="25">
        <v>8.1805152382025</v>
      </c>
      <c r="W202" s="25">
        <v>2.86016000220311</v>
      </c>
      <c r="X202" s="25">
        <v>0.68802219915652</v>
      </c>
      <c r="Y202" s="25">
        <v>0.0877245786677146</v>
      </c>
      <c r="Z202" s="25">
        <v>0.0126053127853277</v>
      </c>
      <c r="AA202" s="25">
        <v>0.112273384135901</v>
      </c>
      <c r="AB202" s="25">
        <v>0.734986030227736</v>
      </c>
      <c r="AC202" s="25">
        <v>0.0874210443231161</v>
      </c>
      <c r="AD202" s="25">
        <v>0.111859929254583</v>
      </c>
      <c r="AE202" s="25">
        <v>0.738531106223019</v>
      </c>
      <c r="AF202" s="25">
        <v>0.0999863080083145</v>
      </c>
      <c r="AG202" s="25">
        <v>0.132560619629939</v>
      </c>
      <c r="AH202" s="25">
        <v>0.637521629377491</v>
      </c>
      <c r="AI202" s="25">
        <v>10.0</v>
      </c>
      <c r="AJ202" s="25">
        <v>2.19364428182266</v>
      </c>
      <c r="AK202" s="25">
        <v>8.18051523820249</v>
      </c>
      <c r="AL202" s="25">
        <v>2.86016000220311</v>
      </c>
      <c r="AM202" s="25">
        <v>0.687914992536827</v>
      </c>
      <c r="AN202" s="25">
        <v>2.03861018636824</v>
      </c>
      <c r="AO202" s="25">
        <v>6.80433175424993</v>
      </c>
      <c r="AP202" s="25">
        <v>2.60851140581173</v>
      </c>
      <c r="AQ202" s="25">
        <v>0.738531106223019</v>
      </c>
      <c r="AR202" s="25">
        <v>2.331625154805</v>
      </c>
      <c r="AS202" s="25">
        <v>9.55576476839808</v>
      </c>
      <c r="AT202" s="25">
        <v>3.09124000498151</v>
      </c>
      <c r="AU202" s="25">
        <v>0.637521629377491</v>
      </c>
      <c r="AV202" s="26">
        <f t="shared" ref="AV202:AW202" si="407">(AC202-AC$289)/AC$290</f>
        <v>0.6162942381</v>
      </c>
      <c r="AW202" s="27">
        <f t="shared" si="407"/>
        <v>0.6340193306</v>
      </c>
      <c r="AX202" s="27">
        <f t="shared" si="5"/>
        <v>0.2192308885</v>
      </c>
      <c r="AY202" s="28">
        <f t="shared" si="6"/>
        <v>0.2613034773</v>
      </c>
      <c r="AZ202" s="29">
        <f t="shared" si="7"/>
        <v>0.2715797145</v>
      </c>
      <c r="BA202" s="28">
        <f t="shared" si="8"/>
        <v>0.2899017752</v>
      </c>
      <c r="BB202" s="29">
        <f t="shared" si="9"/>
        <v>0.157422341</v>
      </c>
      <c r="BC202" s="27">
        <f t="shared" si="10"/>
        <v>0.2490275632</v>
      </c>
      <c r="BD202" s="28">
        <f t="shared" si="11"/>
        <v>0.1887351635</v>
      </c>
      <c r="BE202" s="30">
        <f t="shared" ref="BE202:BF202" si="408">((S202-S$289)/S$290)</f>
        <v>-0.7038565602</v>
      </c>
      <c r="BF202" s="30">
        <f t="shared" si="408"/>
        <v>-0.760464785</v>
      </c>
    </row>
    <row r="203">
      <c r="A203" s="21" t="s">
        <v>67</v>
      </c>
      <c r="B203" s="22">
        <f t="shared" si="3"/>
        <v>0.02649325803</v>
      </c>
      <c r="C203" s="21" t="s">
        <v>68</v>
      </c>
      <c r="D203" s="21" t="s">
        <v>69</v>
      </c>
      <c r="E203" s="23">
        <v>56.0</v>
      </c>
      <c r="F203" s="24" t="s">
        <v>70</v>
      </c>
      <c r="G203" s="21" t="s">
        <v>82</v>
      </c>
      <c r="H203" s="24" t="s">
        <v>83</v>
      </c>
      <c r="I203" s="24" t="s">
        <v>95</v>
      </c>
      <c r="J203" s="24" t="s">
        <v>90</v>
      </c>
      <c r="K203" s="24" t="s">
        <v>101</v>
      </c>
      <c r="L203" s="21" t="s">
        <v>84</v>
      </c>
      <c r="M203" s="24" t="s">
        <v>85</v>
      </c>
      <c r="N203" s="21" t="s">
        <v>86</v>
      </c>
      <c r="O203" s="21" t="s">
        <v>91</v>
      </c>
      <c r="P203" s="21" t="s">
        <v>80</v>
      </c>
      <c r="Q203" s="24" t="s">
        <v>81</v>
      </c>
      <c r="R203" s="24" t="s">
        <v>81</v>
      </c>
      <c r="S203" s="25">
        <v>641.399795770645</v>
      </c>
      <c r="T203" s="25">
        <v>216.956846714019</v>
      </c>
      <c r="U203" s="25">
        <v>1.88542789743161</v>
      </c>
      <c r="V203" s="25">
        <v>5.80145700157015</v>
      </c>
      <c r="W203" s="25">
        <v>2.40862139025006</v>
      </c>
      <c r="X203" s="25">
        <v>0.778743494695667</v>
      </c>
      <c r="Y203" s="25">
        <v>0.0720370571835604</v>
      </c>
      <c r="Z203" s="25">
        <v>0.00828532335542256</v>
      </c>
      <c r="AA203" s="25">
        <v>0.0910237516004617</v>
      </c>
      <c r="AB203" s="25">
        <v>0.826578932887916</v>
      </c>
      <c r="AC203" s="25">
        <v>0.0720744153615271</v>
      </c>
      <c r="AD203" s="25">
        <v>0.090957657654372</v>
      </c>
      <c r="AE203" s="25">
        <v>0.827701693798536</v>
      </c>
      <c r="AF203" s="25">
        <v>0.0848575990789336</v>
      </c>
      <c r="AG203" s="25">
        <v>0.108481737108547</v>
      </c>
      <c r="AH203" s="25">
        <v>0.756716254924577</v>
      </c>
      <c r="AI203" s="25">
        <v>10.0</v>
      </c>
      <c r="AJ203" s="25">
        <v>1.88542789743161</v>
      </c>
      <c r="AK203" s="25">
        <v>5.80145700157016</v>
      </c>
      <c r="AL203" s="25">
        <v>2.40862139025006</v>
      </c>
      <c r="AM203" s="25">
        <v>0.778703151406036</v>
      </c>
      <c r="AN203" s="25">
        <v>1.68073532488896</v>
      </c>
      <c r="AO203" s="25">
        <v>4.49898903936424</v>
      </c>
      <c r="AP203" s="25">
        <v>2.12108204446792</v>
      </c>
      <c r="AQ203" s="25">
        <v>0.827701693798536</v>
      </c>
      <c r="AR203" s="25">
        <v>1.97883206741015</v>
      </c>
      <c r="AS203" s="25">
        <v>6.39955331004261</v>
      </c>
      <c r="AT203" s="25">
        <v>2.5297338417396</v>
      </c>
      <c r="AU203" s="25">
        <v>0.756716254924577</v>
      </c>
      <c r="AV203" s="26">
        <f t="shared" ref="AV203:AW203" si="409">(AC203-AC$289)/AC$290</f>
        <v>0.3013098965</v>
      </c>
      <c r="AW203" s="27">
        <f t="shared" si="409"/>
        <v>0.2962522315</v>
      </c>
      <c r="AX203" s="27">
        <f t="shared" si="5"/>
        <v>0.06981029184</v>
      </c>
      <c r="AY203" s="28">
        <f t="shared" si="6"/>
        <v>0.07442123087</v>
      </c>
      <c r="AZ203" s="29">
        <f t="shared" si="7"/>
        <v>0.1133747252</v>
      </c>
      <c r="BA203" s="28">
        <f t="shared" si="8"/>
        <v>0.1108581408</v>
      </c>
      <c r="BB203" s="29">
        <f t="shared" si="9"/>
        <v>0.05993662245</v>
      </c>
      <c r="BC203" s="27">
        <f t="shared" si="10"/>
        <v>0.07016370659</v>
      </c>
      <c r="BD203" s="28">
        <f t="shared" si="11"/>
        <v>0.06999208522</v>
      </c>
      <c r="BE203" s="30">
        <f t="shared" ref="BE203:BF203" si="410">((S203-S$289)/S$290)</f>
        <v>-0.6695055954</v>
      </c>
      <c r="BF203" s="30">
        <f t="shared" si="410"/>
        <v>-0.7880391739</v>
      </c>
    </row>
    <row r="204">
      <c r="A204" s="21" t="s">
        <v>88</v>
      </c>
      <c r="B204" s="22">
        <f t="shared" si="3"/>
        <v>-0.3309918863</v>
      </c>
      <c r="C204" s="21" t="s">
        <v>68</v>
      </c>
      <c r="D204" s="21" t="s">
        <v>69</v>
      </c>
      <c r="E204" s="23">
        <v>246.0</v>
      </c>
      <c r="F204" s="24" t="s">
        <v>97</v>
      </c>
      <c r="G204" s="21" t="s">
        <v>71</v>
      </c>
      <c r="H204" s="24" t="s">
        <v>105</v>
      </c>
      <c r="I204" s="24" t="s">
        <v>73</v>
      </c>
      <c r="J204" s="24" t="s">
        <v>90</v>
      </c>
      <c r="K204" s="24" t="s">
        <v>75</v>
      </c>
      <c r="L204" s="21" t="s">
        <v>84</v>
      </c>
      <c r="M204" s="24" t="s">
        <v>85</v>
      </c>
      <c r="N204" s="21" t="s">
        <v>78</v>
      </c>
      <c r="O204" s="21" t="s">
        <v>102</v>
      </c>
      <c r="P204" s="21" t="s">
        <v>80</v>
      </c>
      <c r="Q204" s="24" t="s">
        <v>87</v>
      </c>
      <c r="R204" s="24" t="s">
        <v>103</v>
      </c>
      <c r="S204" s="25">
        <v>292.05960035324</v>
      </c>
      <c r="T204" s="25">
        <v>558.359701395034</v>
      </c>
      <c r="U204" s="25">
        <v>2.7460202479947</v>
      </c>
      <c r="V204" s="25">
        <v>10.8824710341247</v>
      </c>
      <c r="W204" s="25">
        <v>3.29885905035737</v>
      </c>
      <c r="X204" s="25">
        <v>0.596482124664394</v>
      </c>
      <c r="Y204" s="25">
        <v>0.103304281977141</v>
      </c>
      <c r="Z204" s="25">
        <v>0.0155648983619761</v>
      </c>
      <c r="AA204" s="25">
        <v>0.124759361820971</v>
      </c>
      <c r="AB204" s="25">
        <v>0.649917378348935</v>
      </c>
      <c r="AC204" s="25">
        <v>0.102439926773391</v>
      </c>
      <c r="AD204" s="25">
        <v>0.124129092965208</v>
      </c>
      <c r="AE204" s="25">
        <v>0.655328455456075</v>
      </c>
      <c r="AF204" s="25">
        <v>0.116647331771396</v>
      </c>
      <c r="AG204" s="25">
        <v>0.140046284524475</v>
      </c>
      <c r="AH204" s="25">
        <v>0.56489528938394</v>
      </c>
      <c r="AI204" s="25">
        <v>10.0</v>
      </c>
      <c r="AJ204" s="25">
        <v>2.74602024799452</v>
      </c>
      <c r="AK204" s="25">
        <v>10.8824710341247</v>
      </c>
      <c r="AL204" s="25">
        <v>3.29885905035737</v>
      </c>
      <c r="AM204" s="25">
        <v>0.596416689177022</v>
      </c>
      <c r="AN204" s="25">
        <v>2.50977820594808</v>
      </c>
      <c r="AO204" s="25">
        <v>9.24867104014932</v>
      </c>
      <c r="AP204" s="25">
        <v>3.04116277764761</v>
      </c>
      <c r="AQ204" s="25">
        <v>0.655328455456075</v>
      </c>
      <c r="AR204" s="25">
        <v>2.8578596283991</v>
      </c>
      <c r="AS204" s="25">
        <v>11.7726803259185</v>
      </c>
      <c r="AT204" s="25">
        <v>3.43113397084966</v>
      </c>
      <c r="AU204" s="25">
        <v>0.56489528938394</v>
      </c>
      <c r="AV204" s="26">
        <f t="shared" ref="AV204:AW204" si="411">(AC204-AC$289)/AC$290</f>
        <v>0.9245516939</v>
      </c>
      <c r="AW204" s="27">
        <f t="shared" si="411"/>
        <v>0.8322810274</v>
      </c>
      <c r="AX204" s="27">
        <f t="shared" si="5"/>
        <v>0.4421101678</v>
      </c>
      <c r="AY204" s="28">
        <f t="shared" si="6"/>
        <v>0.3744280555</v>
      </c>
      <c r="AZ204" s="29">
        <f t="shared" si="7"/>
        <v>0.5551098519</v>
      </c>
      <c r="BA204" s="28">
        <f t="shared" si="8"/>
        <v>0.4638542787</v>
      </c>
      <c r="BB204" s="29">
        <f t="shared" si="9"/>
        <v>0.2483836145</v>
      </c>
      <c r="BC204" s="27">
        <f t="shared" si="10"/>
        <v>0.3580108936</v>
      </c>
      <c r="BD204" s="28">
        <f t="shared" si="11"/>
        <v>0.3084070496</v>
      </c>
      <c r="BE204" s="30">
        <f t="shared" ref="BE204:BF204" si="412">((S204-S$289)/S$290)</f>
        <v>-0.7609002707</v>
      </c>
      <c r="BF204" s="30">
        <f t="shared" si="412"/>
        <v>-0.1053256128</v>
      </c>
    </row>
    <row r="205">
      <c r="A205" s="21" t="s">
        <v>88</v>
      </c>
      <c r="B205" s="22">
        <f t="shared" si="3"/>
        <v>-0.00726397689</v>
      </c>
      <c r="C205" s="21" t="s">
        <v>68</v>
      </c>
      <c r="D205" s="21" t="s">
        <v>69</v>
      </c>
      <c r="E205" s="23">
        <v>232.0</v>
      </c>
      <c r="F205" s="24" t="s">
        <v>97</v>
      </c>
      <c r="G205" s="21" t="s">
        <v>71</v>
      </c>
      <c r="H205" s="24" t="s">
        <v>105</v>
      </c>
      <c r="I205" s="24" t="s">
        <v>73</v>
      </c>
      <c r="J205" s="24" t="s">
        <v>90</v>
      </c>
      <c r="K205" s="24" t="s">
        <v>101</v>
      </c>
      <c r="L205" s="21" t="s">
        <v>84</v>
      </c>
      <c r="M205" s="24" t="s">
        <v>77</v>
      </c>
      <c r="N205" s="21" t="s">
        <v>86</v>
      </c>
      <c r="O205" s="21" t="s">
        <v>91</v>
      </c>
      <c r="P205" s="21" t="s">
        <v>80</v>
      </c>
      <c r="Q205" s="24" t="s">
        <v>87</v>
      </c>
      <c r="S205" s="25">
        <v>572.805676698684</v>
      </c>
      <c r="T205" s="25">
        <v>421.49704837799</v>
      </c>
      <c r="U205" s="25">
        <v>2.06174102669749</v>
      </c>
      <c r="V205" s="25">
        <v>7.13353122760207</v>
      </c>
      <c r="W205" s="25">
        <v>2.67086713027849</v>
      </c>
      <c r="X205" s="25">
        <v>0.735550850350274</v>
      </c>
      <c r="Y205" s="25">
        <v>0.0599674088562102</v>
      </c>
      <c r="Z205" s="25">
        <v>0.00588814314579522</v>
      </c>
      <c r="AA205" s="25">
        <v>0.0767342371161349</v>
      </c>
      <c r="AB205" s="25">
        <v>0.867565046606894</v>
      </c>
      <c r="AC205" s="25">
        <v>0.0595400052730806</v>
      </c>
      <c r="AD205" s="25">
        <v>0.0763656128980032</v>
      </c>
      <c r="AE205" s="25">
        <v>0.869547036374549</v>
      </c>
      <c r="AF205" s="25">
        <v>0.0889670155291025</v>
      </c>
      <c r="AG205" s="25">
        <v>0.115755477214363</v>
      </c>
      <c r="AH205" s="25">
        <v>0.70274189698502</v>
      </c>
      <c r="AI205" s="25">
        <v>10.0</v>
      </c>
      <c r="AJ205" s="25">
        <v>2.06174102669746</v>
      </c>
      <c r="AK205" s="25">
        <v>7.13353122760207</v>
      </c>
      <c r="AL205" s="25">
        <v>2.67086713027849</v>
      </c>
      <c r="AM205" s="25">
        <v>0.735448489440772</v>
      </c>
      <c r="AN205" s="25">
        <v>1.45873012919044</v>
      </c>
      <c r="AO205" s="25">
        <v>3.50048202668092</v>
      </c>
      <c r="AP205" s="25">
        <v>1.87095751600107</v>
      </c>
      <c r="AQ205" s="25">
        <v>0.869547036374549</v>
      </c>
      <c r="AR205" s="25">
        <v>2.17969188046294</v>
      </c>
      <c r="AS205" s="25">
        <v>8.04294813570138</v>
      </c>
      <c r="AT205" s="25">
        <v>2.83600919175192</v>
      </c>
      <c r="AU205" s="25">
        <v>0.70274189698502</v>
      </c>
      <c r="AV205" s="26">
        <f t="shared" ref="AV205:AW205" si="413">(AC205-AC$289)/AC$290</f>
        <v>0.04404539117</v>
      </c>
      <c r="AW205" s="27">
        <f t="shared" si="413"/>
        <v>0.06045428952</v>
      </c>
      <c r="AX205" s="27">
        <f t="shared" si="5"/>
        <v>0.1548816671</v>
      </c>
      <c r="AY205" s="28">
        <f t="shared" si="6"/>
        <v>0.1763567557</v>
      </c>
      <c r="AZ205" s="29">
        <f t="shared" si="7"/>
        <v>0.2038748353</v>
      </c>
      <c r="BA205" s="28">
        <f t="shared" si="8"/>
        <v>0.2148435568</v>
      </c>
      <c r="BB205" s="29">
        <f t="shared" si="9"/>
        <v>0.014189214</v>
      </c>
      <c r="BC205" s="27">
        <f t="shared" si="10"/>
        <v>0.1511578099</v>
      </c>
      <c r="BD205" s="28">
        <f t="shared" si="11"/>
        <v>0.1265654509</v>
      </c>
      <c r="BE205" s="30">
        <f t="shared" ref="BE205:BF205" si="414">((S205-S$289)/S$290)</f>
        <v>-0.6874512465</v>
      </c>
      <c r="BF205" s="30">
        <f t="shared" si="414"/>
        <v>-0.3790139781</v>
      </c>
    </row>
    <row r="206">
      <c r="A206" s="21" t="s">
        <v>88</v>
      </c>
      <c r="B206" s="22">
        <f t="shared" si="3"/>
        <v>0.02868317503</v>
      </c>
      <c r="C206" s="21" t="s">
        <v>68</v>
      </c>
      <c r="D206" s="21" t="s">
        <v>69</v>
      </c>
      <c r="E206" s="23">
        <v>238.0</v>
      </c>
      <c r="F206" s="24" t="s">
        <v>97</v>
      </c>
      <c r="G206" s="21" t="s">
        <v>71</v>
      </c>
      <c r="H206" s="24" t="s">
        <v>105</v>
      </c>
      <c r="I206" s="24" t="s">
        <v>95</v>
      </c>
      <c r="J206" s="24" t="s">
        <v>90</v>
      </c>
      <c r="K206" s="24" t="s">
        <v>75</v>
      </c>
      <c r="L206" s="21" t="s">
        <v>84</v>
      </c>
      <c r="M206" s="24" t="s">
        <v>85</v>
      </c>
      <c r="N206" s="21" t="s">
        <v>104</v>
      </c>
      <c r="O206" s="21" t="s">
        <v>91</v>
      </c>
      <c r="P206" s="21" t="s">
        <v>80</v>
      </c>
      <c r="Q206" s="24" t="s">
        <v>87</v>
      </c>
      <c r="R206" s="24" t="s">
        <v>103</v>
      </c>
      <c r="S206" s="25">
        <v>590.059339523315</v>
      </c>
      <c r="T206" s="25">
        <v>543.590893745422</v>
      </c>
      <c r="U206" s="25">
        <v>1.80443784152859</v>
      </c>
      <c r="V206" s="25">
        <v>5.2661903000772</v>
      </c>
      <c r="W206" s="25">
        <v>2.29481814095958</v>
      </c>
      <c r="X206" s="25">
        <v>0.804928984605329</v>
      </c>
      <c r="Y206" s="25">
        <v>0.058966124742495</v>
      </c>
      <c r="Z206" s="25">
        <v>0.00552923077504147</v>
      </c>
      <c r="AA206" s="25">
        <v>0.0743587975631765</v>
      </c>
      <c r="AB206" s="25">
        <v>0.875759580966863</v>
      </c>
      <c r="AC206" s="25">
        <v>0.0587467554050174</v>
      </c>
      <c r="AD206" s="25">
        <v>0.0740948256924371</v>
      </c>
      <c r="AE206" s="25">
        <v>0.877326007678034</v>
      </c>
      <c r="AF206" s="25">
        <v>0.0840395603047216</v>
      </c>
      <c r="AG206" s="25">
        <v>0.105521286024019</v>
      </c>
      <c r="AH206" s="25">
        <v>0.753419804345066</v>
      </c>
      <c r="AI206" s="25">
        <v>10.0</v>
      </c>
      <c r="AJ206" s="25">
        <v>1.80443784152855</v>
      </c>
      <c r="AK206" s="25">
        <v>5.2661903000772</v>
      </c>
      <c r="AL206" s="25">
        <v>2.29481814095958</v>
      </c>
      <c r="AM206" s="25">
        <v>0.80486895629516</v>
      </c>
      <c r="AN206" s="25">
        <v>1.43929550742294</v>
      </c>
      <c r="AO206" s="25">
        <v>3.29539842743419</v>
      </c>
      <c r="AP206" s="25">
        <v>1.81532322946471</v>
      </c>
      <c r="AQ206" s="25">
        <v>0.877326007678034</v>
      </c>
      <c r="AR206" s="25">
        <v>2.05896922746575</v>
      </c>
      <c r="AS206" s="25">
        <v>6.68362876794878</v>
      </c>
      <c r="AT206" s="25">
        <v>2.58527150758847</v>
      </c>
      <c r="AU206" s="25">
        <v>0.753419804345066</v>
      </c>
      <c r="AV206" s="26">
        <f t="shared" ref="AV206:AW206" si="415">(AC206-AC$289)/AC$290</f>
        <v>0.02776420733</v>
      </c>
      <c r="AW206" s="27">
        <f t="shared" si="415"/>
        <v>0.02375984685</v>
      </c>
      <c r="AX206" s="27">
        <f t="shared" si="5"/>
        <v>0.1037512694</v>
      </c>
      <c r="AY206" s="28">
        <f t="shared" si="6"/>
        <v>0.0929054514</v>
      </c>
      <c r="AZ206" s="29">
        <f t="shared" si="7"/>
        <v>0.07180318139</v>
      </c>
      <c r="BA206" s="28">
        <f t="shared" si="8"/>
        <v>0.06573299135</v>
      </c>
      <c r="BB206" s="29">
        <f t="shared" si="9"/>
        <v>0.005684855919</v>
      </c>
      <c r="BC206" s="27">
        <f t="shared" si="10"/>
        <v>0.07511037143</v>
      </c>
      <c r="BD206" s="28">
        <f t="shared" si="11"/>
        <v>0.03576947009</v>
      </c>
      <c r="BE206" s="30">
        <f t="shared" ref="BE206:BF206" si="416">((S206-S$289)/S$290)</f>
        <v>-0.6829373287</v>
      </c>
      <c r="BF206" s="30">
        <f t="shared" si="416"/>
        <v>-0.1348592418</v>
      </c>
    </row>
    <row r="207">
      <c r="A207" s="21" t="s">
        <v>88</v>
      </c>
      <c r="B207" s="22">
        <f t="shared" si="3"/>
        <v>-0.6877673322</v>
      </c>
      <c r="C207" s="21" t="s">
        <v>68</v>
      </c>
      <c r="D207" s="21" t="s">
        <v>69</v>
      </c>
      <c r="E207" s="23">
        <v>73.0</v>
      </c>
      <c r="F207" s="24" t="s">
        <v>70</v>
      </c>
      <c r="G207" s="21" t="s">
        <v>71</v>
      </c>
      <c r="H207" s="24" t="s">
        <v>72</v>
      </c>
      <c r="I207" s="24" t="s">
        <v>95</v>
      </c>
      <c r="J207" s="24" t="s">
        <v>74</v>
      </c>
      <c r="K207" s="24" t="s">
        <v>75</v>
      </c>
      <c r="L207" s="21" t="s">
        <v>76</v>
      </c>
      <c r="M207" s="24" t="s">
        <v>85</v>
      </c>
      <c r="N207" s="21" t="s">
        <v>78</v>
      </c>
      <c r="O207" s="21" t="s">
        <v>91</v>
      </c>
      <c r="P207" s="21" t="s">
        <v>80</v>
      </c>
      <c r="Q207" s="24" t="s">
        <v>103</v>
      </c>
      <c r="R207" s="24" t="s">
        <v>103</v>
      </c>
      <c r="S207" s="25">
        <v>121.190594673156</v>
      </c>
      <c r="T207" s="25">
        <v>185.139109134674</v>
      </c>
      <c r="U207" s="25">
        <v>3.8663642347709</v>
      </c>
      <c r="V207" s="25">
        <v>22.3462728798966</v>
      </c>
      <c r="W207" s="25">
        <v>4.72718445587821</v>
      </c>
      <c r="X207" s="25">
        <v>0.147307856320417</v>
      </c>
      <c r="Y207" s="25">
        <v>0.153944616622412</v>
      </c>
      <c r="Z207" s="25">
        <v>0.0347168500577132</v>
      </c>
      <c r="AA207" s="25">
        <v>0.186324582537338</v>
      </c>
      <c r="AB207" s="25">
        <v>0.270113292032539</v>
      </c>
      <c r="AC207" s="25">
        <v>0.155249556613016</v>
      </c>
      <c r="AD207" s="25">
        <v>0.187522803831435</v>
      </c>
      <c r="AE207" s="25">
        <v>0.265183119215037</v>
      </c>
      <c r="AF207" s="25">
        <v>0.134295083213892</v>
      </c>
      <c r="AG207" s="25">
        <v>0.165430477806585</v>
      </c>
      <c r="AH207" s="25">
        <v>0.435473810791879</v>
      </c>
      <c r="AI207" s="25">
        <v>10.0</v>
      </c>
      <c r="AJ207" s="25">
        <v>3.8663642347709</v>
      </c>
      <c r="AK207" s="25">
        <v>22.3462728798966</v>
      </c>
      <c r="AL207" s="25">
        <v>4.72718445587821</v>
      </c>
      <c r="AM207" s="25">
        <v>0.147494193772931</v>
      </c>
      <c r="AN207" s="25">
        <v>3.62033341046186</v>
      </c>
      <c r="AO207" s="25">
        <v>19.122495847436</v>
      </c>
      <c r="AP207" s="25">
        <v>4.37292760601361</v>
      </c>
      <c r="AQ207" s="25">
        <v>0.265183119215037</v>
      </c>
      <c r="AR207" s="25">
        <v>3.13168673216842</v>
      </c>
      <c r="AS207" s="25">
        <v>14.8822106555176</v>
      </c>
      <c r="AT207" s="25">
        <v>3.85774683662856</v>
      </c>
      <c r="AU207" s="25">
        <v>0.435473810791879</v>
      </c>
      <c r="AV207" s="26">
        <f t="shared" ref="AV207:AW207" si="417">(AC207-AC$289)/AC$290</f>
        <v>2.008451391</v>
      </c>
      <c r="AW207" s="27">
        <f t="shared" si="417"/>
        <v>1.856682118</v>
      </c>
      <c r="AX207" s="27">
        <f t="shared" si="5"/>
        <v>0.5580858223</v>
      </c>
      <c r="AY207" s="28">
        <f t="shared" si="6"/>
        <v>0.5164146906</v>
      </c>
      <c r="AZ207" s="29">
        <f t="shared" si="7"/>
        <v>1.130173403</v>
      </c>
      <c r="BA207" s="28">
        <f t="shared" si="8"/>
        <v>1.030212426</v>
      </c>
      <c r="BB207" s="29">
        <f t="shared" si="9"/>
        <v>0.6749098884</v>
      </c>
      <c r="BC207" s="27">
        <f t="shared" si="10"/>
        <v>0.5522212003</v>
      </c>
      <c r="BD207" s="28">
        <f t="shared" si="11"/>
        <v>0.8955589392</v>
      </c>
      <c r="BE207" s="30">
        <f t="shared" ref="BE207:BF207" si="418">((S207-S$289)/S$290)</f>
        <v>-0.8056031635</v>
      </c>
      <c r="BF207" s="30">
        <f t="shared" si="418"/>
        <v>-0.8516660611</v>
      </c>
    </row>
    <row r="208">
      <c r="A208" s="21" t="s">
        <v>88</v>
      </c>
      <c r="B208" s="22">
        <f t="shared" si="3"/>
        <v>-0.09101187</v>
      </c>
      <c r="C208" s="21" t="s">
        <v>68</v>
      </c>
      <c r="D208" s="21" t="s">
        <v>69</v>
      </c>
      <c r="E208" s="23">
        <v>225.0</v>
      </c>
      <c r="F208" s="24" t="s">
        <v>97</v>
      </c>
      <c r="G208" s="21" t="s">
        <v>71</v>
      </c>
      <c r="H208" s="24" t="s">
        <v>105</v>
      </c>
      <c r="I208" s="24" t="s">
        <v>73</v>
      </c>
      <c r="J208" s="24" t="s">
        <v>90</v>
      </c>
      <c r="K208" s="24" t="s">
        <v>101</v>
      </c>
      <c r="L208" s="21" t="s">
        <v>92</v>
      </c>
      <c r="M208" s="24" t="s">
        <v>77</v>
      </c>
      <c r="N208" s="21" t="s">
        <v>104</v>
      </c>
      <c r="O208" s="21" t="s">
        <v>91</v>
      </c>
      <c r="P208" s="21" t="s">
        <v>80</v>
      </c>
      <c r="Q208" s="24" t="s">
        <v>93</v>
      </c>
      <c r="S208" s="25">
        <v>535.098608732223</v>
      </c>
      <c r="T208" s="25">
        <v>413.114039421081</v>
      </c>
      <c r="U208" s="25">
        <v>2.2607921576837</v>
      </c>
      <c r="V208" s="25">
        <v>7.9331761045654</v>
      </c>
      <c r="W208" s="25">
        <v>2.81658944551125</v>
      </c>
      <c r="X208" s="25">
        <v>0.70584835113771</v>
      </c>
      <c r="Y208" s="25">
        <v>0.075947879464489</v>
      </c>
      <c r="Z208" s="25">
        <v>0.00883906840150355</v>
      </c>
      <c r="AA208" s="25">
        <v>0.0940163198679014</v>
      </c>
      <c r="AB208" s="25">
        <v>0.801193418229389</v>
      </c>
      <c r="AC208" s="25">
        <v>0.0757393323667905</v>
      </c>
      <c r="AD208" s="25">
        <v>0.0937141950875755</v>
      </c>
      <c r="AE208" s="25">
        <v>0.803542313609041</v>
      </c>
      <c r="AF208" s="25">
        <v>0.0933361251220371</v>
      </c>
      <c r="AG208" s="25">
        <v>0.116937331223954</v>
      </c>
      <c r="AH208" s="25">
        <v>0.696640947955284</v>
      </c>
      <c r="AI208" s="25">
        <v>10.0</v>
      </c>
      <c r="AJ208" s="25">
        <v>2.2607921576836</v>
      </c>
      <c r="AK208" s="25">
        <v>7.9331761045654</v>
      </c>
      <c r="AL208" s="25">
        <v>2.81658944551125</v>
      </c>
      <c r="AM208" s="25">
        <v>0.705793154185065</v>
      </c>
      <c r="AN208" s="25">
        <v>1.85561364298641</v>
      </c>
      <c r="AO208" s="25">
        <v>5.27160580413753</v>
      </c>
      <c r="AP208" s="25">
        <v>2.2959977796456</v>
      </c>
      <c r="AQ208" s="25">
        <v>0.803542313609041</v>
      </c>
      <c r="AR208" s="25">
        <v>2.28673506548983</v>
      </c>
      <c r="AS208" s="25">
        <v>8.20802224512692</v>
      </c>
      <c r="AT208" s="25">
        <v>2.86496461498688</v>
      </c>
      <c r="AU208" s="25">
        <v>0.696640947955284</v>
      </c>
      <c r="AV208" s="26">
        <f t="shared" ref="AV208:AW208" si="419">(AC208-AC$289)/AC$290</f>
        <v>0.376531072</v>
      </c>
      <c r="AW208" s="27">
        <f t="shared" si="419"/>
        <v>0.3407960816</v>
      </c>
      <c r="AX208" s="27">
        <f t="shared" si="5"/>
        <v>0.2002183166</v>
      </c>
      <c r="AY208" s="28">
        <f t="shared" si="6"/>
        <v>0.1859937906</v>
      </c>
      <c r="AZ208" s="29">
        <f t="shared" si="7"/>
        <v>0.3060461787</v>
      </c>
      <c r="BA208" s="28">
        <f t="shared" si="8"/>
        <v>0.2726252221</v>
      </c>
      <c r="BB208" s="29">
        <f t="shared" si="9"/>
        <v>0.08634885772</v>
      </c>
      <c r="BC208" s="27">
        <f t="shared" si="10"/>
        <v>0.1603129146</v>
      </c>
      <c r="BD208" s="28">
        <f t="shared" si="11"/>
        <v>0.1653520707</v>
      </c>
      <c r="BE208" s="30">
        <f t="shared" ref="BE208:BF208" si="420">((S208-S$289)/S$290)</f>
        <v>-0.6973162013</v>
      </c>
      <c r="BF208" s="30">
        <f t="shared" si="420"/>
        <v>-0.3957777334</v>
      </c>
    </row>
    <row r="209">
      <c r="A209" s="21" t="s">
        <v>67</v>
      </c>
      <c r="B209" s="22">
        <f t="shared" si="3"/>
        <v>-0.07383223256</v>
      </c>
      <c r="C209" s="21" t="s">
        <v>68</v>
      </c>
      <c r="D209" s="21" t="s">
        <v>69</v>
      </c>
      <c r="E209" s="23">
        <v>209.0</v>
      </c>
      <c r="F209" s="24" t="s">
        <v>97</v>
      </c>
      <c r="G209" s="21" t="s">
        <v>82</v>
      </c>
      <c r="H209" s="24" t="s">
        <v>98</v>
      </c>
      <c r="I209" s="24" t="s">
        <v>95</v>
      </c>
      <c r="J209" s="24" t="s">
        <v>90</v>
      </c>
      <c r="K209" s="24" t="s">
        <v>101</v>
      </c>
      <c r="L209" s="21" t="s">
        <v>76</v>
      </c>
      <c r="M209" s="24" t="s">
        <v>77</v>
      </c>
      <c r="N209" s="21" t="s">
        <v>78</v>
      </c>
      <c r="O209" s="21" t="s">
        <v>102</v>
      </c>
      <c r="P209" s="21" t="s">
        <v>80</v>
      </c>
      <c r="Q209" s="24" t="s">
        <v>100</v>
      </c>
      <c r="S209" s="25">
        <v>556.58683681488</v>
      </c>
      <c r="T209" s="25">
        <v>430.401542186737</v>
      </c>
      <c r="U209" s="25">
        <v>2.08930282482859</v>
      </c>
      <c r="V209" s="25">
        <v>6.89863222568536</v>
      </c>
      <c r="W209" s="25">
        <v>2.62652474301792</v>
      </c>
      <c r="X209" s="25">
        <v>0.74467266989459</v>
      </c>
      <c r="Y209" s="25">
        <v>0.0784112644189059</v>
      </c>
      <c r="Z209" s="25">
        <v>0.00961826032467128</v>
      </c>
      <c r="AA209" s="25">
        <v>0.0980727297706721</v>
      </c>
      <c r="AB209" s="25">
        <v>0.784744369779236</v>
      </c>
      <c r="AC209" s="25">
        <v>0.078111071515633</v>
      </c>
      <c r="AD209" s="25">
        <v>0.0978019193844721</v>
      </c>
      <c r="AE209" s="25">
        <v>0.786955380796155</v>
      </c>
      <c r="AF209" s="25">
        <v>0.0882373661867325</v>
      </c>
      <c r="AG209" s="25">
        <v>0.110910228198259</v>
      </c>
      <c r="AH209" s="25">
        <v>0.72714604485524</v>
      </c>
      <c r="AI209" s="25">
        <v>10.0</v>
      </c>
      <c r="AJ209" s="25">
        <v>2.08930282482857</v>
      </c>
      <c r="AK209" s="25">
        <v>6.89863222568536</v>
      </c>
      <c r="AL209" s="25">
        <v>2.62652474301792</v>
      </c>
      <c r="AM209" s="25">
        <v>0.744647027687092</v>
      </c>
      <c r="AN209" s="25">
        <v>1.91372125213299</v>
      </c>
      <c r="AO209" s="25">
        <v>5.7415205650309</v>
      </c>
      <c r="AP209" s="25">
        <v>2.39614702491956</v>
      </c>
      <c r="AQ209" s="25">
        <v>0.786955380796155</v>
      </c>
      <c r="AR209" s="25">
        <v>2.16181547157487</v>
      </c>
      <c r="AS209" s="25">
        <v>7.38372250107365</v>
      </c>
      <c r="AT209" s="25">
        <v>2.71730059085734</v>
      </c>
      <c r="AU209" s="25">
        <v>0.727146044855239</v>
      </c>
      <c r="AV209" s="26">
        <f t="shared" ref="AV209:AW209" si="421">(AC209-AC$289)/AC$290</f>
        <v>0.4252102116</v>
      </c>
      <c r="AW209" s="27">
        <f t="shared" si="421"/>
        <v>0.4068510446</v>
      </c>
      <c r="AX209" s="27">
        <f t="shared" si="5"/>
        <v>0.1473103632</v>
      </c>
      <c r="AY209" s="28">
        <f t="shared" si="6"/>
        <v>0.1368477859</v>
      </c>
      <c r="AZ209" s="29">
        <f t="shared" si="7"/>
        <v>0.2180220845</v>
      </c>
      <c r="BA209" s="28">
        <f t="shared" si="8"/>
        <v>0.1972609582</v>
      </c>
      <c r="BB209" s="29">
        <f t="shared" si="9"/>
        <v>0.1044825171</v>
      </c>
      <c r="BC209" s="27">
        <f t="shared" si="10"/>
        <v>0.1145368634</v>
      </c>
      <c r="BD209" s="28">
        <f t="shared" si="11"/>
        <v>0.1145345566</v>
      </c>
      <c r="BE209" s="30">
        <f t="shared" ref="BE209:BF209" si="422">((S209-S$289)/S$290)</f>
        <v>-0.691694433</v>
      </c>
      <c r="BF209" s="30">
        <f t="shared" si="422"/>
        <v>-0.3612073939</v>
      </c>
    </row>
    <row r="210">
      <c r="A210" s="21" t="s">
        <v>88</v>
      </c>
      <c r="B210" s="22">
        <f t="shared" si="3"/>
        <v>-0.7283059002</v>
      </c>
      <c r="C210" s="21" t="s">
        <v>68</v>
      </c>
      <c r="D210" s="21" t="s">
        <v>69</v>
      </c>
      <c r="E210" s="23">
        <v>107.0</v>
      </c>
      <c r="F210" s="24" t="s">
        <v>70</v>
      </c>
      <c r="G210" s="21" t="s">
        <v>71</v>
      </c>
      <c r="H210" s="24" t="s">
        <v>72</v>
      </c>
      <c r="I210" s="24" t="s">
        <v>73</v>
      </c>
      <c r="J210" s="24" t="s">
        <v>99</v>
      </c>
      <c r="K210" s="24" t="s">
        <v>75</v>
      </c>
      <c r="L210" s="21" t="s">
        <v>84</v>
      </c>
      <c r="M210" s="24" t="s">
        <v>85</v>
      </c>
      <c r="N210" s="21" t="s">
        <v>104</v>
      </c>
      <c r="O210" s="21" t="s">
        <v>91</v>
      </c>
      <c r="P210" s="21" t="s">
        <v>80</v>
      </c>
      <c r="Q210" s="24" t="s">
        <v>81</v>
      </c>
      <c r="R210" s="24" t="s">
        <v>87</v>
      </c>
      <c r="S210" s="25">
        <v>105.491208553314</v>
      </c>
      <c r="T210" s="25">
        <v>181.985199689865</v>
      </c>
      <c r="U210" s="25">
        <v>3.69440777494454</v>
      </c>
      <c r="V210" s="25">
        <v>19.0019398008339</v>
      </c>
      <c r="W210" s="25">
        <v>4.35912144827761</v>
      </c>
      <c r="X210" s="25">
        <v>0.269714253801927</v>
      </c>
      <c r="Y210" s="25">
        <v>0.165448082621928</v>
      </c>
      <c r="Z210" s="25">
        <v>0.0365701369359606</v>
      </c>
      <c r="AA210" s="25">
        <v>0.191233200401919</v>
      </c>
      <c r="AB210" s="25">
        <v>0.227504231129638</v>
      </c>
      <c r="AC210" s="25">
        <v>0.166301084624208</v>
      </c>
      <c r="AD210" s="25">
        <v>0.191907773862622</v>
      </c>
      <c r="AE210" s="25">
        <v>0.226572027702226</v>
      </c>
      <c r="AF210" s="25">
        <v>0.153528333643075</v>
      </c>
      <c r="AG210" s="25">
        <v>0.182290404323143</v>
      </c>
      <c r="AH210" s="25">
        <v>0.309075101925538</v>
      </c>
      <c r="AI210" s="25">
        <v>10.0</v>
      </c>
      <c r="AJ210" s="25">
        <v>3.69440777494454</v>
      </c>
      <c r="AK210" s="25">
        <v>19.0019398008339</v>
      </c>
      <c r="AL210" s="25">
        <v>4.35912144827761</v>
      </c>
      <c r="AM210" s="25">
        <v>0.269704397926921</v>
      </c>
      <c r="AN210" s="25">
        <v>3.87804890394507</v>
      </c>
      <c r="AO210" s="25">
        <v>20.0272599392342</v>
      </c>
      <c r="AP210" s="25">
        <v>4.47518267104642</v>
      </c>
      <c r="AQ210" s="25">
        <v>0.226572027702226</v>
      </c>
      <c r="AR210" s="25">
        <v>3.58019544703783</v>
      </c>
      <c r="AS210" s="25">
        <v>18.0702439589769</v>
      </c>
      <c r="AT210" s="25">
        <v>4.25091095636887</v>
      </c>
      <c r="AU210" s="25">
        <v>0.309075101925538</v>
      </c>
      <c r="AV210" s="26">
        <f t="shared" ref="AV210:AW210" si="423">(AC210-AC$289)/AC$290</f>
        <v>2.235280246</v>
      </c>
      <c r="AW210" s="27">
        <f t="shared" si="423"/>
        <v>1.927540378</v>
      </c>
      <c r="AX210" s="27">
        <f t="shared" si="5"/>
        <v>0.7480454394</v>
      </c>
      <c r="AY210" s="28">
        <f t="shared" si="6"/>
        <v>0.6472688088</v>
      </c>
      <c r="AZ210" s="29">
        <f t="shared" si="7"/>
        <v>1.041909536</v>
      </c>
      <c r="BA210" s="28">
        <f t="shared" si="8"/>
        <v>0.884268454</v>
      </c>
      <c r="BB210" s="29">
        <f t="shared" si="9"/>
        <v>0.7171214528</v>
      </c>
      <c r="BC210" s="27">
        <f t="shared" si="10"/>
        <v>0.7418955285</v>
      </c>
      <c r="BD210" s="28">
        <f t="shared" si="11"/>
        <v>0.7357185368</v>
      </c>
      <c r="BE210" s="30">
        <f t="shared" ref="BE210:BF210" si="424">((S210-S$289)/S$290)</f>
        <v>-0.80971045</v>
      </c>
      <c r="BF210" s="30">
        <f t="shared" si="424"/>
        <v>-0.8579730287</v>
      </c>
    </row>
    <row r="211">
      <c r="A211" s="21" t="s">
        <v>88</v>
      </c>
      <c r="B211" s="22">
        <f t="shared" si="3"/>
        <v>-0.4311719196</v>
      </c>
      <c r="C211" s="21" t="s">
        <v>68</v>
      </c>
      <c r="D211" s="21" t="s">
        <v>69</v>
      </c>
      <c r="E211" s="23">
        <v>250.0</v>
      </c>
      <c r="F211" s="24" t="s">
        <v>97</v>
      </c>
      <c r="G211" s="21" t="s">
        <v>71</v>
      </c>
      <c r="H211" s="24" t="s">
        <v>105</v>
      </c>
      <c r="I211" s="24" t="s">
        <v>95</v>
      </c>
      <c r="J211" s="24" t="s">
        <v>99</v>
      </c>
      <c r="K211" s="24" t="s">
        <v>75</v>
      </c>
      <c r="L211" s="21" t="s">
        <v>76</v>
      </c>
      <c r="M211" s="24" t="s">
        <v>85</v>
      </c>
      <c r="N211" s="21" t="s">
        <v>78</v>
      </c>
      <c r="O211" s="21" t="s">
        <v>102</v>
      </c>
      <c r="P211" s="21" t="s">
        <v>80</v>
      </c>
      <c r="Q211" s="24" t="s">
        <v>81</v>
      </c>
      <c r="R211" s="24" t="s">
        <v>81</v>
      </c>
      <c r="S211" s="25">
        <v>269.080667257308</v>
      </c>
      <c r="T211" s="25">
        <v>570.651934623718</v>
      </c>
      <c r="U211" s="25">
        <v>2.73628880322431</v>
      </c>
      <c r="V211" s="25">
        <v>10.8671248626839</v>
      </c>
      <c r="W211" s="25">
        <v>3.29653224808797</v>
      </c>
      <c r="X211" s="25">
        <v>0.597415033674869</v>
      </c>
      <c r="Y211" s="25">
        <v>0.133878023595717</v>
      </c>
      <c r="Z211" s="25">
        <v>0.0241821820726922</v>
      </c>
      <c r="AA211" s="25">
        <v>0.155506212328293</v>
      </c>
      <c r="AB211" s="25">
        <v>0.456632476363882</v>
      </c>
      <c r="AC211" s="25">
        <v>0.134256552318681</v>
      </c>
      <c r="AD211" s="25">
        <v>0.155675947411222</v>
      </c>
      <c r="AE211" s="25">
        <v>0.458473426792725</v>
      </c>
      <c r="AF211" s="25">
        <v>0.106850791710683</v>
      </c>
      <c r="AG211" s="25">
        <v>0.129248891561339</v>
      </c>
      <c r="AH211" s="25">
        <v>0.630059655665159</v>
      </c>
      <c r="AI211" s="25">
        <v>10.0</v>
      </c>
      <c r="AJ211" s="25">
        <v>2.73628880322414</v>
      </c>
      <c r="AK211" s="25">
        <v>10.8671248626839</v>
      </c>
      <c r="AL211" s="25">
        <v>3.29653224808797</v>
      </c>
      <c r="AM211" s="25">
        <v>0.597334449441517</v>
      </c>
      <c r="AN211" s="25">
        <v>3.28928553180749</v>
      </c>
      <c r="AO211" s="25">
        <v>14.5470591115795</v>
      </c>
      <c r="AP211" s="25">
        <v>3.81406071157494</v>
      </c>
      <c r="AQ211" s="25">
        <v>0.458473426792724</v>
      </c>
      <c r="AR211" s="25">
        <v>2.61784439691166</v>
      </c>
      <c r="AS211" s="25">
        <v>10.0273419008934</v>
      </c>
      <c r="AT211" s="25">
        <v>3.16659784325282</v>
      </c>
      <c r="AU211" s="25">
        <v>0.630059655665159</v>
      </c>
      <c r="AV211" s="26">
        <f t="shared" ref="AV211:AW211" si="425">(AC211-AC$289)/AC$290</f>
        <v>1.577577116</v>
      </c>
      <c r="AW211" s="27">
        <f t="shared" si="425"/>
        <v>1.342057654</v>
      </c>
      <c r="AX211" s="27">
        <f t="shared" si="5"/>
        <v>0.3404550606</v>
      </c>
      <c r="AY211" s="28">
        <f t="shared" si="6"/>
        <v>0.2863843099</v>
      </c>
      <c r="AZ211" s="29">
        <f t="shared" si="7"/>
        <v>0.5501147796</v>
      </c>
      <c r="BA211" s="28">
        <f t="shared" si="8"/>
        <v>0.4629316575</v>
      </c>
      <c r="BB211" s="29">
        <f t="shared" si="9"/>
        <v>0.4635953166</v>
      </c>
      <c r="BC211" s="27">
        <f t="shared" si="10"/>
        <v>0.260225026</v>
      </c>
      <c r="BD211" s="28">
        <f t="shared" si="11"/>
        <v>0.3072066984</v>
      </c>
      <c r="BE211" s="30">
        <f t="shared" ref="BE211:BF211" si="426">((S211-S$289)/S$290)</f>
        <v>-0.7669120385</v>
      </c>
      <c r="BF211" s="30">
        <f t="shared" si="426"/>
        <v>-0.08074446415</v>
      </c>
    </row>
    <row r="212">
      <c r="A212" s="21" t="s">
        <v>88</v>
      </c>
      <c r="B212" s="22">
        <f t="shared" si="3"/>
        <v>-0.02626143703</v>
      </c>
      <c r="C212" s="21" t="s">
        <v>68</v>
      </c>
      <c r="D212" s="21" t="s">
        <v>69</v>
      </c>
      <c r="E212" s="23">
        <v>219.0</v>
      </c>
      <c r="F212" s="24" t="s">
        <v>97</v>
      </c>
      <c r="G212" s="21" t="s">
        <v>71</v>
      </c>
      <c r="H212" s="24" t="s">
        <v>105</v>
      </c>
      <c r="I212" s="24" t="s">
        <v>73</v>
      </c>
      <c r="J212" s="24" t="s">
        <v>74</v>
      </c>
      <c r="K212" s="24" t="s">
        <v>75</v>
      </c>
      <c r="L212" s="21" t="s">
        <v>92</v>
      </c>
      <c r="M212" s="24" t="s">
        <v>85</v>
      </c>
      <c r="N212" s="21" t="s">
        <v>78</v>
      </c>
      <c r="O212" s="21" t="s">
        <v>91</v>
      </c>
      <c r="P212" s="21" t="s">
        <v>80</v>
      </c>
      <c r="Q212" s="24" t="s">
        <v>96</v>
      </c>
      <c r="R212" s="24" t="s">
        <v>93</v>
      </c>
      <c r="S212" s="25">
        <v>576.166229009628</v>
      </c>
      <c r="T212" s="25">
        <v>556.326575040817</v>
      </c>
      <c r="U212" s="25">
        <v>2.01419094835343</v>
      </c>
      <c r="V212" s="25">
        <v>6.28450861426028</v>
      </c>
      <c r="W212" s="25">
        <v>2.50689222230639</v>
      </c>
      <c r="X212" s="25">
        <v>0.766999460649971</v>
      </c>
      <c r="Y212" s="25">
        <v>0.0680556270703919</v>
      </c>
      <c r="Z212" s="25">
        <v>0.00698781110082346</v>
      </c>
      <c r="AA212" s="25">
        <v>0.0835931283110248</v>
      </c>
      <c r="AB212" s="25">
        <v>0.84283153202241</v>
      </c>
      <c r="AC212" s="25">
        <v>0.0674838394269426</v>
      </c>
      <c r="AD212" s="25">
        <v>0.0831745098204933</v>
      </c>
      <c r="AE212" s="25">
        <v>0.84524711055452</v>
      </c>
      <c r="AF212" s="25">
        <v>0.0835201384092802</v>
      </c>
      <c r="AG212" s="25">
        <v>0.104517786621555</v>
      </c>
      <c r="AH212" s="25">
        <v>0.757656703767253</v>
      </c>
      <c r="AI212" s="25">
        <v>10.0</v>
      </c>
      <c r="AJ212" s="25">
        <v>2.01419094835338</v>
      </c>
      <c r="AK212" s="25">
        <v>6.28450861426028</v>
      </c>
      <c r="AL212" s="25">
        <v>2.50689222230639</v>
      </c>
      <c r="AM212" s="25">
        <v>0.766935029233213</v>
      </c>
      <c r="AN212" s="25">
        <v>1.65335406596004</v>
      </c>
      <c r="AO212" s="25">
        <v>4.15252895009857</v>
      </c>
      <c r="AP212" s="25">
        <v>2.03777549060208</v>
      </c>
      <c r="AQ212" s="25">
        <v>0.84524711055452</v>
      </c>
      <c r="AR212" s="25">
        <v>2.04624339102738</v>
      </c>
      <c r="AS212" s="25">
        <v>6.55711162409144</v>
      </c>
      <c r="AT212" s="25">
        <v>2.5606857722281</v>
      </c>
      <c r="AU212" s="25">
        <v>0.757656703767253</v>
      </c>
      <c r="AV212" s="26">
        <f t="shared" ref="AV212:AW212" si="427">(AC212-AC$289)/AC$290</f>
        <v>0.2070898863</v>
      </c>
      <c r="AW212" s="27">
        <f t="shared" si="427"/>
        <v>0.1704816303</v>
      </c>
      <c r="AX212" s="27">
        <f t="shared" si="5"/>
        <v>0.09836141872</v>
      </c>
      <c r="AY212" s="28">
        <f t="shared" si="6"/>
        <v>0.08472274967</v>
      </c>
      <c r="AZ212" s="29">
        <f t="shared" si="7"/>
        <v>0.1794677628</v>
      </c>
      <c r="BA212" s="28">
        <f t="shared" si="8"/>
        <v>0.1498243919</v>
      </c>
      <c r="BB212" s="29">
        <f t="shared" si="9"/>
        <v>0.04075510075</v>
      </c>
      <c r="BC212" s="27">
        <f t="shared" si="10"/>
        <v>0.06875246589</v>
      </c>
      <c r="BD212" s="28">
        <f t="shared" si="11"/>
        <v>0.08538377363</v>
      </c>
      <c r="BE212" s="30">
        <f t="shared" ref="BE212:BF212" si="428">((S212-S$289)/S$290)</f>
        <v>-0.686572056</v>
      </c>
      <c r="BF212" s="30">
        <f t="shared" si="428"/>
        <v>-0.1093913167</v>
      </c>
    </row>
    <row r="213">
      <c r="A213" s="21" t="s">
        <v>67</v>
      </c>
      <c r="B213" s="22">
        <f t="shared" si="3"/>
        <v>0.02584664052</v>
      </c>
      <c r="C213" s="21" t="s">
        <v>68</v>
      </c>
      <c r="D213" s="21" t="s">
        <v>69</v>
      </c>
      <c r="E213" s="23">
        <v>195.0</v>
      </c>
      <c r="F213" s="24" t="s">
        <v>97</v>
      </c>
      <c r="G213" s="21" t="s">
        <v>82</v>
      </c>
      <c r="H213" s="24" t="s">
        <v>98</v>
      </c>
      <c r="I213" s="24" t="s">
        <v>95</v>
      </c>
      <c r="J213" s="24" t="s">
        <v>90</v>
      </c>
      <c r="K213" s="24" t="s">
        <v>75</v>
      </c>
      <c r="L213" s="21" t="s">
        <v>92</v>
      </c>
      <c r="M213" s="24" t="s">
        <v>77</v>
      </c>
      <c r="N213" s="21" t="s">
        <v>86</v>
      </c>
      <c r="O213" s="21" t="s">
        <v>91</v>
      </c>
      <c r="P213" s="21" t="s">
        <v>80</v>
      </c>
      <c r="Q213" s="24" t="s">
        <v>96</v>
      </c>
      <c r="S213" s="25">
        <v>648.657833814621</v>
      </c>
      <c r="T213" s="25">
        <v>430.876750230789</v>
      </c>
      <c r="U213" s="25">
        <v>1.83140399328411</v>
      </c>
      <c r="V213" s="25">
        <v>5.35810234762647</v>
      </c>
      <c r="W213" s="25">
        <v>2.31475751378551</v>
      </c>
      <c r="X213" s="25">
        <v>0.801697798850785</v>
      </c>
      <c r="Y213" s="25">
        <v>0.0683549837745906</v>
      </c>
      <c r="Z213" s="25">
        <v>0.00698843012226751</v>
      </c>
      <c r="AA213" s="25">
        <v>0.0835968308147355</v>
      </c>
      <c r="AB213" s="25">
        <v>0.8435996864876</v>
      </c>
      <c r="AC213" s="25">
        <v>0.0685582173477777</v>
      </c>
      <c r="AD213" s="25">
        <v>0.083723990094024</v>
      </c>
      <c r="AE213" s="25">
        <v>0.843873850431838</v>
      </c>
      <c r="AF213" s="25">
        <v>0.0772512415672233</v>
      </c>
      <c r="AG213" s="25">
        <v>0.0982658099905254</v>
      </c>
      <c r="AH213" s="25">
        <v>0.785813579760024</v>
      </c>
      <c r="AI213" s="25">
        <v>10.0</v>
      </c>
      <c r="AJ213" s="25">
        <v>1.83140399328407</v>
      </c>
      <c r="AK213" s="25">
        <v>5.35810234762647</v>
      </c>
      <c r="AL213" s="25">
        <v>2.31475751378551</v>
      </c>
      <c r="AM213" s="25">
        <v>0.80166976356139</v>
      </c>
      <c r="AN213" s="25">
        <v>1.6796763250206</v>
      </c>
      <c r="AO213" s="25">
        <v>4.20757633698787</v>
      </c>
      <c r="AP213" s="25">
        <v>2.05123775730359</v>
      </c>
      <c r="AQ213" s="25">
        <v>0.843873850431838</v>
      </c>
      <c r="AR213" s="25">
        <v>1.89265541839702</v>
      </c>
      <c r="AS213" s="25">
        <v>5.79611569020972</v>
      </c>
      <c r="AT213" s="25">
        <v>2.40751234476787</v>
      </c>
      <c r="AU213" s="25">
        <v>0.785813579760024</v>
      </c>
      <c r="AV213" s="26">
        <f t="shared" ref="AV213:AW213" si="429">(AC213-AC$289)/AC$290</f>
        <v>0.2291411278</v>
      </c>
      <c r="AW213" s="27">
        <f t="shared" si="429"/>
        <v>0.1793608738</v>
      </c>
      <c r="AX213" s="27">
        <f t="shared" si="5"/>
        <v>0.03331137286</v>
      </c>
      <c r="AY213" s="28">
        <f t="shared" si="6"/>
        <v>0.03374308803</v>
      </c>
      <c r="AZ213" s="29">
        <f t="shared" si="7"/>
        <v>0.08564469004</v>
      </c>
      <c r="BA213" s="28">
        <f t="shared" si="8"/>
        <v>0.07363933133</v>
      </c>
      <c r="BB213" s="29">
        <f t="shared" si="9"/>
        <v>0.04225641697</v>
      </c>
      <c r="BC213" s="27">
        <f t="shared" si="10"/>
        <v>0.02650016293</v>
      </c>
      <c r="BD213" s="28">
        <f t="shared" si="11"/>
        <v>0.03995373815</v>
      </c>
      <c r="BE213" s="30">
        <f t="shared" ref="BE213:BF213" si="430">((S213-S$289)/S$290)</f>
        <v>-0.6676067414</v>
      </c>
      <c r="BF213" s="30">
        <f t="shared" si="430"/>
        <v>-0.3602571061</v>
      </c>
    </row>
    <row r="214">
      <c r="A214" s="21" t="s">
        <v>67</v>
      </c>
      <c r="B214" s="22">
        <f t="shared" si="3"/>
        <v>-0.07175207959</v>
      </c>
      <c r="C214" s="21" t="s">
        <v>68</v>
      </c>
      <c r="D214" s="21" t="s">
        <v>69</v>
      </c>
      <c r="E214" s="23">
        <v>271.0</v>
      </c>
      <c r="F214" s="24" t="s">
        <v>97</v>
      </c>
      <c r="G214" s="21" t="s">
        <v>71</v>
      </c>
      <c r="H214" s="24" t="s">
        <v>105</v>
      </c>
      <c r="I214" s="24" t="s">
        <v>95</v>
      </c>
      <c r="J214" s="24" t="s">
        <v>90</v>
      </c>
      <c r="K214" s="24" t="s">
        <v>101</v>
      </c>
      <c r="L214" s="21" t="s">
        <v>76</v>
      </c>
      <c r="M214" s="24" t="s">
        <v>77</v>
      </c>
      <c r="N214" s="21" t="s">
        <v>78</v>
      </c>
      <c r="O214" s="21" t="s">
        <v>91</v>
      </c>
      <c r="P214" s="21" t="s">
        <v>80</v>
      </c>
      <c r="Q214" s="24" t="s">
        <v>103</v>
      </c>
      <c r="S214" s="25">
        <v>553.396741867065</v>
      </c>
      <c r="T214" s="25">
        <v>514.26416015625</v>
      </c>
      <c r="U214" s="25">
        <v>2.09891615813846</v>
      </c>
      <c r="V214" s="25">
        <v>6.92160598419512</v>
      </c>
      <c r="W214" s="25">
        <v>2.63089452167796</v>
      </c>
      <c r="X214" s="25">
        <v>0.743578222877</v>
      </c>
      <c r="Y214" s="25">
        <v>0.0740147477814534</v>
      </c>
      <c r="Z214" s="25">
        <v>0.00844105691066163</v>
      </c>
      <c r="AA214" s="25">
        <v>0.091875224683598</v>
      </c>
      <c r="AB214" s="25">
        <v>0.810331583120567</v>
      </c>
      <c r="AC214" s="25">
        <v>0.073779259141284</v>
      </c>
      <c r="AD214" s="25">
        <v>0.0915639055922661</v>
      </c>
      <c r="AE214" s="25">
        <v>0.812662225924544</v>
      </c>
      <c r="AF214" s="25">
        <v>0.0887245132365547</v>
      </c>
      <c r="AG214" s="25">
        <v>0.11190968602554</v>
      </c>
      <c r="AH214" s="25">
        <v>0.722659434671213</v>
      </c>
      <c r="AI214" s="25">
        <v>10.0</v>
      </c>
      <c r="AJ214" s="25">
        <v>2.0989161581384</v>
      </c>
      <c r="AK214" s="25">
        <v>6.92160598419512</v>
      </c>
      <c r="AL214" s="25">
        <v>2.63089452167796</v>
      </c>
      <c r="AM214" s="25">
        <v>0.743529929066586</v>
      </c>
      <c r="AN214" s="25">
        <v>1.80759184896151</v>
      </c>
      <c r="AO214" s="25">
        <v>5.03246527158747</v>
      </c>
      <c r="AP214" s="25">
        <v>2.24331568701051</v>
      </c>
      <c r="AQ214" s="25">
        <v>0.812662225924544</v>
      </c>
      <c r="AR214" s="25">
        <v>2.17375057429553</v>
      </c>
      <c r="AS214" s="25">
        <v>7.51739764025759</v>
      </c>
      <c r="AT214" s="25">
        <v>2.74178730762573</v>
      </c>
      <c r="AU214" s="25">
        <v>0.722659434671213</v>
      </c>
      <c r="AV214" s="26">
        <f t="shared" ref="AV214:AW214" si="431">(AC214-AC$289)/AC$290</f>
        <v>0.3363012354</v>
      </c>
      <c r="AW214" s="27">
        <f t="shared" si="431"/>
        <v>0.3060488035</v>
      </c>
      <c r="AX214" s="27">
        <f t="shared" si="5"/>
        <v>0.1523653096</v>
      </c>
      <c r="AY214" s="28">
        <f t="shared" si="6"/>
        <v>0.144997532</v>
      </c>
      <c r="AZ214" s="29">
        <f t="shared" si="7"/>
        <v>0.2229565311</v>
      </c>
      <c r="BA214" s="28">
        <f t="shared" si="8"/>
        <v>0.1989936584</v>
      </c>
      <c r="BB214" s="29">
        <f t="shared" si="9"/>
        <v>0.07637851627</v>
      </c>
      <c r="BC214" s="27">
        <f t="shared" si="10"/>
        <v>0.1212694858</v>
      </c>
      <c r="BD214" s="28">
        <f t="shared" si="11"/>
        <v>0.1159956252</v>
      </c>
      <c r="BE214" s="30">
        <f t="shared" ref="BE214:BF214" si="432">((S214-S$289)/S$290)</f>
        <v>-0.6925290283</v>
      </c>
      <c r="BF214" s="30">
        <f t="shared" si="432"/>
        <v>-0.1935047934</v>
      </c>
    </row>
    <row r="215">
      <c r="A215" s="21" t="s">
        <v>88</v>
      </c>
      <c r="B215" s="22">
        <f t="shared" si="3"/>
        <v>-0.02510642386</v>
      </c>
      <c r="C215" s="21" t="s">
        <v>68</v>
      </c>
      <c r="D215" s="21" t="s">
        <v>69</v>
      </c>
      <c r="E215" s="23">
        <v>103.0</v>
      </c>
      <c r="F215" s="24" t="s">
        <v>70</v>
      </c>
      <c r="G215" s="21" t="s">
        <v>71</v>
      </c>
      <c r="H215" s="24" t="s">
        <v>72</v>
      </c>
      <c r="I215" s="24" t="s">
        <v>95</v>
      </c>
      <c r="J215" s="24" t="s">
        <v>90</v>
      </c>
      <c r="K215" s="24" t="s">
        <v>101</v>
      </c>
      <c r="L215" s="21" t="s">
        <v>92</v>
      </c>
      <c r="M215" s="24" t="s">
        <v>77</v>
      </c>
      <c r="N215" s="21" t="s">
        <v>78</v>
      </c>
      <c r="O215" s="21" t="s">
        <v>91</v>
      </c>
      <c r="P215" s="21" t="s">
        <v>80</v>
      </c>
      <c r="Q215" s="24" t="s">
        <v>93</v>
      </c>
      <c r="S215" s="25">
        <v>654.207230091095</v>
      </c>
      <c r="T215" s="25">
        <v>224.890053510665</v>
      </c>
      <c r="U215" s="25">
        <v>2.01501339175444</v>
      </c>
      <c r="V215" s="25">
        <v>6.93892244600687</v>
      </c>
      <c r="W215" s="25">
        <v>2.63418344957348</v>
      </c>
      <c r="X215" s="25">
        <v>0.735429819020081</v>
      </c>
      <c r="Y215" s="25">
        <v>0.0732296379563578</v>
      </c>
      <c r="Z215" s="25">
        <v>0.00886717550617053</v>
      </c>
      <c r="AA215" s="25">
        <v>0.0941656811485508</v>
      </c>
      <c r="AB215" s="25">
        <v>0.813576590951961</v>
      </c>
      <c r="AC215" s="25">
        <v>0.0730660747173737</v>
      </c>
      <c r="AD215" s="25">
        <v>0.093869983458224</v>
      </c>
      <c r="AE215" s="25">
        <v>0.815870051581803</v>
      </c>
      <c r="AF215" s="25">
        <v>0.0919994503953404</v>
      </c>
      <c r="AG215" s="25">
        <v>0.120964794926865</v>
      </c>
      <c r="AH215" s="25">
        <v>0.698164002609294</v>
      </c>
      <c r="AI215" s="25">
        <v>10.0</v>
      </c>
      <c r="AJ215" s="25">
        <v>2.01501339175443</v>
      </c>
      <c r="AK215" s="25">
        <v>6.93892244600687</v>
      </c>
      <c r="AL215" s="25">
        <v>2.63418344957348</v>
      </c>
      <c r="AM215" s="25">
        <v>0.735281507302189</v>
      </c>
      <c r="AN215" s="25">
        <v>1.70386027014544</v>
      </c>
      <c r="AO215" s="25">
        <v>4.79170289372539</v>
      </c>
      <c r="AP215" s="25">
        <v>2.18899586425497</v>
      </c>
      <c r="AQ215" s="25">
        <v>0.815870051581803</v>
      </c>
      <c r="AR215" s="25">
        <v>2.14537607241358</v>
      </c>
      <c r="AS215" s="25">
        <v>7.95709212868907</v>
      </c>
      <c r="AT215" s="25">
        <v>2.82083181503064</v>
      </c>
      <c r="AU215" s="25">
        <v>0.698164002609293</v>
      </c>
      <c r="AV215" s="26">
        <f t="shared" ref="AV215:AW215" si="433">(AC215-AC$289)/AC$290</f>
        <v>0.3216633676</v>
      </c>
      <c r="AW215" s="27">
        <f t="shared" si="433"/>
        <v>0.3433135202</v>
      </c>
      <c r="AX215" s="27">
        <f t="shared" si="5"/>
        <v>0.1403476847</v>
      </c>
      <c r="AY215" s="28">
        <f t="shared" si="6"/>
        <v>0.1713053734</v>
      </c>
      <c r="AZ215" s="29">
        <f t="shared" si="7"/>
        <v>0.1798899164</v>
      </c>
      <c r="BA215" s="28">
        <f t="shared" si="8"/>
        <v>0.2002977808</v>
      </c>
      <c r="BB215" s="29">
        <f t="shared" si="9"/>
        <v>0.07287156181</v>
      </c>
      <c r="BC215" s="27">
        <f t="shared" si="10"/>
        <v>0.1580274136</v>
      </c>
      <c r="BD215" s="28">
        <f t="shared" si="11"/>
        <v>0.1267838492</v>
      </c>
      <c r="BE215" s="30">
        <f t="shared" ref="BE215:BF215" si="434">((S215-S$289)/S$290)</f>
        <v>-0.6661549037</v>
      </c>
      <c r="BF215" s="30">
        <f t="shared" si="434"/>
        <v>-0.7721749016</v>
      </c>
    </row>
    <row r="216">
      <c r="A216" s="21" t="s">
        <v>67</v>
      </c>
      <c r="B216" s="22">
        <f t="shared" si="3"/>
        <v>-0.3291456725</v>
      </c>
      <c r="C216" s="21" t="s">
        <v>68</v>
      </c>
      <c r="D216" s="21" t="s">
        <v>69</v>
      </c>
      <c r="E216" s="23">
        <v>267.0</v>
      </c>
      <c r="F216" s="24" t="s">
        <v>97</v>
      </c>
      <c r="G216" s="21" t="s">
        <v>71</v>
      </c>
      <c r="H216" s="24" t="s">
        <v>105</v>
      </c>
      <c r="I216" s="24" t="s">
        <v>73</v>
      </c>
      <c r="J216" s="24" t="s">
        <v>90</v>
      </c>
      <c r="K216" s="24" t="s">
        <v>101</v>
      </c>
      <c r="L216" s="21" t="s">
        <v>76</v>
      </c>
      <c r="M216" s="24" t="s">
        <v>85</v>
      </c>
      <c r="N216" s="21" t="s">
        <v>86</v>
      </c>
      <c r="O216" s="21" t="s">
        <v>79</v>
      </c>
      <c r="P216" s="21" t="s">
        <v>80</v>
      </c>
      <c r="Q216" s="24" t="s">
        <v>89</v>
      </c>
      <c r="R216" s="24" t="s">
        <v>103</v>
      </c>
      <c r="S216" s="25">
        <v>353.849429845809</v>
      </c>
      <c r="T216" s="25">
        <v>536.5096514225</v>
      </c>
      <c r="U216" s="25">
        <v>2.73603360373064</v>
      </c>
      <c r="V216" s="25">
        <v>11.1348634927295</v>
      </c>
      <c r="W216" s="25">
        <v>3.33689428851583</v>
      </c>
      <c r="X216" s="25">
        <v>0.587145212418567</v>
      </c>
      <c r="Y216" s="25">
        <v>0.100799064408096</v>
      </c>
      <c r="Z216" s="25">
        <v>0.0148543833036817</v>
      </c>
      <c r="AA216" s="25">
        <v>0.121878559655428</v>
      </c>
      <c r="AB216" s="25">
        <v>0.665898142793752</v>
      </c>
      <c r="AC216" s="25">
        <v>0.100843971609699</v>
      </c>
      <c r="AD216" s="25">
        <v>0.121732513570206</v>
      </c>
      <c r="AE216" s="25">
        <v>0.66850922608877</v>
      </c>
      <c r="AF216" s="25">
        <v>0.117123628443152</v>
      </c>
      <c r="AG216" s="25">
        <v>0.143794086752081</v>
      </c>
      <c r="AH216" s="25">
        <v>0.541295863720265</v>
      </c>
      <c r="AI216" s="25">
        <v>10.0</v>
      </c>
      <c r="AJ216" s="25">
        <v>2.73603360373045</v>
      </c>
      <c r="AK216" s="25">
        <v>11.1348634927295</v>
      </c>
      <c r="AL216" s="25">
        <v>3.33689428851583</v>
      </c>
      <c r="AM216" s="25">
        <v>0.587056555458213</v>
      </c>
      <c r="AN216" s="25">
        <v>2.47067730443753</v>
      </c>
      <c r="AO216" s="25">
        <v>8.89498761728724</v>
      </c>
      <c r="AP216" s="25">
        <v>2.98244658247004</v>
      </c>
      <c r="AQ216" s="25">
        <v>0.66850922608877</v>
      </c>
      <c r="AR216" s="25">
        <v>2.86952889685704</v>
      </c>
      <c r="AS216" s="25">
        <v>12.4112128157653</v>
      </c>
      <c r="AT216" s="25">
        <v>3.522955125426</v>
      </c>
      <c r="AU216" s="25">
        <v>0.541295863720265</v>
      </c>
      <c r="AV216" s="26">
        <f t="shared" ref="AV216:AW216" si="435">(AC216-AC$289)/AC$290</f>
        <v>0.8917952568</v>
      </c>
      <c r="AW216" s="27">
        <f t="shared" si="435"/>
        <v>0.7935538649</v>
      </c>
      <c r="AX216" s="27">
        <f t="shared" si="5"/>
        <v>0.4470525238</v>
      </c>
      <c r="AY216" s="28">
        <f t="shared" si="6"/>
        <v>0.4049882608</v>
      </c>
      <c r="AZ216" s="29">
        <f t="shared" si="7"/>
        <v>0.5499837878</v>
      </c>
      <c r="BA216" s="28">
        <f t="shared" si="8"/>
        <v>0.478935973</v>
      </c>
      <c r="BB216" s="29">
        <f t="shared" si="9"/>
        <v>0.2339737409</v>
      </c>
      <c r="BC216" s="27">
        <f t="shared" si="10"/>
        <v>0.3934242712</v>
      </c>
      <c r="BD216" s="28">
        <f t="shared" si="11"/>
        <v>0.3206492969</v>
      </c>
      <c r="BE216" s="30">
        <f t="shared" ref="BE216:BF216" si="436">((S216-S$289)/S$290)</f>
        <v>-0.7447347636</v>
      </c>
      <c r="BF216" s="30">
        <f t="shared" si="436"/>
        <v>-0.1490198152</v>
      </c>
    </row>
    <row r="217">
      <c r="A217" s="21" t="s">
        <v>88</v>
      </c>
      <c r="B217" s="22">
        <f t="shared" si="3"/>
        <v>0.0429429722</v>
      </c>
      <c r="C217" s="21" t="s">
        <v>68</v>
      </c>
      <c r="D217" s="21" t="s">
        <v>69</v>
      </c>
      <c r="E217" s="23">
        <v>76.0</v>
      </c>
      <c r="F217" s="24" t="s">
        <v>70</v>
      </c>
      <c r="G217" s="21" t="s">
        <v>71</v>
      </c>
      <c r="H217" s="24" t="s">
        <v>72</v>
      </c>
      <c r="I217" s="24" t="s">
        <v>95</v>
      </c>
      <c r="J217" s="24" t="s">
        <v>99</v>
      </c>
      <c r="K217" s="24" t="s">
        <v>101</v>
      </c>
      <c r="L217" s="21" t="s">
        <v>92</v>
      </c>
      <c r="M217" s="24" t="s">
        <v>77</v>
      </c>
      <c r="N217" s="21" t="s">
        <v>78</v>
      </c>
      <c r="O217" s="21" t="s">
        <v>79</v>
      </c>
      <c r="P217" s="21" t="s">
        <v>80</v>
      </c>
      <c r="Q217" s="24" t="s">
        <v>96</v>
      </c>
      <c r="S217" s="25">
        <v>733.403535842895</v>
      </c>
      <c r="T217" s="25">
        <v>172.922109127044</v>
      </c>
      <c r="U217" s="25">
        <v>1.88698303152267</v>
      </c>
      <c r="V217" s="25">
        <v>5.98568939908847</v>
      </c>
      <c r="W217" s="25">
        <v>2.44656685972169</v>
      </c>
      <c r="X217" s="25">
        <v>0.771791986369148</v>
      </c>
      <c r="Y217" s="25">
        <v>0.0658788733664736</v>
      </c>
      <c r="Z217" s="25">
        <v>0.00712629177682728</v>
      </c>
      <c r="AA217" s="25">
        <v>0.0844173665594188</v>
      </c>
      <c r="AB217" s="25">
        <v>0.850176913044896</v>
      </c>
      <c r="AC217" s="25">
        <v>0.0657002712724883</v>
      </c>
      <c r="AD217" s="25">
        <v>0.0841381311485603</v>
      </c>
      <c r="AE217" s="25">
        <v>0.852069858876897</v>
      </c>
      <c r="AF217" s="25">
        <v>0.0884052638521799</v>
      </c>
      <c r="AG217" s="25">
        <v>0.114711485207821</v>
      </c>
      <c r="AH217" s="25">
        <v>0.728564371960764</v>
      </c>
      <c r="AI217" s="25">
        <v>10.0</v>
      </c>
      <c r="AJ217" s="25">
        <v>1.88698303152267</v>
      </c>
      <c r="AK217" s="25">
        <v>5.98568939908847</v>
      </c>
      <c r="AL217" s="25">
        <v>2.44656685972169</v>
      </c>
      <c r="AM217" s="25">
        <v>0.771647155907354</v>
      </c>
      <c r="AN217" s="25">
        <v>1.53209382592373</v>
      </c>
      <c r="AO217" s="25">
        <v>3.8496577627821</v>
      </c>
      <c r="AP217" s="25">
        <v>1.96205447497823</v>
      </c>
      <c r="AQ217" s="25">
        <v>0.852069858876896</v>
      </c>
      <c r="AR217" s="25">
        <v>2.06156163899737</v>
      </c>
      <c r="AS217" s="25">
        <v>7.1556683695385</v>
      </c>
      <c r="AT217" s="25">
        <v>2.67500810644351</v>
      </c>
      <c r="AU217" s="25">
        <v>0.728564371960764</v>
      </c>
      <c r="AV217" s="26">
        <f t="shared" ref="AV217:AW217" si="437">(AC217-AC$289)/AC$290</f>
        <v>0.1704827563</v>
      </c>
      <c r="AW217" s="27">
        <f t="shared" si="437"/>
        <v>0.1860531236</v>
      </c>
      <c r="AX217" s="27">
        <f t="shared" si="5"/>
        <v>0.1048492492</v>
      </c>
      <c r="AY217" s="28">
        <f t="shared" si="6"/>
        <v>0.1227718683</v>
      </c>
      <c r="AZ217" s="29">
        <f t="shared" si="7"/>
        <v>0.114172963</v>
      </c>
      <c r="BA217" s="28">
        <f t="shared" si="8"/>
        <v>0.1259042401</v>
      </c>
      <c r="BB217" s="29">
        <f t="shared" si="9"/>
        <v>0.03329613315</v>
      </c>
      <c r="BC217" s="27">
        <f t="shared" si="10"/>
        <v>0.112408517</v>
      </c>
      <c r="BD217" s="28">
        <f t="shared" si="11"/>
        <v>0.07922071852</v>
      </c>
      <c r="BE217" s="30">
        <f t="shared" ref="BE217:BF217" si="438">((S217-S$289)/S$290)</f>
        <v>-0.6454354997</v>
      </c>
      <c r="BF217" s="30">
        <f t="shared" si="438"/>
        <v>-0.8760967636</v>
      </c>
    </row>
    <row r="218">
      <c r="A218" s="21" t="s">
        <v>67</v>
      </c>
      <c r="B218" s="22">
        <f t="shared" si="3"/>
        <v>-0.192255401</v>
      </c>
      <c r="C218" s="21" t="s">
        <v>68</v>
      </c>
      <c r="D218" s="21" t="s">
        <v>69</v>
      </c>
      <c r="E218" s="23">
        <v>204.0</v>
      </c>
      <c r="F218" s="24" t="s">
        <v>97</v>
      </c>
      <c r="G218" s="21" t="s">
        <v>82</v>
      </c>
      <c r="H218" s="24" t="s">
        <v>98</v>
      </c>
      <c r="I218" s="24" t="s">
        <v>73</v>
      </c>
      <c r="J218" s="24" t="s">
        <v>90</v>
      </c>
      <c r="K218" s="24" t="s">
        <v>101</v>
      </c>
      <c r="L218" s="21" t="s">
        <v>76</v>
      </c>
      <c r="M218" s="24" t="s">
        <v>85</v>
      </c>
      <c r="N218" s="21" t="s">
        <v>78</v>
      </c>
      <c r="O218" s="21" t="s">
        <v>79</v>
      </c>
      <c r="P218" s="21" t="s">
        <v>80</v>
      </c>
      <c r="Q218" s="24" t="s">
        <v>100</v>
      </c>
      <c r="R218" s="24" t="s">
        <v>100</v>
      </c>
      <c r="S218" s="25">
        <v>499.260459661483</v>
      </c>
      <c r="T218" s="25">
        <v>442.099185943603</v>
      </c>
      <c r="U218" s="25">
        <v>2.37242962237735</v>
      </c>
      <c r="V218" s="25">
        <v>8.67373590097001</v>
      </c>
      <c r="W218" s="25">
        <v>2.94512069378659</v>
      </c>
      <c r="X218" s="25">
        <v>0.678662083519383</v>
      </c>
      <c r="Y218" s="25">
        <v>0.092437845940039</v>
      </c>
      <c r="Z218" s="25">
        <v>0.0130188982368552</v>
      </c>
      <c r="AA218" s="25">
        <v>0.114100386663916</v>
      </c>
      <c r="AB218" s="25">
        <v>0.708323528105528</v>
      </c>
      <c r="AC218" s="25">
        <v>0.0921873546497622</v>
      </c>
      <c r="AD218" s="25">
        <v>0.11382650284356</v>
      </c>
      <c r="AE218" s="25">
        <v>0.711085926960952</v>
      </c>
      <c r="AF218" s="25">
        <v>0.0990326297476511</v>
      </c>
      <c r="AG218" s="25">
        <v>0.123032032747807</v>
      </c>
      <c r="AH218" s="25">
        <v>0.664100146359236</v>
      </c>
      <c r="AI218" s="25">
        <v>10.0</v>
      </c>
      <c r="AJ218" s="25">
        <v>2.37242962237721</v>
      </c>
      <c r="AK218" s="25">
        <v>8.67373590097001</v>
      </c>
      <c r="AL218" s="25">
        <v>2.94512069378659</v>
      </c>
      <c r="AM218" s="25">
        <v>0.678638218769734</v>
      </c>
      <c r="AN218" s="25">
        <v>2.25859018891913</v>
      </c>
      <c r="AO218" s="25">
        <v>7.77712276794445</v>
      </c>
      <c r="AP218" s="25">
        <v>2.78874931966723</v>
      </c>
      <c r="AQ218" s="25">
        <v>0.711085926960952</v>
      </c>
      <c r="AR218" s="25">
        <v>2.42629942881744</v>
      </c>
      <c r="AS218" s="25">
        <v>9.08591286950504</v>
      </c>
      <c r="AT218" s="25">
        <v>3.01428480232128</v>
      </c>
      <c r="AU218" s="25">
        <v>0.664100146359236</v>
      </c>
      <c r="AV218" s="26">
        <f t="shared" ref="AV218:AW218" si="439">(AC218-AC$289)/AC$290</f>
        <v>0.714121137</v>
      </c>
      <c r="AW218" s="27">
        <f t="shared" si="439"/>
        <v>0.6657978793</v>
      </c>
      <c r="AX218" s="27">
        <f t="shared" si="5"/>
        <v>0.2593288582</v>
      </c>
      <c r="AY218" s="28">
        <f t="shared" si="6"/>
        <v>0.2356910048</v>
      </c>
      <c r="AZ218" s="29">
        <f t="shared" si="7"/>
        <v>0.3633487908</v>
      </c>
      <c r="BA218" s="28">
        <f t="shared" si="8"/>
        <v>0.3235903028</v>
      </c>
      <c r="BB218" s="29">
        <f t="shared" si="9"/>
        <v>0.1874267752</v>
      </c>
      <c r="BC218" s="27">
        <f t="shared" si="10"/>
        <v>0.209143751</v>
      </c>
      <c r="BD218" s="28">
        <f t="shared" si="11"/>
        <v>0.2008683832</v>
      </c>
      <c r="BE218" s="30">
        <f t="shared" ref="BE218:BF218" si="440">((S218-S$289)/S$290)</f>
        <v>-0.7066922079</v>
      </c>
      <c r="BF218" s="30">
        <f t="shared" si="440"/>
        <v>-0.3378152638</v>
      </c>
    </row>
    <row r="219">
      <c r="A219" s="21" t="s">
        <v>88</v>
      </c>
      <c r="B219" s="22">
        <f t="shared" si="3"/>
        <v>-0.03578531908</v>
      </c>
      <c r="C219" s="21" t="s">
        <v>68</v>
      </c>
      <c r="D219" s="21" t="s">
        <v>69</v>
      </c>
      <c r="E219" s="23">
        <v>19.0</v>
      </c>
      <c r="F219" s="24" t="s">
        <v>70</v>
      </c>
      <c r="G219" s="21" t="s">
        <v>82</v>
      </c>
      <c r="H219" s="24" t="s">
        <v>83</v>
      </c>
      <c r="I219" s="24" t="s">
        <v>95</v>
      </c>
      <c r="J219" s="24" t="s">
        <v>90</v>
      </c>
      <c r="K219" s="24" t="s">
        <v>101</v>
      </c>
      <c r="L219" s="21" t="s">
        <v>92</v>
      </c>
      <c r="M219" s="24" t="s">
        <v>77</v>
      </c>
      <c r="N219" s="21" t="s">
        <v>104</v>
      </c>
      <c r="O219" s="21" t="s">
        <v>91</v>
      </c>
      <c r="P219" s="21" t="s">
        <v>80</v>
      </c>
      <c r="Q219" s="24" t="s">
        <v>94</v>
      </c>
      <c r="S219" s="25">
        <v>685.577373743057</v>
      </c>
      <c r="T219" s="25">
        <v>185.436968326568</v>
      </c>
      <c r="U219" s="25">
        <v>2.08083827385594</v>
      </c>
      <c r="V219" s="25">
        <v>6.81921217366446</v>
      </c>
      <c r="W219" s="25">
        <v>2.61136212993611</v>
      </c>
      <c r="X219" s="25">
        <v>0.739950545885179</v>
      </c>
      <c r="Y219" s="25">
        <v>0.0755928524277634</v>
      </c>
      <c r="Z219" s="25">
        <v>0.00898896299889433</v>
      </c>
      <c r="AA219" s="25">
        <v>0.0948101418567356</v>
      </c>
      <c r="AB219" s="25">
        <v>0.811850969645132</v>
      </c>
      <c r="AC219" s="25">
        <v>0.0755762580450333</v>
      </c>
      <c r="AD219" s="25">
        <v>0.0946942614760342</v>
      </c>
      <c r="AE219" s="25">
        <v>0.813254650678594</v>
      </c>
      <c r="AF219" s="25">
        <v>0.0990271705814006</v>
      </c>
      <c r="AG219" s="25">
        <v>0.12300886892975</v>
      </c>
      <c r="AH219" s="25">
        <v>0.687195723996358</v>
      </c>
      <c r="AI219" s="25">
        <v>10.0</v>
      </c>
      <c r="AJ219" s="25">
        <v>2.08083827385594</v>
      </c>
      <c r="AK219" s="25">
        <v>6.81921217366446</v>
      </c>
      <c r="AL219" s="25">
        <v>2.61136212993611</v>
      </c>
      <c r="AM219" s="25">
        <v>0.739880832777505</v>
      </c>
      <c r="AN219" s="25">
        <v>1.76239635080017</v>
      </c>
      <c r="AO219" s="25">
        <v>4.87622483512326</v>
      </c>
      <c r="AP219" s="25">
        <v>2.20821756969807</v>
      </c>
      <c r="AQ219" s="25">
        <v>0.813254650678594</v>
      </c>
      <c r="AR219" s="25">
        <v>2.3092586028635</v>
      </c>
      <c r="AS219" s="25">
        <v>8.22828355948726</v>
      </c>
      <c r="AT219" s="25">
        <v>2.86849848518127</v>
      </c>
      <c r="AU219" s="25">
        <v>0.687195723996358</v>
      </c>
      <c r="AV219" s="26">
        <f t="shared" ref="AV219:AW219" si="441">(AC219-AC$289)/AC$290</f>
        <v>0.373184027</v>
      </c>
      <c r="AW219" s="27">
        <f t="shared" si="441"/>
        <v>0.3566333163</v>
      </c>
      <c r="AX219" s="27">
        <f t="shared" si="5"/>
        <v>0.2097578471</v>
      </c>
      <c r="AY219" s="28">
        <f t="shared" si="6"/>
        <v>0.1871699444</v>
      </c>
      <c r="AZ219" s="29">
        <f t="shared" si="7"/>
        <v>0.2136772986</v>
      </c>
      <c r="BA219" s="28">
        <f t="shared" si="8"/>
        <v>0.1912486942</v>
      </c>
      <c r="BB219" s="29">
        <f t="shared" si="9"/>
        <v>0.07573084808</v>
      </c>
      <c r="BC219" s="27">
        <f t="shared" si="10"/>
        <v>0.1744864495</v>
      </c>
      <c r="BD219" s="28">
        <f t="shared" si="11"/>
        <v>0.1207683283</v>
      </c>
      <c r="BE219" s="30">
        <f t="shared" ref="BE219:BF219" si="442">((S219-S$289)/S$290)</f>
        <v>-0.6579478204</v>
      </c>
      <c r="BF219" s="30">
        <f t="shared" si="442"/>
        <v>-0.8510704231</v>
      </c>
    </row>
    <row r="220">
      <c r="A220" s="21" t="s">
        <v>67</v>
      </c>
      <c r="B220" s="22">
        <f t="shared" si="3"/>
        <v>-0.01889337618</v>
      </c>
      <c r="C220" s="21" t="s">
        <v>68</v>
      </c>
      <c r="D220" s="21" t="s">
        <v>69</v>
      </c>
      <c r="E220" s="23">
        <v>253.0</v>
      </c>
      <c r="F220" s="24" t="s">
        <v>97</v>
      </c>
      <c r="G220" s="21" t="s">
        <v>71</v>
      </c>
      <c r="H220" s="24" t="s">
        <v>105</v>
      </c>
      <c r="I220" s="24" t="s">
        <v>95</v>
      </c>
      <c r="J220" s="24" t="s">
        <v>99</v>
      </c>
      <c r="K220" s="24" t="s">
        <v>101</v>
      </c>
      <c r="L220" s="21" t="s">
        <v>84</v>
      </c>
      <c r="M220" s="24" t="s">
        <v>77</v>
      </c>
      <c r="N220" s="21" t="s">
        <v>86</v>
      </c>
      <c r="O220" s="21" t="s">
        <v>91</v>
      </c>
      <c r="P220" s="21" t="s">
        <v>80</v>
      </c>
      <c r="Q220" s="24" t="s">
        <v>81</v>
      </c>
      <c r="S220" s="25">
        <v>626.858149528503</v>
      </c>
      <c r="T220" s="25">
        <v>532.972657680511</v>
      </c>
      <c r="U220" s="25">
        <v>1.95015371040637</v>
      </c>
      <c r="V220" s="25">
        <v>6.21459574578067</v>
      </c>
      <c r="W220" s="25">
        <v>2.49290909296361</v>
      </c>
      <c r="X220" s="25">
        <v>0.769801159513169</v>
      </c>
      <c r="Y220" s="25">
        <v>0.0635743110240914</v>
      </c>
      <c r="Z220" s="25">
        <v>0.00640175766305185</v>
      </c>
      <c r="AA220" s="25">
        <v>0.0800109846399346</v>
      </c>
      <c r="AB220" s="25">
        <v>0.856154122161741</v>
      </c>
      <c r="AC220" s="25">
        <v>0.0632236145894039</v>
      </c>
      <c r="AD220" s="25">
        <v>0.0796669476138748</v>
      </c>
      <c r="AE220" s="25">
        <v>0.858181432780869</v>
      </c>
      <c r="AF220" s="25">
        <v>0.0872221605934863</v>
      </c>
      <c r="AG220" s="25">
        <v>0.112006559324679</v>
      </c>
      <c r="AH220" s="25">
        <v>0.722179073676405</v>
      </c>
      <c r="AI220" s="25">
        <v>10.0</v>
      </c>
      <c r="AJ220" s="25">
        <v>1.95015371040634</v>
      </c>
      <c r="AK220" s="25">
        <v>6.21459574578066</v>
      </c>
      <c r="AL220" s="25">
        <v>2.49290909296361</v>
      </c>
      <c r="AM220" s="25">
        <v>0.769727168032636</v>
      </c>
      <c r="AN220" s="25">
        <v>1.54897855744038</v>
      </c>
      <c r="AO220" s="25">
        <v>3.80968023090263</v>
      </c>
      <c r="AP220" s="25">
        <v>1.95184021653992</v>
      </c>
      <c r="AQ220" s="25">
        <v>0.858181432780869</v>
      </c>
      <c r="AR220" s="25">
        <v>2.13694293454037</v>
      </c>
      <c r="AS220" s="25">
        <v>7.53041796638464</v>
      </c>
      <c r="AT220" s="25">
        <v>2.74416070345463</v>
      </c>
      <c r="AU220" s="25">
        <v>0.722179073676405</v>
      </c>
      <c r="AV220" s="26">
        <f t="shared" ref="AV220:AW220" si="443">(AC220-AC$289)/AC$290</f>
        <v>0.11965022</v>
      </c>
      <c r="AW220" s="27">
        <f t="shared" si="443"/>
        <v>0.1138017089</v>
      </c>
      <c r="AX220" s="27">
        <f t="shared" si="5"/>
        <v>0.1367759466</v>
      </c>
      <c r="AY220" s="28">
        <f t="shared" si="6"/>
        <v>0.1457874531</v>
      </c>
      <c r="AZ220" s="29">
        <f t="shared" si="7"/>
        <v>0.146597964</v>
      </c>
      <c r="BA220" s="28">
        <f t="shared" si="8"/>
        <v>0.1442798156</v>
      </c>
      <c r="BB220" s="29">
        <f t="shared" si="9"/>
        <v>0.02661465678</v>
      </c>
      <c r="BC220" s="27">
        <f t="shared" si="10"/>
        <v>0.1219903171</v>
      </c>
      <c r="BD220" s="28">
        <f t="shared" si="11"/>
        <v>0.081731897</v>
      </c>
      <c r="BE220" s="30">
        <f t="shared" ref="BE220:BF220" si="444">((S220-S$289)/S$290)</f>
        <v>-0.6733099931</v>
      </c>
      <c r="BF220" s="30">
        <f t="shared" si="444"/>
        <v>-0.156092848</v>
      </c>
    </row>
    <row r="221">
      <c r="A221" s="21" t="s">
        <v>88</v>
      </c>
      <c r="B221" s="22">
        <f t="shared" si="3"/>
        <v>-0.07817154104</v>
      </c>
      <c r="C221" s="21" t="s">
        <v>68</v>
      </c>
      <c r="D221" s="21" t="s">
        <v>69</v>
      </c>
      <c r="E221" s="23">
        <v>173.0</v>
      </c>
      <c r="F221" s="24" t="s">
        <v>97</v>
      </c>
      <c r="G221" s="21" t="s">
        <v>82</v>
      </c>
      <c r="H221" s="24" t="s">
        <v>98</v>
      </c>
      <c r="I221" s="24" t="s">
        <v>95</v>
      </c>
      <c r="J221" s="24" t="s">
        <v>90</v>
      </c>
      <c r="K221" s="24" t="s">
        <v>101</v>
      </c>
      <c r="L221" s="21" t="s">
        <v>76</v>
      </c>
      <c r="M221" s="24" t="s">
        <v>77</v>
      </c>
      <c r="N221" s="21" t="s">
        <v>104</v>
      </c>
      <c r="O221" s="21" t="s">
        <v>91</v>
      </c>
      <c r="P221" s="21" t="s">
        <v>80</v>
      </c>
      <c r="Q221" s="24" t="s">
        <v>103</v>
      </c>
      <c r="S221" s="25">
        <v>594.05013179779</v>
      </c>
      <c r="T221" s="25">
        <v>532.955483675003</v>
      </c>
      <c r="U221" s="25">
        <v>2.040087225362</v>
      </c>
      <c r="V221" s="25">
        <v>6.6262571886051</v>
      </c>
      <c r="W221" s="25">
        <v>2.57415174156557</v>
      </c>
      <c r="X221" s="25">
        <v>0.754753115034647</v>
      </c>
      <c r="Y221" s="25">
        <v>0.0766325471810321</v>
      </c>
      <c r="Z221" s="25">
        <v>0.00933652578975142</v>
      </c>
      <c r="AA221" s="25">
        <v>0.0966256994269714</v>
      </c>
      <c r="AB221" s="25">
        <v>0.791049558329141</v>
      </c>
      <c r="AC221" s="25">
        <v>0.0763007836418113</v>
      </c>
      <c r="AD221" s="25">
        <v>0.0963454619195893</v>
      </c>
      <c r="AE221" s="25">
        <v>0.793253417056576</v>
      </c>
      <c r="AF221" s="25">
        <v>0.0870295734416839</v>
      </c>
      <c r="AG221" s="25">
        <v>0.109112500312235</v>
      </c>
      <c r="AH221" s="25">
        <v>0.73591965953283</v>
      </c>
      <c r="AI221" s="25">
        <v>10.0</v>
      </c>
      <c r="AJ221" s="25">
        <v>2.04008722536197</v>
      </c>
      <c r="AK221" s="25">
        <v>6.6262571886051</v>
      </c>
      <c r="AL221" s="25">
        <v>2.57415174156557</v>
      </c>
      <c r="AM221" s="25">
        <v>0.754728993651783</v>
      </c>
      <c r="AN221" s="25">
        <v>1.86936919922434</v>
      </c>
      <c r="AO221" s="25">
        <v>5.57178943150756</v>
      </c>
      <c r="AP221" s="25">
        <v>2.36046381702994</v>
      </c>
      <c r="AQ221" s="25">
        <v>0.793253417056576</v>
      </c>
      <c r="AR221" s="25">
        <v>2.13222454932118</v>
      </c>
      <c r="AS221" s="25">
        <v>7.14629901906364</v>
      </c>
      <c r="AT221" s="25">
        <v>2.67325625764976</v>
      </c>
      <c r="AU221" s="25">
        <v>0.73591965953283</v>
      </c>
      <c r="AV221" s="26">
        <f t="shared" ref="AV221:AW221" si="445">(AC221-AC$289)/AC$290</f>
        <v>0.3880546685</v>
      </c>
      <c r="AW221" s="27">
        <f t="shared" si="445"/>
        <v>0.3833156403</v>
      </c>
      <c r="AX221" s="27">
        <f t="shared" si="5"/>
        <v>0.1347775403</v>
      </c>
      <c r="AY221" s="28">
        <f t="shared" si="6"/>
        <v>0.1221888125</v>
      </c>
      <c r="AZ221" s="29">
        <f t="shared" si="7"/>
        <v>0.1927601134</v>
      </c>
      <c r="BA221" s="28">
        <f t="shared" si="8"/>
        <v>0.1764940686</v>
      </c>
      <c r="BB221" s="29">
        <f t="shared" si="9"/>
        <v>0.09759719084</v>
      </c>
      <c r="BC221" s="27">
        <f t="shared" si="10"/>
        <v>0.1013711477</v>
      </c>
      <c r="BD221" s="28">
        <f t="shared" si="11"/>
        <v>0.101348215</v>
      </c>
      <c r="BE221" s="30">
        <f t="shared" ref="BE221:BF221" si="446">((S221-S$289)/S$290)</f>
        <v>-0.6818932543</v>
      </c>
      <c r="BF221" s="30">
        <f t="shared" si="446"/>
        <v>-0.1561271914</v>
      </c>
    </row>
    <row r="222">
      <c r="A222" s="21" t="s">
        <v>67</v>
      </c>
      <c r="B222" s="22">
        <f t="shared" si="3"/>
        <v>-0.07034119653</v>
      </c>
      <c r="C222" s="21" t="s">
        <v>68</v>
      </c>
      <c r="D222" s="21" t="s">
        <v>69</v>
      </c>
      <c r="E222" s="23">
        <v>183.0</v>
      </c>
      <c r="F222" s="24" t="s">
        <v>97</v>
      </c>
      <c r="G222" s="21" t="s">
        <v>82</v>
      </c>
      <c r="H222" s="24" t="s">
        <v>98</v>
      </c>
      <c r="I222" s="24" t="s">
        <v>95</v>
      </c>
      <c r="J222" s="24" t="s">
        <v>74</v>
      </c>
      <c r="K222" s="24" t="s">
        <v>101</v>
      </c>
      <c r="L222" s="21" t="s">
        <v>76</v>
      </c>
      <c r="M222" s="24" t="s">
        <v>77</v>
      </c>
      <c r="N222" s="21" t="s">
        <v>104</v>
      </c>
      <c r="O222" s="21" t="s">
        <v>79</v>
      </c>
      <c r="P222" s="21" t="s">
        <v>80</v>
      </c>
      <c r="Q222" s="24" t="s">
        <v>89</v>
      </c>
      <c r="S222" s="25">
        <v>601.133911132812</v>
      </c>
      <c r="T222" s="25">
        <v>521.290587902069</v>
      </c>
      <c r="U222" s="25">
        <v>2.05789941608395</v>
      </c>
      <c r="V222" s="25">
        <v>6.64242417484026</v>
      </c>
      <c r="W222" s="25">
        <v>2.57729008356456</v>
      </c>
      <c r="X222" s="25">
        <v>0.754161874648565</v>
      </c>
      <c r="Y222" s="25">
        <v>0.0754204848388838</v>
      </c>
      <c r="Z222" s="25">
        <v>0.00857238601077033</v>
      </c>
      <c r="AA222" s="25">
        <v>0.0925871805962916</v>
      </c>
      <c r="AB222" s="25">
        <v>0.808150924288162</v>
      </c>
      <c r="AC222" s="25">
        <v>0.0755672310431571</v>
      </c>
      <c r="AD222" s="25">
        <v>0.0926347396815839</v>
      </c>
      <c r="AE222" s="25">
        <v>0.808872321530177</v>
      </c>
      <c r="AF222" s="25">
        <v>0.0878625888595912</v>
      </c>
      <c r="AG222" s="25">
        <v>0.109606198295734</v>
      </c>
      <c r="AH222" s="25">
        <v>0.733524500679615</v>
      </c>
      <c r="AI222" s="25">
        <v>10.0</v>
      </c>
      <c r="AJ222" s="25">
        <v>2.05789941608387</v>
      </c>
      <c r="AK222" s="25">
        <v>6.64242417484025</v>
      </c>
      <c r="AL222" s="25">
        <v>2.57729008356456</v>
      </c>
      <c r="AM222" s="25">
        <v>0.754130572420816</v>
      </c>
      <c r="AN222" s="25">
        <v>1.85139716055741</v>
      </c>
      <c r="AO222" s="25">
        <v>5.15086229627385</v>
      </c>
      <c r="AP222" s="25">
        <v>2.2695511221988</v>
      </c>
      <c r="AQ222" s="25">
        <v>0.808872321530177</v>
      </c>
      <c r="AR222" s="25">
        <v>2.15263342705998</v>
      </c>
      <c r="AS222" s="25">
        <v>7.21111460258246</v>
      </c>
      <c r="AT222" s="25">
        <v>2.68535185824548</v>
      </c>
      <c r="AU222" s="25">
        <v>0.733524500679615</v>
      </c>
      <c r="AV222" s="26">
        <f t="shared" ref="AV222:AW222" si="447">(AC222-AC$289)/AC$290</f>
        <v>0.3729987508</v>
      </c>
      <c r="AW222" s="27">
        <f t="shared" si="447"/>
        <v>0.3233527851</v>
      </c>
      <c r="AX222" s="27">
        <f t="shared" si="5"/>
        <v>0.1434214361</v>
      </c>
      <c r="AY222" s="28">
        <f t="shared" si="6"/>
        <v>0.1262145083</v>
      </c>
      <c r="AZ222" s="29">
        <f t="shared" si="7"/>
        <v>0.2019029675</v>
      </c>
      <c r="BA222" s="28">
        <f t="shared" si="8"/>
        <v>0.1777384808</v>
      </c>
      <c r="BB222" s="29">
        <f t="shared" si="9"/>
        <v>0.08052182813</v>
      </c>
      <c r="BC222" s="27">
        <f t="shared" si="10"/>
        <v>0.1049653311</v>
      </c>
      <c r="BD222" s="28">
        <f t="shared" si="11"/>
        <v>0.1021308983</v>
      </c>
      <c r="BE222" s="30">
        <f t="shared" ref="BE222:BF222" si="448">((S222-S$289)/S$290)</f>
        <v>-0.68003999</v>
      </c>
      <c r="BF222" s="30">
        <f t="shared" si="448"/>
        <v>-0.1794538344</v>
      </c>
    </row>
    <row r="223">
      <c r="A223" s="21" t="s">
        <v>88</v>
      </c>
      <c r="B223" s="22">
        <f t="shared" si="3"/>
        <v>0.09623103888</v>
      </c>
      <c r="C223" s="21" t="s">
        <v>68</v>
      </c>
      <c r="D223" s="21" t="s">
        <v>69</v>
      </c>
      <c r="E223" s="23">
        <v>170.0</v>
      </c>
      <c r="F223" s="24" t="s">
        <v>97</v>
      </c>
      <c r="G223" s="21" t="s">
        <v>82</v>
      </c>
      <c r="H223" s="24" t="s">
        <v>98</v>
      </c>
      <c r="I223" s="24" t="s">
        <v>95</v>
      </c>
      <c r="J223" s="24" t="s">
        <v>99</v>
      </c>
      <c r="K223" s="24" t="s">
        <v>75</v>
      </c>
      <c r="L223" s="21" t="s">
        <v>92</v>
      </c>
      <c r="M223" s="24" t="s">
        <v>77</v>
      </c>
      <c r="N223" s="21" t="s">
        <v>86</v>
      </c>
      <c r="O223" s="21" t="s">
        <v>91</v>
      </c>
      <c r="P223" s="21" t="s">
        <v>80</v>
      </c>
      <c r="Q223" s="24" t="s">
        <v>96</v>
      </c>
      <c r="S223" s="25">
        <v>738.446197271347</v>
      </c>
      <c r="T223" s="25">
        <v>547.836801052093</v>
      </c>
      <c r="U223" s="25">
        <v>1.52595891127185</v>
      </c>
      <c r="V223" s="25">
        <v>3.96020246759544</v>
      </c>
      <c r="W223" s="25">
        <v>1.99002574546045</v>
      </c>
      <c r="X223" s="25">
        <v>0.85343997753874</v>
      </c>
      <c r="Y223" s="25">
        <v>0.0608004236822276</v>
      </c>
      <c r="Z223" s="25">
        <v>0.00542201809547102</v>
      </c>
      <c r="AA223" s="25">
        <v>0.0736343540439585</v>
      </c>
      <c r="AB223" s="25">
        <v>0.878655818951449</v>
      </c>
      <c r="AC223" s="25">
        <v>0.0608459869088471</v>
      </c>
      <c r="AD223" s="25">
        <v>0.0736088671104685</v>
      </c>
      <c r="AE223" s="25">
        <v>0.879319783325705</v>
      </c>
      <c r="AF223" s="25">
        <v>0.0646156550856014</v>
      </c>
      <c r="AG223" s="25">
        <v>0.0851677408902555</v>
      </c>
      <c r="AH223" s="25">
        <v>0.839106940250062</v>
      </c>
      <c r="AI223" s="25">
        <v>10.0</v>
      </c>
      <c r="AJ223" s="25">
        <v>1.52595891127186</v>
      </c>
      <c r="AK223" s="25">
        <v>3.96020246759544</v>
      </c>
      <c r="AL223" s="25">
        <v>1.99002574546045</v>
      </c>
      <c r="AM223" s="25">
        <v>0.853413047981269</v>
      </c>
      <c r="AN223" s="25">
        <v>1.49072667926681</v>
      </c>
      <c r="AO223" s="25">
        <v>3.25231375670128</v>
      </c>
      <c r="AP223" s="25">
        <v>1.80341724420647</v>
      </c>
      <c r="AQ223" s="25">
        <v>0.879319783325705</v>
      </c>
      <c r="AR223" s="25">
        <v>1.58308354959717</v>
      </c>
      <c r="AS223" s="25">
        <v>4.35393983903192</v>
      </c>
      <c r="AT223" s="25">
        <v>2.08660965181126</v>
      </c>
      <c r="AU223" s="25">
        <v>0.839106940250062</v>
      </c>
      <c r="AV223" s="26">
        <f t="shared" ref="AV223:AW223" si="449">(AC223-AC$289)/AC$290</f>
        <v>0.07085022021</v>
      </c>
      <c r="AW223" s="27">
        <f t="shared" si="449"/>
        <v>0.01590707258</v>
      </c>
      <c r="AX223" s="27">
        <f t="shared" si="5"/>
        <v>-0.09780347888</v>
      </c>
      <c r="AY223" s="28">
        <f t="shared" si="6"/>
        <v>-0.07306075503</v>
      </c>
      <c r="AZ223" s="29">
        <f t="shared" si="7"/>
        <v>-0.07113781205</v>
      </c>
      <c r="BA223" s="28">
        <f t="shared" si="8"/>
        <v>-0.0551229815</v>
      </c>
      <c r="BB223" s="29">
        <f t="shared" si="9"/>
        <v>0.003505161279</v>
      </c>
      <c r="BC223" s="27">
        <f t="shared" si="10"/>
        <v>-0.05347203332</v>
      </c>
      <c r="BD223" s="28">
        <f t="shared" si="11"/>
        <v>-0.02772201331</v>
      </c>
      <c r="BE223" s="30">
        <f t="shared" ref="BE223:BF223" si="450">((S223-S$289)/S$290)</f>
        <v>-0.6441162344</v>
      </c>
      <c r="BF223" s="30">
        <f t="shared" si="450"/>
        <v>-0.1263685732</v>
      </c>
    </row>
    <row r="224">
      <c r="A224" s="21" t="s">
        <v>88</v>
      </c>
      <c r="B224" s="22">
        <f t="shared" si="3"/>
        <v>-0.605164163</v>
      </c>
      <c r="C224" s="21" t="s">
        <v>68</v>
      </c>
      <c r="D224" s="21" t="s">
        <v>69</v>
      </c>
      <c r="E224" s="23">
        <v>245.0</v>
      </c>
      <c r="F224" s="24" t="s">
        <v>97</v>
      </c>
      <c r="G224" s="21" t="s">
        <v>71</v>
      </c>
      <c r="H224" s="24" t="s">
        <v>105</v>
      </c>
      <c r="I224" s="24" t="s">
        <v>73</v>
      </c>
      <c r="J224" s="24" t="s">
        <v>74</v>
      </c>
      <c r="K224" s="24" t="s">
        <v>75</v>
      </c>
      <c r="L224" s="21" t="s">
        <v>76</v>
      </c>
      <c r="M224" s="24" t="s">
        <v>85</v>
      </c>
      <c r="N224" s="21" t="s">
        <v>104</v>
      </c>
      <c r="O224" s="21" t="s">
        <v>79</v>
      </c>
      <c r="P224" s="21" t="s">
        <v>80</v>
      </c>
      <c r="Q224" s="24" t="s">
        <v>100</v>
      </c>
      <c r="R224" s="24" t="s">
        <v>81</v>
      </c>
      <c r="S224" s="25">
        <v>177.076304197311</v>
      </c>
      <c r="T224" s="25">
        <v>559.019572019577</v>
      </c>
      <c r="U224" s="25">
        <v>3.07342345699383</v>
      </c>
      <c r="V224" s="25">
        <v>14.0280038910068</v>
      </c>
      <c r="W224" s="25">
        <v>3.74539769463896</v>
      </c>
      <c r="X224" s="25">
        <v>0.479793589785409</v>
      </c>
      <c r="Y224" s="25">
        <v>0.13917025662765</v>
      </c>
      <c r="Z224" s="25">
        <v>0.0265252149437431</v>
      </c>
      <c r="AA224" s="25">
        <v>0.162865634630953</v>
      </c>
      <c r="AB224" s="25">
        <v>0.40340010121437</v>
      </c>
      <c r="AC224" s="25">
        <v>0.139726814078784</v>
      </c>
      <c r="AD224" s="25">
        <v>0.163213667185488</v>
      </c>
      <c r="AE224" s="25">
        <v>0.40410284462268</v>
      </c>
      <c r="AF224" s="25">
        <v>0.142558764711902</v>
      </c>
      <c r="AG224" s="25">
        <v>0.172716661284692</v>
      </c>
      <c r="AH224" s="25">
        <v>0.338211721128297</v>
      </c>
      <c r="AI224" s="25">
        <v>10.0</v>
      </c>
      <c r="AJ224" s="25">
        <v>3.07342345699368</v>
      </c>
      <c r="AK224" s="25">
        <v>14.0280038910068</v>
      </c>
      <c r="AL224" s="25">
        <v>3.74539769463896</v>
      </c>
      <c r="AM224" s="25">
        <v>0.479762616705601</v>
      </c>
      <c r="AN224" s="25">
        <v>3.42330694493005</v>
      </c>
      <c r="AO224" s="25">
        <v>15.9898803689703</v>
      </c>
      <c r="AP224" s="25">
        <v>3.99873484604447</v>
      </c>
      <c r="AQ224" s="25">
        <v>0.40410284462268</v>
      </c>
      <c r="AR224" s="25">
        <v>3.4926897354414</v>
      </c>
      <c r="AS224" s="25">
        <v>17.90608481247</v>
      </c>
      <c r="AT224" s="25">
        <v>4.23155820147496</v>
      </c>
      <c r="AU224" s="25">
        <v>0.338211721128297</v>
      </c>
      <c r="AV224" s="26">
        <f t="shared" ref="AV224:AW224" si="451">(AC224-AC$289)/AC$290</f>
        <v>1.689852378</v>
      </c>
      <c r="AW224" s="27">
        <f t="shared" si="451"/>
        <v>1.463862298</v>
      </c>
      <c r="AX224" s="27">
        <f t="shared" si="5"/>
        <v>0.7109836145</v>
      </c>
      <c r="AY224" s="28">
        <f t="shared" si="6"/>
        <v>0.6408277641</v>
      </c>
      <c r="AZ224" s="29">
        <f t="shared" si="7"/>
        <v>0.7231632839</v>
      </c>
      <c r="BA224" s="28">
        <f t="shared" si="8"/>
        <v>0.640915331</v>
      </c>
      <c r="BB224" s="29">
        <f t="shared" si="9"/>
        <v>0.5230359395</v>
      </c>
      <c r="BC224" s="27">
        <f t="shared" si="10"/>
        <v>0.6981730196</v>
      </c>
      <c r="BD224" s="28">
        <f t="shared" si="11"/>
        <v>0.4609805111</v>
      </c>
      <c r="BE224" s="30">
        <f t="shared" ref="BE224:BF224" si="452">((S224-S$289)/S$290)</f>
        <v>-0.7909822972</v>
      </c>
      <c r="BF224" s="30">
        <f t="shared" si="452"/>
        <v>-0.1040060497</v>
      </c>
    </row>
    <row r="225">
      <c r="A225" s="21" t="s">
        <v>88</v>
      </c>
      <c r="B225" s="22">
        <f t="shared" si="3"/>
        <v>-0.2710823048</v>
      </c>
      <c r="C225" s="21" t="s">
        <v>68</v>
      </c>
      <c r="D225" s="21" t="s">
        <v>69</v>
      </c>
      <c r="E225" s="23">
        <v>233.0</v>
      </c>
      <c r="F225" s="24" t="s">
        <v>97</v>
      </c>
      <c r="G225" s="21" t="s">
        <v>71</v>
      </c>
      <c r="H225" s="24" t="s">
        <v>105</v>
      </c>
      <c r="I225" s="24" t="s">
        <v>73</v>
      </c>
      <c r="J225" s="24" t="s">
        <v>74</v>
      </c>
      <c r="K225" s="24" t="s">
        <v>101</v>
      </c>
      <c r="L225" s="21" t="s">
        <v>76</v>
      </c>
      <c r="M225" s="24" t="s">
        <v>85</v>
      </c>
      <c r="N225" s="21" t="s">
        <v>104</v>
      </c>
      <c r="O225" s="21" t="s">
        <v>91</v>
      </c>
      <c r="P225" s="21" t="s">
        <v>80</v>
      </c>
      <c r="Q225" s="24" t="s">
        <v>81</v>
      </c>
      <c r="R225" s="24" t="s">
        <v>89</v>
      </c>
      <c r="S225" s="25">
        <v>464.248865127563</v>
      </c>
      <c r="T225" s="25">
        <v>443.848264932632</v>
      </c>
      <c r="U225" s="25">
        <v>2.51935922603453</v>
      </c>
      <c r="V225" s="25">
        <v>10.8164591675954</v>
      </c>
      <c r="W225" s="25">
        <v>3.28883857426834</v>
      </c>
      <c r="X225" s="25">
        <v>0.598925262111322</v>
      </c>
      <c r="Y225" s="25">
        <v>0.0960056899744188</v>
      </c>
      <c r="Z225" s="25">
        <v>0.0153782358418838</v>
      </c>
      <c r="AA225" s="25">
        <v>0.124009015163752</v>
      </c>
      <c r="AB225" s="25">
        <v>0.654115754906121</v>
      </c>
      <c r="AC225" s="25">
        <v>0.0961664979421211</v>
      </c>
      <c r="AD225" s="25">
        <v>0.123902476102149</v>
      </c>
      <c r="AE225" s="25">
        <v>0.656585809117116</v>
      </c>
      <c r="AF225" s="25">
        <v>0.103615957220602</v>
      </c>
      <c r="AG225" s="25">
        <v>0.135281537929084</v>
      </c>
      <c r="AH225" s="25">
        <v>0.593998473773574</v>
      </c>
      <c r="AI225" s="25">
        <v>10.0</v>
      </c>
      <c r="AJ225" s="25">
        <v>2.5193592260344</v>
      </c>
      <c r="AK225" s="25">
        <v>10.8164591675954</v>
      </c>
      <c r="AL225" s="25">
        <v>3.28883857426834</v>
      </c>
      <c r="AM225" s="25">
        <v>0.598864780935223</v>
      </c>
      <c r="AN225" s="25">
        <v>2.35607919958187</v>
      </c>
      <c r="AO225" s="25">
        <v>9.21493210644222</v>
      </c>
      <c r="AP225" s="25">
        <v>3.03561066450265</v>
      </c>
      <c r="AQ225" s="25">
        <v>0.656585809117116</v>
      </c>
      <c r="AR225" s="25">
        <v>2.53859095190464</v>
      </c>
      <c r="AS225" s="25">
        <v>10.985231976301</v>
      </c>
      <c r="AT225" s="25">
        <v>3.31439767926256</v>
      </c>
      <c r="AU225" s="25">
        <v>0.593998473773574</v>
      </c>
      <c r="AV225" s="26">
        <f t="shared" ref="AV225:AW225" si="453">(AC225-AC$289)/AC$290</f>
        <v>0.7957917001</v>
      </c>
      <c r="AW225" s="27">
        <f t="shared" si="453"/>
        <v>0.8286190465</v>
      </c>
      <c r="AX225" s="27">
        <f t="shared" si="5"/>
        <v>0.3068883682</v>
      </c>
      <c r="AY225" s="28">
        <f t="shared" si="6"/>
        <v>0.3355755159</v>
      </c>
      <c r="AZ225" s="29">
        <f t="shared" si="7"/>
        <v>0.4387665737</v>
      </c>
      <c r="BA225" s="28">
        <f t="shared" si="8"/>
        <v>0.4598809697</v>
      </c>
      <c r="BB225" s="29">
        <f t="shared" si="9"/>
        <v>0.247009013</v>
      </c>
      <c r="BC225" s="27">
        <f t="shared" si="10"/>
        <v>0.314338557</v>
      </c>
      <c r="BD225" s="28">
        <f t="shared" si="11"/>
        <v>0.3052051568</v>
      </c>
      <c r="BE225" s="30">
        <f t="shared" ref="BE225:BF225" si="454">((S225-S$289)/S$290)</f>
        <v>-0.7158519707</v>
      </c>
      <c r="BF225" s="30">
        <f t="shared" si="454"/>
        <v>-0.3343175779</v>
      </c>
    </row>
    <row r="226">
      <c r="A226" s="21" t="s">
        <v>88</v>
      </c>
      <c r="B226" s="22">
        <f t="shared" si="3"/>
        <v>0.1683217841</v>
      </c>
      <c r="C226" s="21" t="s">
        <v>68</v>
      </c>
      <c r="D226" s="21" t="s">
        <v>69</v>
      </c>
      <c r="E226" s="23">
        <v>24.0</v>
      </c>
      <c r="F226" s="24" t="s">
        <v>70</v>
      </c>
      <c r="G226" s="21" t="s">
        <v>82</v>
      </c>
      <c r="H226" s="24" t="s">
        <v>83</v>
      </c>
      <c r="I226" s="24" t="s">
        <v>95</v>
      </c>
      <c r="J226" s="24" t="s">
        <v>99</v>
      </c>
      <c r="K226" s="24" t="s">
        <v>101</v>
      </c>
      <c r="L226" s="21" t="s">
        <v>92</v>
      </c>
      <c r="M226" s="24" t="s">
        <v>77</v>
      </c>
      <c r="N226" s="21" t="s">
        <v>78</v>
      </c>
      <c r="O226" s="21" t="s">
        <v>102</v>
      </c>
      <c r="P226" s="21" t="s">
        <v>80</v>
      </c>
      <c r="Q226" s="24" t="s">
        <v>94</v>
      </c>
      <c r="S226" s="25">
        <v>880.914694547653</v>
      </c>
      <c r="T226" s="25">
        <v>188.652632713317</v>
      </c>
      <c r="U226" s="25">
        <v>1.56017008059119</v>
      </c>
      <c r="V226" s="25">
        <v>4.12263530329145</v>
      </c>
      <c r="W226" s="25">
        <v>2.0304273696174</v>
      </c>
      <c r="X226" s="25">
        <v>0.842800428194404</v>
      </c>
      <c r="Y226" s="25">
        <v>0.0511303600542312</v>
      </c>
      <c r="Z226" s="25">
        <v>0.00417226410794068</v>
      </c>
      <c r="AA226" s="25">
        <v>0.0645930654787391</v>
      </c>
      <c r="AB226" s="25">
        <v>0.912669854532718</v>
      </c>
      <c r="AC226" s="25">
        <v>0.0513006733476097</v>
      </c>
      <c r="AD226" s="25">
        <v>0.0646978350838062</v>
      </c>
      <c r="AE226" s="25">
        <v>0.912827004551792</v>
      </c>
      <c r="AF226" s="25">
        <v>0.0765353270463293</v>
      </c>
      <c r="AG226" s="25">
        <v>0.0986464984427508</v>
      </c>
      <c r="AH226" s="25">
        <v>0.798830017036305</v>
      </c>
      <c r="AI226" s="25">
        <v>10.0</v>
      </c>
      <c r="AJ226" s="25">
        <v>1.56017008059119</v>
      </c>
      <c r="AK226" s="25">
        <v>4.12263530329145</v>
      </c>
      <c r="AL226" s="25">
        <v>2.0304273696174</v>
      </c>
      <c r="AM226" s="25">
        <v>0.842741883586537</v>
      </c>
      <c r="AN226" s="25">
        <v>1.19630320209218</v>
      </c>
      <c r="AO226" s="25">
        <v>2.27622870878056</v>
      </c>
      <c r="AP226" s="25">
        <v>1.50871757091264</v>
      </c>
      <c r="AQ226" s="25">
        <v>0.912827004551792</v>
      </c>
      <c r="AR226" s="25">
        <v>1.78476130709428</v>
      </c>
      <c r="AS226" s="25">
        <v>5.29175522991646</v>
      </c>
      <c r="AT226" s="25">
        <v>2.3003815400747</v>
      </c>
      <c r="AU226" s="25">
        <v>0.798830017036305</v>
      </c>
      <c r="AV226" s="26">
        <f t="shared" ref="AV226:AW226" si="455">(AC226-AC$289)/AC$290</f>
        <v>-0.1250640952</v>
      </c>
      <c r="AW226" s="27">
        <f t="shared" si="455"/>
        <v>-0.1280894028</v>
      </c>
      <c r="AX226" s="27">
        <f t="shared" si="5"/>
        <v>-0.01238567469</v>
      </c>
      <c r="AY226" s="28">
        <f t="shared" si="6"/>
        <v>-0.001912523165</v>
      </c>
      <c r="AZ226" s="29">
        <f t="shared" si="7"/>
        <v>-0.05357749421</v>
      </c>
      <c r="BA226" s="28">
        <f t="shared" si="8"/>
        <v>-0.03910297029</v>
      </c>
      <c r="BB226" s="29">
        <f t="shared" si="9"/>
        <v>-0.03312659845</v>
      </c>
      <c r="BC226" s="27">
        <f t="shared" si="10"/>
        <v>0.006967653315</v>
      </c>
      <c r="BD226" s="28">
        <f t="shared" si="11"/>
        <v>-0.01376505102</v>
      </c>
      <c r="BE226" s="30">
        <f t="shared" ref="BE226:BF226" si="456">((S226-S$289)/S$290)</f>
        <v>-0.6068435065</v>
      </c>
      <c r="BF226" s="30">
        <f t="shared" si="456"/>
        <v>-0.8446399623</v>
      </c>
    </row>
    <row r="227">
      <c r="A227" s="21" t="s">
        <v>88</v>
      </c>
      <c r="B227" s="22">
        <f t="shared" si="3"/>
        <v>0.02328813847</v>
      </c>
      <c r="C227" s="21" t="s">
        <v>68</v>
      </c>
      <c r="D227" s="21" t="s">
        <v>69</v>
      </c>
      <c r="E227" s="23">
        <v>151.0</v>
      </c>
      <c r="F227" s="24" t="s">
        <v>97</v>
      </c>
      <c r="G227" s="21" t="s">
        <v>82</v>
      </c>
      <c r="H227" s="24" t="s">
        <v>98</v>
      </c>
      <c r="I227" s="24" t="s">
        <v>95</v>
      </c>
      <c r="J227" s="24" t="s">
        <v>74</v>
      </c>
      <c r="K227" s="24" t="s">
        <v>101</v>
      </c>
      <c r="L227" s="21" t="s">
        <v>76</v>
      </c>
      <c r="M227" s="24" t="s">
        <v>85</v>
      </c>
      <c r="N227" s="21" t="s">
        <v>78</v>
      </c>
      <c r="O227" s="21" t="s">
        <v>79</v>
      </c>
      <c r="P227" s="21" t="s">
        <v>80</v>
      </c>
      <c r="Q227" s="24" t="s">
        <v>103</v>
      </c>
      <c r="R227" s="24" t="s">
        <v>81</v>
      </c>
      <c r="S227" s="25">
        <v>717.273676395416</v>
      </c>
      <c r="T227" s="25">
        <v>468.176364183425</v>
      </c>
      <c r="U227" s="25">
        <v>1.82510894454322</v>
      </c>
      <c r="V227" s="25">
        <v>5.40089173792601</v>
      </c>
      <c r="W227" s="25">
        <v>2.32398187125588</v>
      </c>
      <c r="X227" s="25">
        <v>0.800115440455524</v>
      </c>
      <c r="Y227" s="25">
        <v>0.0629559923703267</v>
      </c>
      <c r="Z227" s="25">
        <v>0.00635606851481099</v>
      </c>
      <c r="AA227" s="25">
        <v>0.0797249554080213</v>
      </c>
      <c r="AB227" s="25">
        <v>0.857751871159844</v>
      </c>
      <c r="AC227" s="25">
        <v>0.0627791522183933</v>
      </c>
      <c r="AD227" s="25">
        <v>0.0795313329464116</v>
      </c>
      <c r="AE227" s="25">
        <v>0.859119028945712</v>
      </c>
      <c r="AF227" s="25">
        <v>0.08229159320014</v>
      </c>
      <c r="AG227" s="25">
        <v>0.103898569247405</v>
      </c>
      <c r="AH227" s="25">
        <v>0.760554769980115</v>
      </c>
      <c r="AI227" s="25">
        <v>10.0</v>
      </c>
      <c r="AJ227" s="25">
        <v>1.82510894454319</v>
      </c>
      <c r="AK227" s="25">
        <v>5.40089173792601</v>
      </c>
      <c r="AL227" s="25">
        <v>2.32398187125588</v>
      </c>
      <c r="AM227" s="25">
        <v>0.800085913656222</v>
      </c>
      <c r="AN227" s="25">
        <v>1.53808922935062</v>
      </c>
      <c r="AO227" s="25">
        <v>3.79672106036986</v>
      </c>
      <c r="AP227" s="25">
        <v>1.94851765718708</v>
      </c>
      <c r="AQ227" s="25">
        <v>0.859119028945712</v>
      </c>
      <c r="AR227" s="25">
        <v>2.01614403340345</v>
      </c>
      <c r="AS227" s="25">
        <v>6.47964634316765</v>
      </c>
      <c r="AT227" s="25">
        <v>2.54551494656143</v>
      </c>
      <c r="AU227" s="25">
        <v>0.760554769980115</v>
      </c>
      <c r="AV227" s="26">
        <f t="shared" ref="AV227:AW227" si="457">(AC227-AC$289)/AC$290</f>
        <v>0.1105277809</v>
      </c>
      <c r="AW227" s="27">
        <f t="shared" si="457"/>
        <v>0.1116102642</v>
      </c>
      <c r="AX227" s="27">
        <f t="shared" si="5"/>
        <v>0.08561325517</v>
      </c>
      <c r="AY227" s="28">
        <f t="shared" si="6"/>
        <v>0.07967354778</v>
      </c>
      <c r="AZ227" s="29">
        <f t="shared" si="7"/>
        <v>0.08241349219</v>
      </c>
      <c r="BA227" s="28">
        <f t="shared" si="8"/>
        <v>0.07729696423</v>
      </c>
      <c r="BB227" s="29">
        <f t="shared" si="9"/>
        <v>0.02558963005</v>
      </c>
      <c r="BC227" s="27">
        <f t="shared" si="10"/>
        <v>0.06440361797</v>
      </c>
      <c r="BD227" s="28">
        <f t="shared" si="11"/>
        <v>0.04202527716</v>
      </c>
      <c r="BE227" s="30">
        <f t="shared" ref="BE227:BF227" si="458">((S227-S$289)/S$290)</f>
        <v>-0.6496554071</v>
      </c>
      <c r="BF227" s="30">
        <f t="shared" si="458"/>
        <v>-0.2856679458</v>
      </c>
    </row>
    <row r="228">
      <c r="A228" s="21" t="s">
        <v>88</v>
      </c>
      <c r="B228" s="22">
        <f t="shared" si="3"/>
        <v>0.02692203334</v>
      </c>
      <c r="C228" s="21" t="s">
        <v>68</v>
      </c>
      <c r="D228" s="21" t="s">
        <v>69</v>
      </c>
      <c r="E228" s="23">
        <v>169.0</v>
      </c>
      <c r="F228" s="24" t="s">
        <v>97</v>
      </c>
      <c r="G228" s="21" t="s">
        <v>82</v>
      </c>
      <c r="H228" s="24" t="s">
        <v>98</v>
      </c>
      <c r="I228" s="24" t="s">
        <v>95</v>
      </c>
      <c r="J228" s="24" t="s">
        <v>74</v>
      </c>
      <c r="K228" s="24" t="s">
        <v>101</v>
      </c>
      <c r="L228" s="21" t="s">
        <v>84</v>
      </c>
      <c r="M228" s="24" t="s">
        <v>77</v>
      </c>
      <c r="N228" s="21" t="s">
        <v>86</v>
      </c>
      <c r="O228" s="21" t="s">
        <v>91</v>
      </c>
      <c r="P228" s="21" t="s">
        <v>80</v>
      </c>
      <c r="Q228" s="24" t="s">
        <v>87</v>
      </c>
      <c r="S228" s="25">
        <v>716.888551235199</v>
      </c>
      <c r="T228" s="25">
        <v>536.453466176986</v>
      </c>
      <c r="U228" s="25">
        <v>1.74252915531583</v>
      </c>
      <c r="V228" s="25">
        <v>5.00086902882412</v>
      </c>
      <c r="W228" s="25">
        <v>2.23626228980952</v>
      </c>
      <c r="X228" s="25">
        <v>0.814924372494596</v>
      </c>
      <c r="Y228" s="25">
        <v>0.0640130920555291</v>
      </c>
      <c r="Z228" s="25">
        <v>0.00663873543611846</v>
      </c>
      <c r="AA228" s="25">
        <v>0.08147843540544</v>
      </c>
      <c r="AB228" s="25">
        <v>0.851425815902998</v>
      </c>
      <c r="AC228" s="25">
        <v>0.0637887118679265</v>
      </c>
      <c r="AD228" s="25">
        <v>0.0812601774817856</v>
      </c>
      <c r="AE228" s="25">
        <v>0.852927543302168</v>
      </c>
      <c r="AF228" s="25">
        <v>0.0772424019194267</v>
      </c>
      <c r="AG228" s="25">
        <v>0.0983290196614146</v>
      </c>
      <c r="AH228" s="25">
        <v>0.785537939483598</v>
      </c>
      <c r="AI228" s="25">
        <v>10.0</v>
      </c>
      <c r="AJ228" s="25">
        <v>1.74252915531581</v>
      </c>
      <c r="AK228" s="25">
        <v>5.00086902882412</v>
      </c>
      <c r="AL228" s="25">
        <v>2.23626228980952</v>
      </c>
      <c r="AM228" s="25">
        <v>0.814892760059993</v>
      </c>
      <c r="AN228" s="25">
        <v>1.56282344076418</v>
      </c>
      <c r="AO228" s="25">
        <v>3.96358067073387</v>
      </c>
      <c r="AP228" s="25">
        <v>1.99087434830374</v>
      </c>
      <c r="AQ228" s="25">
        <v>0.852927543302168</v>
      </c>
      <c r="AR228" s="25">
        <v>1.89243884702597</v>
      </c>
      <c r="AS228" s="25">
        <v>5.80357481357177</v>
      </c>
      <c r="AT228" s="25">
        <v>2.40906098170465</v>
      </c>
      <c r="AU228" s="25">
        <v>0.785537939483598</v>
      </c>
      <c r="AV228" s="26">
        <f t="shared" ref="AV228:AW228" si="459">(AC228-AC$289)/AC$290</f>
        <v>0.1312486495</v>
      </c>
      <c r="AW228" s="27">
        <f t="shared" si="459"/>
        <v>0.1395472662</v>
      </c>
      <c r="AX228" s="27">
        <f t="shared" si="5"/>
        <v>0.03321964707</v>
      </c>
      <c r="AY228" s="28">
        <f t="shared" si="6"/>
        <v>0.03425851024</v>
      </c>
      <c r="AZ228" s="29">
        <f t="shared" si="7"/>
        <v>0.04002595106</v>
      </c>
      <c r="BA228" s="28">
        <f t="shared" si="8"/>
        <v>0.04251448439</v>
      </c>
      <c r="BB228" s="29">
        <f t="shared" si="9"/>
        <v>0.03235846991</v>
      </c>
      <c r="BC228" s="27">
        <f t="shared" si="10"/>
        <v>0.02691378966</v>
      </c>
      <c r="BD228" s="28">
        <f t="shared" si="11"/>
        <v>0.02265919964</v>
      </c>
      <c r="BE228" s="30">
        <f t="shared" ref="BE228:BF228" si="460">((S228-S$289)/S$290)</f>
        <v>-0.6497561638</v>
      </c>
      <c r="BF228" s="30">
        <f t="shared" si="460"/>
        <v>-0.1491321705</v>
      </c>
    </row>
    <row r="229">
      <c r="A229" s="21" t="s">
        <v>88</v>
      </c>
      <c r="B229" s="22">
        <f t="shared" si="3"/>
        <v>-0.09472709392</v>
      </c>
      <c r="C229" s="21" t="s">
        <v>68</v>
      </c>
      <c r="D229" s="21" t="s">
        <v>69</v>
      </c>
      <c r="E229" s="23">
        <v>179.0</v>
      </c>
      <c r="F229" s="24" t="s">
        <v>97</v>
      </c>
      <c r="G229" s="21" t="s">
        <v>82</v>
      </c>
      <c r="H229" s="24" t="s">
        <v>98</v>
      </c>
      <c r="I229" s="24" t="s">
        <v>95</v>
      </c>
      <c r="J229" s="24" t="s">
        <v>90</v>
      </c>
      <c r="K229" s="24" t="s">
        <v>75</v>
      </c>
      <c r="L229" s="21" t="s">
        <v>84</v>
      </c>
      <c r="M229" s="24" t="s">
        <v>85</v>
      </c>
      <c r="N229" s="21" t="s">
        <v>86</v>
      </c>
      <c r="O229" s="21" t="s">
        <v>91</v>
      </c>
      <c r="P229" s="21" t="s">
        <v>80</v>
      </c>
      <c r="Q229" s="24" t="s">
        <v>103</v>
      </c>
      <c r="R229" s="24" t="s">
        <v>87</v>
      </c>
      <c r="S229" s="25">
        <v>606.153799772262</v>
      </c>
      <c r="T229" s="25">
        <v>570.876325130462</v>
      </c>
      <c r="U229" s="25">
        <v>2.04631879507727</v>
      </c>
      <c r="V229" s="25">
        <v>6.50179302384493</v>
      </c>
      <c r="W229" s="25">
        <v>2.54986137345639</v>
      </c>
      <c r="X229" s="25">
        <v>0.759358696111874</v>
      </c>
      <c r="Y229" s="25">
        <v>0.0734791498815398</v>
      </c>
      <c r="Z229" s="25">
        <v>0.00850345121574895</v>
      </c>
      <c r="AA229" s="25">
        <v>0.0922141595187472</v>
      </c>
      <c r="AB229" s="25">
        <v>0.809693677576758</v>
      </c>
      <c r="AC229" s="25">
        <v>0.0731951937573838</v>
      </c>
      <c r="AD229" s="25">
        <v>0.0919597284554937</v>
      </c>
      <c r="AE229" s="25">
        <v>0.811647593130921</v>
      </c>
      <c r="AF229" s="25">
        <v>0.0971331054018422</v>
      </c>
      <c r="AG229" s="25">
        <v>0.119605983318051</v>
      </c>
      <c r="AH229" s="25">
        <v>0.682683344999073</v>
      </c>
      <c r="AI229" s="25">
        <v>10.0</v>
      </c>
      <c r="AJ229" s="25">
        <v>2.0463187950772</v>
      </c>
      <c r="AK229" s="25">
        <v>6.50179302384493</v>
      </c>
      <c r="AL229" s="25">
        <v>2.54986137345639</v>
      </c>
      <c r="AM229" s="25">
        <v>0.759336036523212</v>
      </c>
      <c r="AN229" s="25">
        <v>1.79328224705591</v>
      </c>
      <c r="AO229" s="25">
        <v>5.07606914247929</v>
      </c>
      <c r="AP229" s="25">
        <v>2.25301334715959</v>
      </c>
      <c r="AQ229" s="25">
        <v>0.811647593130921</v>
      </c>
      <c r="AR229" s="25">
        <v>2.37976108234513</v>
      </c>
      <c r="AS229" s="25">
        <v>8.5869311450982</v>
      </c>
      <c r="AT229" s="25">
        <v>2.93034659129226</v>
      </c>
      <c r="AU229" s="25">
        <v>0.682683344999073</v>
      </c>
      <c r="AV229" s="26">
        <f t="shared" ref="AV229:AW229" si="461">(AC229-AC$289)/AC$290</f>
        <v>0.324313492</v>
      </c>
      <c r="AW229" s="27">
        <f t="shared" si="461"/>
        <v>0.3124450432</v>
      </c>
      <c r="AX229" s="27">
        <f t="shared" si="5"/>
        <v>0.2396181899</v>
      </c>
      <c r="AY229" s="28">
        <f t="shared" si="6"/>
        <v>0.2077544255</v>
      </c>
      <c r="AZ229" s="29">
        <f t="shared" si="7"/>
        <v>0.195958728</v>
      </c>
      <c r="BA229" s="28">
        <f t="shared" si="8"/>
        <v>0.1668624763</v>
      </c>
      <c r="BB229" s="29">
        <f t="shared" si="9"/>
        <v>0.07748776327</v>
      </c>
      <c r="BC229" s="27">
        <f t="shared" si="10"/>
        <v>0.1812577406</v>
      </c>
      <c r="BD229" s="28">
        <f t="shared" si="11"/>
        <v>0.09532260043</v>
      </c>
      <c r="BE229" s="30">
        <f t="shared" ref="BE229:BF229" si="462">((S229-S$289)/S$290)</f>
        <v>-0.6787266825</v>
      </c>
      <c r="BF229" s="30">
        <f t="shared" si="462"/>
        <v>-0.0802957437</v>
      </c>
    </row>
    <row r="230">
      <c r="A230" s="21" t="s">
        <v>67</v>
      </c>
      <c r="B230" s="22">
        <f t="shared" si="3"/>
        <v>-0.1981537015</v>
      </c>
      <c r="C230" s="21" t="s">
        <v>68</v>
      </c>
      <c r="D230" s="21" t="s">
        <v>69</v>
      </c>
      <c r="E230" s="23">
        <v>194.0</v>
      </c>
      <c r="F230" s="24" t="s">
        <v>97</v>
      </c>
      <c r="G230" s="21" t="s">
        <v>82</v>
      </c>
      <c r="H230" s="24" t="s">
        <v>98</v>
      </c>
      <c r="I230" s="24" t="s">
        <v>95</v>
      </c>
      <c r="J230" s="24" t="s">
        <v>74</v>
      </c>
      <c r="K230" s="24" t="s">
        <v>101</v>
      </c>
      <c r="L230" s="21" t="s">
        <v>84</v>
      </c>
      <c r="M230" s="24" t="s">
        <v>77</v>
      </c>
      <c r="N230" s="21" t="s">
        <v>104</v>
      </c>
      <c r="O230" s="21" t="s">
        <v>102</v>
      </c>
      <c r="P230" s="21" t="s">
        <v>80</v>
      </c>
      <c r="Q230" s="24" t="s">
        <v>103</v>
      </c>
      <c r="S230" s="25">
        <v>554.818722009658</v>
      </c>
      <c r="T230" s="25">
        <v>422.758818149566</v>
      </c>
      <c r="U230" s="25">
        <v>2.38292235462653</v>
      </c>
      <c r="V230" s="25">
        <v>8.90045626956696</v>
      </c>
      <c r="W230" s="25">
        <v>2.98336324800835</v>
      </c>
      <c r="X230" s="25">
        <v>0.67058501255828</v>
      </c>
      <c r="Y230" s="25">
        <v>0.0850521012366313</v>
      </c>
      <c r="Z230" s="25">
        <v>0.0110740621255077</v>
      </c>
      <c r="AA230" s="25">
        <v>0.105233369828717</v>
      </c>
      <c r="AB230" s="25">
        <v>0.752163682260125</v>
      </c>
      <c r="AC230" s="25">
        <v>0.0852190665235315</v>
      </c>
      <c r="AD230" s="25">
        <v>0.105280935945653</v>
      </c>
      <c r="AE230" s="25">
        <v>0.753126037309433</v>
      </c>
      <c r="AF230" s="25">
        <v>0.111394712663259</v>
      </c>
      <c r="AG230" s="25">
        <v>0.138276871632458</v>
      </c>
      <c r="AH230" s="25">
        <v>0.575882544865777</v>
      </c>
      <c r="AI230" s="25">
        <v>10.0</v>
      </c>
      <c r="AJ230" s="25">
        <v>2.38292235462643</v>
      </c>
      <c r="AK230" s="25">
        <v>8.90045626956695</v>
      </c>
      <c r="AL230" s="25">
        <v>2.98336324800835</v>
      </c>
      <c r="AM230" s="25">
        <v>0.670549481546078</v>
      </c>
      <c r="AN230" s="25">
        <v>2.08786712982656</v>
      </c>
      <c r="AO230" s="25">
        <v>6.65321630302401</v>
      </c>
      <c r="AP230" s="25">
        <v>2.57938293066849</v>
      </c>
      <c r="AQ230" s="25">
        <v>0.753126037309433</v>
      </c>
      <c r="AR230" s="25">
        <v>2.72917046024973</v>
      </c>
      <c r="AS230" s="25">
        <v>11.4770760603826</v>
      </c>
      <c r="AT230" s="25">
        <v>3.38778335499522</v>
      </c>
      <c r="AU230" s="25">
        <v>0.575882544865777</v>
      </c>
      <c r="AV230" s="26">
        <f t="shared" ref="AV230:AW230" si="463">(AC230-AC$289)/AC$290</f>
        <v>0.5710993924</v>
      </c>
      <c r="AW230" s="27">
        <f t="shared" si="463"/>
        <v>0.5277070825</v>
      </c>
      <c r="AX230" s="27">
        <f t="shared" si="5"/>
        <v>0.3876056636</v>
      </c>
      <c r="AY230" s="28">
        <f t="shared" si="6"/>
        <v>0.3599999672</v>
      </c>
      <c r="AZ230" s="29">
        <f t="shared" si="7"/>
        <v>0.3687346258</v>
      </c>
      <c r="BA230" s="28">
        <f t="shared" si="8"/>
        <v>0.3387542018</v>
      </c>
      <c r="BB230" s="29">
        <f t="shared" si="9"/>
        <v>0.1414664369</v>
      </c>
      <c r="BC230" s="27">
        <f t="shared" si="10"/>
        <v>0.341523381</v>
      </c>
      <c r="BD230" s="28">
        <f t="shared" si="11"/>
        <v>0.2114477536</v>
      </c>
      <c r="BE230" s="30">
        <f t="shared" ref="BE230:BF230" si="464">((S230-S$289)/S$290)</f>
        <v>-0.6921570087</v>
      </c>
      <c r="BF230" s="30">
        <f t="shared" si="464"/>
        <v>-0.3764907792</v>
      </c>
    </row>
    <row r="231">
      <c r="A231" s="21" t="s">
        <v>88</v>
      </c>
      <c r="B231" s="22">
        <f t="shared" si="3"/>
        <v>-0.4593093259</v>
      </c>
      <c r="C231" s="21" t="s">
        <v>68</v>
      </c>
      <c r="D231" s="21" t="s">
        <v>69</v>
      </c>
      <c r="E231" s="23">
        <v>83.0</v>
      </c>
      <c r="F231" s="24" t="s">
        <v>70</v>
      </c>
      <c r="G231" s="21" t="s">
        <v>71</v>
      </c>
      <c r="H231" s="24" t="s">
        <v>72</v>
      </c>
      <c r="I231" s="24" t="s">
        <v>95</v>
      </c>
      <c r="J231" s="24" t="s">
        <v>99</v>
      </c>
      <c r="K231" s="24" t="s">
        <v>75</v>
      </c>
      <c r="L231" s="21" t="s">
        <v>92</v>
      </c>
      <c r="M231" s="24" t="s">
        <v>85</v>
      </c>
      <c r="N231" s="21" t="s">
        <v>86</v>
      </c>
      <c r="O231" s="21" t="s">
        <v>102</v>
      </c>
      <c r="P231" s="21" t="s">
        <v>80</v>
      </c>
      <c r="Q231" s="24" t="s">
        <v>81</v>
      </c>
      <c r="R231" s="24" t="s">
        <v>93</v>
      </c>
      <c r="S231" s="25">
        <v>406.393864870071</v>
      </c>
      <c r="T231" s="25">
        <v>190.012310504913</v>
      </c>
      <c r="U231" s="25">
        <v>3.16746500673146</v>
      </c>
      <c r="V231" s="25">
        <v>14.2297908801604</v>
      </c>
      <c r="W231" s="25">
        <v>3.77223950461266</v>
      </c>
      <c r="X231" s="25">
        <v>0.457240616979988</v>
      </c>
      <c r="Y231" s="25">
        <v>0.124753749014533</v>
      </c>
      <c r="Z231" s="25">
        <v>0.0225810614465803</v>
      </c>
      <c r="AA231" s="25">
        <v>0.150269961890526</v>
      </c>
      <c r="AB231" s="25">
        <v>0.525255990268229</v>
      </c>
      <c r="AC231" s="25">
        <v>0.124783336652565</v>
      </c>
      <c r="AD231" s="25">
        <v>0.150057551782487</v>
      </c>
      <c r="AE231" s="25">
        <v>0.529470711132098</v>
      </c>
      <c r="AF231" s="25">
        <v>0.138946357272415</v>
      </c>
      <c r="AG231" s="25">
        <v>0.166467160114092</v>
      </c>
      <c r="AH231" s="25">
        <v>0.428376351759156</v>
      </c>
      <c r="AI231" s="25">
        <v>10.0</v>
      </c>
      <c r="AJ231" s="25">
        <v>3.16746500673146</v>
      </c>
      <c r="AK231" s="25">
        <v>14.2297908801604</v>
      </c>
      <c r="AL231" s="25">
        <v>3.77223950461266</v>
      </c>
      <c r="AM231" s="25">
        <v>0.45713634609523</v>
      </c>
      <c r="AN231" s="25">
        <v>2.90987808666191</v>
      </c>
      <c r="AO231" s="25">
        <v>12.2448117452905</v>
      </c>
      <c r="AP231" s="25">
        <v>3.49925874226107</v>
      </c>
      <c r="AQ231" s="25">
        <v>0.529470711132099</v>
      </c>
      <c r="AR231" s="25">
        <v>3.24015185917203</v>
      </c>
      <c r="AS231" s="25">
        <v>15.0693160236354</v>
      </c>
      <c r="AT231" s="25">
        <v>3.88192169210501</v>
      </c>
      <c r="AU231" s="25">
        <v>0.428376351759156</v>
      </c>
      <c r="AV231" s="26">
        <f t="shared" ref="AV231:AW231" si="465">(AC231-AC$289)/AC$290</f>
        <v>1.383142585</v>
      </c>
      <c r="AW231" s="27">
        <f t="shared" si="465"/>
        <v>1.251268039</v>
      </c>
      <c r="AX231" s="27">
        <f t="shared" si="5"/>
        <v>0.6040247156</v>
      </c>
      <c r="AY231" s="28">
        <f t="shared" si="6"/>
        <v>0.524460642</v>
      </c>
      <c r="AZ231" s="29">
        <f t="shared" si="7"/>
        <v>0.7714340544</v>
      </c>
      <c r="BA231" s="28">
        <f t="shared" si="8"/>
        <v>0.6515586184</v>
      </c>
      <c r="BB231" s="29">
        <f t="shared" si="9"/>
        <v>0.3859775564</v>
      </c>
      <c r="BC231" s="27">
        <f t="shared" si="10"/>
        <v>0.5628716712</v>
      </c>
      <c r="BD231" s="28">
        <f t="shared" si="11"/>
        <v>0.4905737208</v>
      </c>
      <c r="BE231" s="30">
        <f t="shared" ref="BE231:BF231" si="466">((S231-S$289)/S$290)</f>
        <v>-0.7309880444</v>
      </c>
      <c r="BF231" s="30">
        <f t="shared" si="466"/>
        <v>-0.8419209737</v>
      </c>
    </row>
    <row r="232">
      <c r="A232" s="21" t="s">
        <v>67</v>
      </c>
      <c r="B232" s="22">
        <f t="shared" si="3"/>
        <v>-0.01605360141</v>
      </c>
      <c r="C232" s="21" t="s">
        <v>68</v>
      </c>
      <c r="D232" s="21" t="s">
        <v>69</v>
      </c>
      <c r="E232" s="23">
        <v>54.0</v>
      </c>
      <c r="F232" s="24" t="s">
        <v>70</v>
      </c>
      <c r="G232" s="21" t="s">
        <v>82</v>
      </c>
      <c r="H232" s="24" t="s">
        <v>83</v>
      </c>
      <c r="I232" s="24" t="s">
        <v>95</v>
      </c>
      <c r="J232" s="24" t="s">
        <v>74</v>
      </c>
      <c r="K232" s="24" t="s">
        <v>101</v>
      </c>
      <c r="L232" s="21" t="s">
        <v>92</v>
      </c>
      <c r="M232" s="24" t="s">
        <v>85</v>
      </c>
      <c r="N232" s="21" t="s">
        <v>104</v>
      </c>
      <c r="O232" s="21" t="s">
        <v>102</v>
      </c>
      <c r="P232" s="21" t="s">
        <v>80</v>
      </c>
      <c r="Q232" s="24" t="s">
        <v>93</v>
      </c>
      <c r="R232" s="24" t="s">
        <v>94</v>
      </c>
      <c r="S232" s="25">
        <v>757.414986371994</v>
      </c>
      <c r="T232" s="25">
        <v>256.139418125152</v>
      </c>
      <c r="U232" s="25">
        <v>1.97374500231851</v>
      </c>
      <c r="V232" s="25">
        <v>6.17510761378273</v>
      </c>
      <c r="W232" s="25">
        <v>2.48497638093055</v>
      </c>
      <c r="X232" s="25">
        <v>0.764481299206032</v>
      </c>
      <c r="Y232" s="25">
        <v>0.0768887866736673</v>
      </c>
      <c r="Z232" s="25">
        <v>0.00920693819427348</v>
      </c>
      <c r="AA232" s="25">
        <v>0.0959527914876554</v>
      </c>
      <c r="AB232" s="25">
        <v>0.807288505470227</v>
      </c>
      <c r="AC232" s="25">
        <v>0.0771718848500611</v>
      </c>
      <c r="AD232" s="25">
        <v>0.0961469098584028</v>
      </c>
      <c r="AE232" s="25">
        <v>0.807481205442457</v>
      </c>
      <c r="AF232" s="25">
        <v>0.0871428350679082</v>
      </c>
      <c r="AG232" s="25">
        <v>0.110672935200078</v>
      </c>
      <c r="AH232" s="25">
        <v>0.746788930702999</v>
      </c>
      <c r="AI232" s="25">
        <v>10.0</v>
      </c>
      <c r="AJ232" s="25">
        <v>1.97374500231851</v>
      </c>
      <c r="AK232" s="25">
        <v>6.17510761378274</v>
      </c>
      <c r="AL232" s="25">
        <v>2.48497638093055</v>
      </c>
      <c r="AM232" s="25">
        <v>0.764450231331739</v>
      </c>
      <c r="AN232" s="25">
        <v>1.79960548143407</v>
      </c>
      <c r="AO232" s="25">
        <v>5.02697888145948</v>
      </c>
      <c r="AP232" s="25">
        <v>2.24209252294803</v>
      </c>
      <c r="AQ232" s="25">
        <v>0.807481205442457</v>
      </c>
      <c r="AR232" s="25">
        <v>2.03212250109749</v>
      </c>
      <c r="AS232" s="25">
        <v>6.66069052889944</v>
      </c>
      <c r="AT232" s="25">
        <v>2.58083136390184</v>
      </c>
      <c r="AU232" s="25">
        <v>0.746788930702999</v>
      </c>
      <c r="AV232" s="26">
        <f t="shared" ref="AV232:AW232" si="467">(AC232-AC$289)/AC$290</f>
        <v>0.4059337246</v>
      </c>
      <c r="AW232" s="27">
        <f t="shared" si="467"/>
        <v>0.3801071683</v>
      </c>
      <c r="AX232" s="27">
        <f t="shared" si="5"/>
        <v>0.09238071253</v>
      </c>
      <c r="AY232" s="28">
        <f t="shared" si="6"/>
        <v>0.09142766882</v>
      </c>
      <c r="AZ232" s="29">
        <f t="shared" si="7"/>
        <v>0.1587071843</v>
      </c>
      <c r="BA232" s="28">
        <f t="shared" si="8"/>
        <v>0.1411343446</v>
      </c>
      <c r="BB232" s="29">
        <f t="shared" si="9"/>
        <v>0.08204266538</v>
      </c>
      <c r="BC232" s="27">
        <f t="shared" si="10"/>
        <v>0.08506068275</v>
      </c>
      <c r="BD232" s="28">
        <f t="shared" si="11"/>
        <v>0.08863367489</v>
      </c>
      <c r="BE232" s="30">
        <f t="shared" ref="BE232:BF232" si="468">((S232-S$289)/S$290)</f>
        <v>-0.6391536039</v>
      </c>
      <c r="BF232" s="30">
        <f t="shared" si="468"/>
        <v>-0.7096846069</v>
      </c>
    </row>
    <row r="233">
      <c r="A233" s="21" t="s">
        <v>67</v>
      </c>
      <c r="B233" s="22">
        <f t="shared" si="3"/>
        <v>0.1453892173</v>
      </c>
      <c r="C233" s="21" t="s">
        <v>68</v>
      </c>
      <c r="D233" s="21" t="s">
        <v>69</v>
      </c>
      <c r="E233" s="23">
        <v>182.0</v>
      </c>
      <c r="F233" s="24" t="s">
        <v>97</v>
      </c>
      <c r="G233" s="21" t="s">
        <v>82</v>
      </c>
      <c r="H233" s="24" t="s">
        <v>98</v>
      </c>
      <c r="I233" s="24" t="s">
        <v>95</v>
      </c>
      <c r="J233" s="24" t="s">
        <v>99</v>
      </c>
      <c r="K233" s="24" t="s">
        <v>75</v>
      </c>
      <c r="L233" s="21" t="s">
        <v>92</v>
      </c>
      <c r="M233" s="24" t="s">
        <v>85</v>
      </c>
      <c r="N233" s="21" t="s">
        <v>86</v>
      </c>
      <c r="O233" s="21" t="s">
        <v>79</v>
      </c>
      <c r="P233" s="21" t="s">
        <v>80</v>
      </c>
      <c r="Q233" s="24" t="s">
        <v>93</v>
      </c>
      <c r="R233" s="24" t="s">
        <v>96</v>
      </c>
      <c r="S233" s="25">
        <v>845.109057664871</v>
      </c>
      <c r="T233" s="25">
        <v>580.19750881195</v>
      </c>
      <c r="U233" s="25">
        <v>1.51104502294308</v>
      </c>
      <c r="V233" s="25">
        <v>3.86074339633303</v>
      </c>
      <c r="W233" s="25">
        <v>1.96487745071621</v>
      </c>
      <c r="X233" s="25">
        <v>0.857119160394738</v>
      </c>
      <c r="Y233" s="25">
        <v>0.0449356969997243</v>
      </c>
      <c r="Z233" s="25">
        <v>0.00336877769756311</v>
      </c>
      <c r="AA233" s="25">
        <v>0.0580411724344289</v>
      </c>
      <c r="AB233" s="25">
        <v>0.924607117931445</v>
      </c>
      <c r="AC233" s="25">
        <v>0.0448336653346469</v>
      </c>
      <c r="AD233" s="25">
        <v>0.0579204044113872</v>
      </c>
      <c r="AE233" s="25">
        <v>0.925279634965274</v>
      </c>
      <c r="AF233" s="25">
        <v>0.0658026585189307</v>
      </c>
      <c r="AG233" s="25">
        <v>0.0858304233534903</v>
      </c>
      <c r="AH233" s="25">
        <v>0.836593410779114</v>
      </c>
      <c r="AI233" s="25">
        <v>10.0</v>
      </c>
      <c r="AJ233" s="25">
        <v>1.5110450229431</v>
      </c>
      <c r="AK233" s="25">
        <v>3.86074339633303</v>
      </c>
      <c r="AL233" s="25">
        <v>1.96487745071621</v>
      </c>
      <c r="AM233" s="25">
        <v>0.857094526952677</v>
      </c>
      <c r="AN233" s="25">
        <v>1.09842480069885</v>
      </c>
      <c r="AO233" s="25">
        <v>2.01370264161899</v>
      </c>
      <c r="AP233" s="25">
        <v>1.41904990807899</v>
      </c>
      <c r="AQ233" s="25">
        <v>0.925279634965274</v>
      </c>
      <c r="AR233" s="25">
        <v>1.61216513371379</v>
      </c>
      <c r="AS233" s="25">
        <v>4.4219586592169</v>
      </c>
      <c r="AT233" s="25">
        <v>2.10284537216051</v>
      </c>
      <c r="AU233" s="25">
        <v>0.836593410779114</v>
      </c>
      <c r="AV233" s="26">
        <f t="shared" ref="AV233:AW233" si="469">(AC233-AC$289)/AC$290</f>
        <v>-0.2577972359</v>
      </c>
      <c r="AW233" s="27">
        <f t="shared" si="469"/>
        <v>-0.2376082695</v>
      </c>
      <c r="AX233" s="27">
        <f t="shared" si="5"/>
        <v>-0.08548637913</v>
      </c>
      <c r="AY233" s="28">
        <f t="shared" si="6"/>
        <v>-0.06765713154</v>
      </c>
      <c r="AZ233" s="29">
        <f t="shared" si="7"/>
        <v>-0.07879299089</v>
      </c>
      <c r="BA233" s="28">
        <f t="shared" si="8"/>
        <v>-0.06509475793</v>
      </c>
      <c r="BB233" s="29">
        <f t="shared" si="9"/>
        <v>-0.04674043298</v>
      </c>
      <c r="BC233" s="27">
        <f t="shared" si="10"/>
        <v>-0.04970022253</v>
      </c>
      <c r="BD233" s="28">
        <f t="shared" si="11"/>
        <v>-0.03253707016</v>
      </c>
      <c r="BE233" s="30">
        <f t="shared" ref="BE233:BF233" si="470">((S233-S$289)/S$290)</f>
        <v>-0.6162110073</v>
      </c>
      <c r="BF233" s="30">
        <f t="shared" si="470"/>
        <v>-0.06165589222</v>
      </c>
    </row>
    <row r="234">
      <c r="A234" s="21" t="s">
        <v>67</v>
      </c>
      <c r="B234" s="22">
        <f t="shared" si="3"/>
        <v>-0.02554168221</v>
      </c>
      <c r="C234" s="21" t="s">
        <v>68</v>
      </c>
      <c r="D234" s="21" t="s">
        <v>69</v>
      </c>
      <c r="E234" s="23">
        <v>144.0</v>
      </c>
      <c r="F234" s="24" t="s">
        <v>70</v>
      </c>
      <c r="G234" s="21" t="s">
        <v>71</v>
      </c>
      <c r="H234" s="24" t="s">
        <v>72</v>
      </c>
      <c r="I234" s="24" t="s">
        <v>95</v>
      </c>
      <c r="J234" s="24" t="s">
        <v>90</v>
      </c>
      <c r="K234" s="24" t="s">
        <v>101</v>
      </c>
      <c r="L234" s="21" t="s">
        <v>92</v>
      </c>
      <c r="M234" s="24" t="s">
        <v>77</v>
      </c>
      <c r="N234" s="21" t="s">
        <v>78</v>
      </c>
      <c r="O234" s="21" t="s">
        <v>91</v>
      </c>
      <c r="P234" s="21" t="s">
        <v>80</v>
      </c>
      <c r="Q234" s="24" t="s">
        <v>81</v>
      </c>
      <c r="S234" s="25">
        <v>793.61712360382</v>
      </c>
      <c r="T234" s="25">
        <v>191.446128606796</v>
      </c>
      <c r="U234" s="25">
        <v>1.98807677244613</v>
      </c>
      <c r="V234" s="25">
        <v>6.89860099622719</v>
      </c>
      <c r="W234" s="25">
        <v>2.62651879799616</v>
      </c>
      <c r="X234" s="25">
        <v>0.736984902965981</v>
      </c>
      <c r="Y234" s="25">
        <v>0.0734051874373512</v>
      </c>
      <c r="Z234" s="25">
        <v>0.00876505729555421</v>
      </c>
      <c r="AA234" s="25">
        <v>0.0936218847041343</v>
      </c>
      <c r="AB234" s="25">
        <v>0.815723523189372</v>
      </c>
      <c r="AC234" s="25">
        <v>0.0730591610839801</v>
      </c>
      <c r="AD234" s="25">
        <v>0.0932366079706605</v>
      </c>
      <c r="AE234" s="25">
        <v>0.818346454388863</v>
      </c>
      <c r="AF234" s="25">
        <v>0.0924905557537123</v>
      </c>
      <c r="AG234" s="25">
        <v>0.125017061396</v>
      </c>
      <c r="AH234" s="25">
        <v>0.67760253467944</v>
      </c>
      <c r="AI234" s="25">
        <v>10.0</v>
      </c>
      <c r="AJ234" s="25">
        <v>1.98807677244613</v>
      </c>
      <c r="AK234" s="25">
        <v>6.89860099622719</v>
      </c>
      <c r="AL234" s="25">
        <v>2.62651879799616</v>
      </c>
      <c r="AM234" s="25">
        <v>0.736819762484045</v>
      </c>
      <c r="AN234" s="25">
        <v>1.70369904805561</v>
      </c>
      <c r="AO234" s="25">
        <v>4.72725826318833</v>
      </c>
      <c r="AP234" s="25">
        <v>2.17422589976026</v>
      </c>
      <c r="AQ234" s="25">
        <v>0.818346454388863</v>
      </c>
      <c r="AR234" s="25">
        <v>2.15682837653449</v>
      </c>
      <c r="AS234" s="25">
        <v>8.49913978381734</v>
      </c>
      <c r="AT234" s="25">
        <v>2.91532841783174</v>
      </c>
      <c r="AU234" s="25">
        <v>0.67760253467944</v>
      </c>
      <c r="AV234" s="26">
        <f t="shared" ref="AV234:AW234" si="471">(AC234-AC$289)/AC$290</f>
        <v>0.3215214677</v>
      </c>
      <c r="AW234" s="27">
        <f t="shared" si="471"/>
        <v>0.3330785848</v>
      </c>
      <c r="AX234" s="27">
        <f t="shared" si="5"/>
        <v>0.1451981485</v>
      </c>
      <c r="AY234" s="28">
        <f t="shared" si="6"/>
        <v>0.2027560298</v>
      </c>
      <c r="AZ234" s="29">
        <f t="shared" si="7"/>
        <v>0.1660635665</v>
      </c>
      <c r="BA234" s="28">
        <f t="shared" si="8"/>
        <v>0.1972586009</v>
      </c>
      <c r="BB234" s="29">
        <f t="shared" si="9"/>
        <v>0.07016423517</v>
      </c>
      <c r="BC234" s="27">
        <f t="shared" si="10"/>
        <v>0.1888820217</v>
      </c>
      <c r="BD234" s="28">
        <f t="shared" si="11"/>
        <v>0.1247719441</v>
      </c>
      <c r="BE234" s="30">
        <f t="shared" ref="BE234:BF234" si="472">((S234-S$289)/S$290)</f>
        <v>-0.6296823703</v>
      </c>
      <c r="BF234" s="30">
        <f t="shared" si="472"/>
        <v>-0.8390537245</v>
      </c>
    </row>
    <row r="235">
      <c r="A235" s="21" t="s">
        <v>67</v>
      </c>
      <c r="B235" s="22">
        <f t="shared" si="3"/>
        <v>-0.04731279399</v>
      </c>
      <c r="C235" s="21" t="s">
        <v>68</v>
      </c>
      <c r="D235" s="21" t="s">
        <v>69</v>
      </c>
      <c r="E235" s="23">
        <v>260.0</v>
      </c>
      <c r="F235" s="24" t="s">
        <v>97</v>
      </c>
      <c r="G235" s="21" t="s">
        <v>71</v>
      </c>
      <c r="H235" s="24" t="s">
        <v>105</v>
      </c>
      <c r="I235" s="24" t="s">
        <v>95</v>
      </c>
      <c r="J235" s="24" t="s">
        <v>90</v>
      </c>
      <c r="K235" s="24" t="s">
        <v>101</v>
      </c>
      <c r="L235" s="21" t="s">
        <v>92</v>
      </c>
      <c r="M235" s="24" t="s">
        <v>77</v>
      </c>
      <c r="N235" s="21" t="s">
        <v>86</v>
      </c>
      <c r="O235" s="21" t="s">
        <v>79</v>
      </c>
      <c r="P235" s="21" t="s">
        <v>80</v>
      </c>
      <c r="Q235" s="24" t="s">
        <v>81</v>
      </c>
      <c r="S235" s="25">
        <v>712.036684989929</v>
      </c>
      <c r="T235" s="25">
        <v>528.420589923858</v>
      </c>
      <c r="U235" s="25">
        <v>2.06576141262535</v>
      </c>
      <c r="V235" s="25">
        <v>6.85212891686277</v>
      </c>
      <c r="W235" s="25">
        <v>2.61765714272568</v>
      </c>
      <c r="X235" s="25">
        <v>0.746186995953035</v>
      </c>
      <c r="Y235" s="25">
        <v>0.0664296707785628</v>
      </c>
      <c r="Z235" s="25">
        <v>0.00678442610642712</v>
      </c>
      <c r="AA235" s="25">
        <v>0.0823676277819576</v>
      </c>
      <c r="AB235" s="25">
        <v>0.847555658887191</v>
      </c>
      <c r="AC235" s="25">
        <v>0.0660884362412315</v>
      </c>
      <c r="AD235" s="25">
        <v>0.082025327633875</v>
      </c>
      <c r="AE235" s="25">
        <v>0.849660644056144</v>
      </c>
      <c r="AF235" s="25">
        <v>0.0892757050751364</v>
      </c>
      <c r="AG235" s="25">
        <v>0.114061642897921</v>
      </c>
      <c r="AH235" s="25">
        <v>0.711890693346438</v>
      </c>
      <c r="AI235" s="25">
        <v>10.0</v>
      </c>
      <c r="AJ235" s="25">
        <v>2.06576141262528</v>
      </c>
      <c r="AK235" s="25">
        <v>6.85212891686276</v>
      </c>
      <c r="AL235" s="25">
        <v>2.61765714272567</v>
      </c>
      <c r="AM235" s="25">
        <v>0.746104301029922</v>
      </c>
      <c r="AN235" s="25">
        <v>1.61916668791019</v>
      </c>
      <c r="AO235" s="25">
        <v>4.03857466266011</v>
      </c>
      <c r="AP235" s="25">
        <v>2.00962052702994</v>
      </c>
      <c r="AQ235" s="25">
        <v>0.849660644056144</v>
      </c>
      <c r="AR235" s="25">
        <v>2.1872547743408</v>
      </c>
      <c r="AS235" s="25">
        <v>7.80928754293894</v>
      </c>
      <c r="AT235" s="25">
        <v>2.79451025099908</v>
      </c>
      <c r="AU235" s="25">
        <v>0.711890693346438</v>
      </c>
      <c r="AV235" s="26">
        <f t="shared" ref="AV235:AW235" si="473">(AC235-AC$289)/AC$290</f>
        <v>0.1784497103</v>
      </c>
      <c r="AW235" s="27">
        <f t="shared" si="473"/>
        <v>0.1519115945</v>
      </c>
      <c r="AX235" s="27">
        <f t="shared" si="5"/>
        <v>0.1580848254</v>
      </c>
      <c r="AY235" s="28">
        <f t="shared" si="6"/>
        <v>0.1625449477</v>
      </c>
      <c r="AZ235" s="29">
        <f t="shared" si="7"/>
        <v>0.2059384671</v>
      </c>
      <c r="BA235" s="28">
        <f t="shared" si="8"/>
        <v>0.1937447863</v>
      </c>
      <c r="BB235" s="29">
        <f t="shared" si="9"/>
        <v>0.03593000655</v>
      </c>
      <c r="BC235" s="27">
        <f t="shared" si="10"/>
        <v>0.1374290953</v>
      </c>
      <c r="BD235" s="28">
        <f t="shared" si="11"/>
        <v>0.1126285688</v>
      </c>
      <c r="BE235" s="30">
        <f t="shared" ref="BE235:BF235" si="474">((S235-S$289)/S$290)</f>
        <v>-0.6510255132</v>
      </c>
      <c r="BF235" s="30">
        <f t="shared" si="474"/>
        <v>-0.1651957549</v>
      </c>
    </row>
    <row r="236">
      <c r="A236" s="21" t="s">
        <v>67</v>
      </c>
      <c r="B236" s="22">
        <f t="shared" si="3"/>
        <v>-0.8799339868</v>
      </c>
      <c r="C236" s="21" t="s">
        <v>68</v>
      </c>
      <c r="D236" s="21" t="s">
        <v>69</v>
      </c>
      <c r="E236" s="23">
        <v>115.0</v>
      </c>
      <c r="F236" s="24" t="s">
        <v>70</v>
      </c>
      <c r="G236" s="21" t="s">
        <v>71</v>
      </c>
      <c r="H236" s="24" t="s">
        <v>72</v>
      </c>
      <c r="I236" s="24" t="s">
        <v>95</v>
      </c>
      <c r="J236" s="24" t="s">
        <v>99</v>
      </c>
      <c r="K236" s="24" t="s">
        <v>75</v>
      </c>
      <c r="L236" s="21" t="s">
        <v>84</v>
      </c>
      <c r="M236" s="24" t="s">
        <v>85</v>
      </c>
      <c r="N236" s="21" t="s">
        <v>104</v>
      </c>
      <c r="O236" s="21" t="s">
        <v>79</v>
      </c>
      <c r="P236" s="21" t="s">
        <v>80</v>
      </c>
      <c r="Q236" s="24" t="s">
        <v>87</v>
      </c>
      <c r="R236" s="24" t="s">
        <v>81</v>
      </c>
      <c r="S236" s="25">
        <v>169.547749519348</v>
      </c>
      <c r="T236" s="25">
        <v>176.459194183349</v>
      </c>
      <c r="U236" s="25">
        <v>3.75679998578859</v>
      </c>
      <c r="V236" s="25">
        <v>22.0055800766693</v>
      </c>
      <c r="W236" s="25">
        <v>4.69101056028115</v>
      </c>
      <c r="X236" s="25">
        <v>0.160222588960378</v>
      </c>
      <c r="Y236" s="25">
        <v>0.18460187230619</v>
      </c>
      <c r="Z236" s="25">
        <v>0.0458492610673604</v>
      </c>
      <c r="AA236" s="25">
        <v>0.214124405585539</v>
      </c>
      <c r="AB236" s="25">
        <v>0.0360655944429132</v>
      </c>
      <c r="AC236" s="25">
        <v>0.185429552044631</v>
      </c>
      <c r="AD236" s="25">
        <v>0.214705271581682</v>
      </c>
      <c r="AE236" s="25">
        <v>0.0367115254530526</v>
      </c>
      <c r="AF236" s="25">
        <v>0.164274910213461</v>
      </c>
      <c r="AG236" s="25">
        <v>0.197118777075988</v>
      </c>
      <c r="AH236" s="25">
        <v>0.198489828044216</v>
      </c>
      <c r="AI236" s="25">
        <v>10.0</v>
      </c>
      <c r="AJ236" s="25">
        <v>3.75679998578859</v>
      </c>
      <c r="AK236" s="25">
        <v>22.0055800766693</v>
      </c>
      <c r="AL236" s="25">
        <v>4.69101056028115</v>
      </c>
      <c r="AM236" s="25">
        <v>0.160491555545611</v>
      </c>
      <c r="AN236" s="25">
        <v>4.32411413726299</v>
      </c>
      <c r="AO236" s="25">
        <v>25.0681228699175</v>
      </c>
      <c r="AP236" s="25">
        <v>5.00680765257838</v>
      </c>
      <c r="AQ236" s="25">
        <v>0.0367115254530528</v>
      </c>
      <c r="AR236" s="25">
        <v>3.83079964233892</v>
      </c>
      <c r="AS236" s="25">
        <v>21.1296543005707</v>
      </c>
      <c r="AT236" s="25">
        <v>4.59670037098033</v>
      </c>
      <c r="AU236" s="25">
        <v>0.198489828044215</v>
      </c>
      <c r="AV236" s="26">
        <f t="shared" ref="AV236:AW236" si="475">(AC236-AC$289)/AC$290</f>
        <v>2.627885536</v>
      </c>
      <c r="AW236" s="27">
        <f t="shared" si="475"/>
        <v>2.295933097</v>
      </c>
      <c r="AX236" s="27">
        <f t="shared" si="5"/>
        <v>0.8541853546</v>
      </c>
      <c r="AY236" s="28">
        <f t="shared" si="6"/>
        <v>0.7623555288</v>
      </c>
      <c r="AZ236" s="29">
        <f t="shared" si="7"/>
        <v>1.073934956</v>
      </c>
      <c r="BA236" s="28">
        <f t="shared" si="8"/>
        <v>1.015868789</v>
      </c>
      <c r="BB236" s="29">
        <f t="shared" si="9"/>
        <v>0.9246863909</v>
      </c>
      <c r="BC236" s="27">
        <f t="shared" si="10"/>
        <v>0.907840163</v>
      </c>
      <c r="BD236" s="28">
        <f t="shared" si="11"/>
        <v>0.8785595115</v>
      </c>
      <c r="BE236" s="30">
        <f t="shared" ref="BE236:BF236" si="476">((S236-S$289)/S$290)</f>
        <v>-0.792951924</v>
      </c>
      <c r="BF236" s="30">
        <f t="shared" si="476"/>
        <v>-0.8690235482</v>
      </c>
    </row>
    <row r="237">
      <c r="A237" s="21" t="s">
        <v>88</v>
      </c>
      <c r="B237" s="22">
        <f t="shared" si="3"/>
        <v>0.1580305401</v>
      </c>
      <c r="C237" s="21" t="s">
        <v>68</v>
      </c>
      <c r="D237" s="21" t="s">
        <v>69</v>
      </c>
      <c r="E237" s="23">
        <v>156.0</v>
      </c>
      <c r="F237" s="24" t="s">
        <v>97</v>
      </c>
      <c r="G237" s="21" t="s">
        <v>82</v>
      </c>
      <c r="H237" s="24" t="s">
        <v>98</v>
      </c>
      <c r="I237" s="24" t="s">
        <v>95</v>
      </c>
      <c r="J237" s="24" t="s">
        <v>90</v>
      </c>
      <c r="K237" s="24" t="s">
        <v>75</v>
      </c>
      <c r="L237" s="21" t="s">
        <v>92</v>
      </c>
      <c r="M237" s="24" t="s">
        <v>77</v>
      </c>
      <c r="N237" s="21" t="s">
        <v>86</v>
      </c>
      <c r="O237" s="21" t="s">
        <v>79</v>
      </c>
      <c r="P237" s="21" t="s">
        <v>80</v>
      </c>
      <c r="Q237" s="24" t="s">
        <v>96</v>
      </c>
      <c r="S237" s="25">
        <v>914.718729019165</v>
      </c>
      <c r="T237" s="25">
        <v>448.140265226364</v>
      </c>
      <c r="U237" s="25">
        <v>1.53433777460074</v>
      </c>
      <c r="V237" s="25">
        <v>3.94821799485369</v>
      </c>
      <c r="W237" s="25">
        <v>1.9870123288127</v>
      </c>
      <c r="X237" s="25">
        <v>0.853884264158765</v>
      </c>
      <c r="Y237" s="25">
        <v>0.0440477615349784</v>
      </c>
      <c r="Z237" s="25">
        <v>0.00313740760233363</v>
      </c>
      <c r="AA237" s="25">
        <v>0.0560125664680135</v>
      </c>
      <c r="AB237" s="25">
        <v>0.929785155745114</v>
      </c>
      <c r="AC237" s="25">
        <v>0.0438528752762077</v>
      </c>
      <c r="AD237" s="25">
        <v>0.0558503070141052</v>
      </c>
      <c r="AE237" s="25">
        <v>0.930525257869933</v>
      </c>
      <c r="AF237" s="25">
        <v>0.0718369898152555</v>
      </c>
      <c r="AG237" s="25">
        <v>0.0914192836387917</v>
      </c>
      <c r="AH237" s="25">
        <v>0.814620082979199</v>
      </c>
      <c r="AI237" s="25">
        <v>10.0</v>
      </c>
      <c r="AJ237" s="25">
        <v>1.53433777460076</v>
      </c>
      <c r="AK237" s="25">
        <v>3.94821799485369</v>
      </c>
      <c r="AL237" s="25">
        <v>1.9870123288127</v>
      </c>
      <c r="AM237" s="25">
        <v>0.85385665341436</v>
      </c>
      <c r="AN237" s="25">
        <v>1.07439544426707</v>
      </c>
      <c r="AO237" s="25">
        <v>1.87233389034028</v>
      </c>
      <c r="AP237" s="25">
        <v>1.36833252184557</v>
      </c>
      <c r="AQ237" s="25">
        <v>0.930525257869933</v>
      </c>
      <c r="AR237" s="25">
        <v>1.76000625047376</v>
      </c>
      <c r="AS237" s="25">
        <v>5.01658062397319</v>
      </c>
      <c r="AT237" s="25">
        <v>2.2397724491504</v>
      </c>
      <c r="AU237" s="25">
        <v>0.814620082979199</v>
      </c>
      <c r="AV237" s="26">
        <f t="shared" ref="AV237:AW237" si="477">(AC237-AC$289)/AC$290</f>
        <v>-0.2779276184</v>
      </c>
      <c r="AW237" s="27">
        <f t="shared" si="477"/>
        <v>-0.2710596955</v>
      </c>
      <c r="AX237" s="27">
        <f t="shared" si="5"/>
        <v>-0.022870334</v>
      </c>
      <c r="AY237" s="28">
        <f t="shared" si="6"/>
        <v>-0.02208463134</v>
      </c>
      <c r="AZ237" s="29">
        <f t="shared" si="7"/>
        <v>-0.06683700895</v>
      </c>
      <c r="BA237" s="28">
        <f t="shared" si="8"/>
        <v>-0.05631785842</v>
      </c>
      <c r="BB237" s="29">
        <f t="shared" si="9"/>
        <v>-0.05247520868</v>
      </c>
      <c r="BC237" s="27">
        <f t="shared" si="10"/>
        <v>-0.01672697282</v>
      </c>
      <c r="BD237" s="28">
        <f t="shared" si="11"/>
        <v>-0.02830221094</v>
      </c>
      <c r="BE237" s="30">
        <f t="shared" ref="BE237:BF237" si="478">((S237-S$289)/S$290)</f>
        <v>-0.5979996666</v>
      </c>
      <c r="BF237" s="30">
        <f t="shared" si="478"/>
        <v>-0.3257347357</v>
      </c>
    </row>
    <row r="238">
      <c r="A238" s="21" t="s">
        <v>67</v>
      </c>
      <c r="B238" s="22">
        <f t="shared" si="3"/>
        <v>0.04805255038</v>
      </c>
      <c r="C238" s="21" t="s">
        <v>68</v>
      </c>
      <c r="D238" s="21" t="s">
        <v>69</v>
      </c>
      <c r="E238" s="23">
        <v>269.0</v>
      </c>
      <c r="F238" s="24" t="s">
        <v>97</v>
      </c>
      <c r="G238" s="21" t="s">
        <v>71</v>
      </c>
      <c r="H238" s="24" t="s">
        <v>105</v>
      </c>
      <c r="I238" s="24" t="s">
        <v>95</v>
      </c>
      <c r="J238" s="24" t="s">
        <v>74</v>
      </c>
      <c r="K238" s="24" t="s">
        <v>75</v>
      </c>
      <c r="L238" s="21" t="s">
        <v>92</v>
      </c>
      <c r="M238" s="24" t="s">
        <v>85</v>
      </c>
      <c r="N238" s="21" t="s">
        <v>86</v>
      </c>
      <c r="O238" s="21" t="s">
        <v>91</v>
      </c>
      <c r="P238" s="21" t="s">
        <v>80</v>
      </c>
      <c r="Q238" s="24" t="s">
        <v>81</v>
      </c>
      <c r="R238" s="24" t="s">
        <v>81</v>
      </c>
      <c r="S238" s="25">
        <v>823.846329212188</v>
      </c>
      <c r="T238" s="25">
        <v>551.194021463394</v>
      </c>
      <c r="U238" s="25">
        <v>1.78237121813457</v>
      </c>
      <c r="V238" s="25">
        <v>5.17184692504275</v>
      </c>
      <c r="W238" s="25">
        <v>2.27416950226731</v>
      </c>
      <c r="X238" s="25">
        <v>0.808431667187957</v>
      </c>
      <c r="Y238" s="25">
        <v>0.0573441120913056</v>
      </c>
      <c r="Z238" s="25">
        <v>0.00523214742177825</v>
      </c>
      <c r="AA238" s="25">
        <v>0.0723335843282928</v>
      </c>
      <c r="AB238" s="25">
        <v>0.882434968882267</v>
      </c>
      <c r="AC238" s="25">
        <v>0.0573488503121503</v>
      </c>
      <c r="AD238" s="25">
        <v>0.0722215279778535</v>
      </c>
      <c r="AE238" s="25">
        <v>0.883450589073207</v>
      </c>
      <c r="AF238" s="25">
        <v>0.076506571820764</v>
      </c>
      <c r="AG238" s="25">
        <v>0.0973635929389086</v>
      </c>
      <c r="AH238" s="25">
        <v>0.790071585441072</v>
      </c>
      <c r="AI238" s="25">
        <v>10.0</v>
      </c>
      <c r="AJ238" s="25">
        <v>1.78237121813455</v>
      </c>
      <c r="AK238" s="25">
        <v>5.17184692504275</v>
      </c>
      <c r="AL238" s="25">
        <v>2.27416950226731</v>
      </c>
      <c r="AM238" s="25">
        <v>0.808364713225334</v>
      </c>
      <c r="AN238" s="25">
        <v>1.40504683264772</v>
      </c>
      <c r="AO238" s="25">
        <v>3.1308734493494</v>
      </c>
      <c r="AP238" s="25">
        <v>1.76942743545741</v>
      </c>
      <c r="AQ238" s="25">
        <v>0.883450589073207</v>
      </c>
      <c r="AR238" s="25">
        <v>1.87441100960875</v>
      </c>
      <c r="AS238" s="25">
        <v>5.69017145529161</v>
      </c>
      <c r="AT238" s="25">
        <v>2.38540802700326</v>
      </c>
      <c r="AU238" s="25">
        <v>0.790071585441072</v>
      </c>
      <c r="AV238" s="26">
        <f t="shared" ref="AV238:AW238" si="479">(AC238-AC$289)/AC$290</f>
        <v>-0.0009273194075</v>
      </c>
      <c r="AW238" s="27">
        <f t="shared" si="479"/>
        <v>-0.006511424471</v>
      </c>
      <c r="AX238" s="27">
        <f t="shared" si="5"/>
        <v>0.02558420772</v>
      </c>
      <c r="AY238" s="28">
        <f t="shared" si="6"/>
        <v>0.0263862595</v>
      </c>
      <c r="AZ238" s="29">
        <f t="shared" si="7"/>
        <v>0.06047656122</v>
      </c>
      <c r="BA238" s="28">
        <f t="shared" si="8"/>
        <v>0.05754541399</v>
      </c>
      <c r="BB238" s="29">
        <f t="shared" si="9"/>
        <v>-0.001010840887</v>
      </c>
      <c r="BC238" s="27">
        <f t="shared" si="10"/>
        <v>0.02011058527</v>
      </c>
      <c r="BD238" s="28">
        <f t="shared" si="11"/>
        <v>0.03119732165</v>
      </c>
      <c r="BE238" s="30">
        <f t="shared" ref="BE238:BF238" si="480">((S238-S$289)/S$290)</f>
        <v>-0.6217737802</v>
      </c>
      <c r="BF238" s="30">
        <f t="shared" si="480"/>
        <v>-0.1196550386</v>
      </c>
    </row>
    <row r="239">
      <c r="A239" s="21" t="s">
        <v>67</v>
      </c>
      <c r="B239" s="22">
        <f t="shared" si="3"/>
        <v>0.001101370728</v>
      </c>
      <c r="C239" s="21" t="s">
        <v>68</v>
      </c>
      <c r="D239" s="21" t="s">
        <v>69</v>
      </c>
      <c r="E239" s="23">
        <v>117.0</v>
      </c>
      <c r="F239" s="24" t="s">
        <v>70</v>
      </c>
      <c r="G239" s="21" t="s">
        <v>71</v>
      </c>
      <c r="H239" s="24" t="s">
        <v>72</v>
      </c>
      <c r="I239" s="24" t="s">
        <v>95</v>
      </c>
      <c r="J239" s="24" t="s">
        <v>99</v>
      </c>
      <c r="K239" s="24" t="s">
        <v>101</v>
      </c>
      <c r="L239" s="21" t="s">
        <v>92</v>
      </c>
      <c r="M239" s="24" t="s">
        <v>77</v>
      </c>
      <c r="N239" s="21" t="s">
        <v>86</v>
      </c>
      <c r="O239" s="21" t="s">
        <v>102</v>
      </c>
      <c r="P239" s="21" t="s">
        <v>80</v>
      </c>
      <c r="Q239" s="24" t="s">
        <v>94</v>
      </c>
      <c r="S239" s="25">
        <v>863.504000425338</v>
      </c>
      <c r="T239" s="25">
        <v>178.575720787048</v>
      </c>
      <c r="U239" s="25">
        <v>1.94114432783093</v>
      </c>
      <c r="V239" s="25">
        <v>6.20107799606115</v>
      </c>
      <c r="W239" s="25">
        <v>2.49019637700747</v>
      </c>
      <c r="X239" s="25">
        <v>0.763576149214974</v>
      </c>
      <c r="Y239" s="25">
        <v>0.0699548329661588</v>
      </c>
      <c r="Z239" s="25">
        <v>0.00792990721771767</v>
      </c>
      <c r="AA239" s="25">
        <v>0.0890500264891464</v>
      </c>
      <c r="AB239" s="25">
        <v>0.833281710062822</v>
      </c>
      <c r="AC239" s="25">
        <v>0.0694843264221928</v>
      </c>
      <c r="AD239" s="25">
        <v>0.0886265562858567</v>
      </c>
      <c r="AE239" s="25">
        <v>0.835865945474076</v>
      </c>
      <c r="AF239" s="25">
        <v>0.0953299797365562</v>
      </c>
      <c r="AG239" s="25">
        <v>0.12283381493902</v>
      </c>
      <c r="AH239" s="25">
        <v>0.68876464393043</v>
      </c>
      <c r="AI239" s="25">
        <v>10.0</v>
      </c>
      <c r="AJ239" s="25">
        <v>1.94114432783093</v>
      </c>
      <c r="AK239" s="25">
        <v>6.20107799606114</v>
      </c>
      <c r="AL239" s="25">
        <v>2.49019637700747</v>
      </c>
      <c r="AM239" s="25">
        <v>0.763430124346825</v>
      </c>
      <c r="AN239" s="25">
        <v>1.62033588976199</v>
      </c>
      <c r="AO239" s="25">
        <v>4.27134005514675</v>
      </c>
      <c r="AP239" s="25">
        <v>2.06672205561046</v>
      </c>
      <c r="AQ239" s="25">
        <v>0.835865945474076</v>
      </c>
      <c r="AR239" s="25">
        <v>2.22304216635664</v>
      </c>
      <c r="AS239" s="25">
        <v>8.20488087358652</v>
      </c>
      <c r="AT239" s="25">
        <v>2.86441632336965</v>
      </c>
      <c r="AU239" s="25">
        <v>0.68876464393043</v>
      </c>
      <c r="AV239" s="26">
        <f t="shared" ref="AV239:AW239" si="481">(AC239-AC$289)/AC$290</f>
        <v>0.2481492017</v>
      </c>
      <c r="AW239" s="27">
        <f t="shared" si="481"/>
        <v>0.2585831513</v>
      </c>
      <c r="AX239" s="27">
        <f t="shared" si="5"/>
        <v>0.1732420767</v>
      </c>
      <c r="AY239" s="28">
        <f t="shared" si="6"/>
        <v>0.1858113065</v>
      </c>
      <c r="AZ239" s="29">
        <f t="shared" si="7"/>
        <v>0.1419735205</v>
      </c>
      <c r="BA239" s="28">
        <f t="shared" si="8"/>
        <v>0.1432041722</v>
      </c>
      <c r="BB239" s="29">
        <f t="shared" si="9"/>
        <v>0.05101105671</v>
      </c>
      <c r="BC239" s="27">
        <f t="shared" si="10"/>
        <v>0.1721321229</v>
      </c>
      <c r="BD239" s="28">
        <f t="shared" si="11"/>
        <v>0.08996788681</v>
      </c>
      <c r="BE239" s="30">
        <f t="shared" ref="BE239:BF239" si="482">((S239-S$289)/S$290)</f>
        <v>-0.6113985069</v>
      </c>
      <c r="BF239" s="30">
        <f t="shared" si="482"/>
        <v>-0.8647910663</v>
      </c>
    </row>
    <row r="240">
      <c r="A240" s="21" t="s">
        <v>67</v>
      </c>
      <c r="B240" s="22">
        <f t="shared" si="3"/>
        <v>-0.07748168078</v>
      </c>
      <c r="C240" s="21" t="s">
        <v>68</v>
      </c>
      <c r="D240" s="21" t="s">
        <v>69</v>
      </c>
      <c r="E240" s="23">
        <v>280.0</v>
      </c>
      <c r="F240" s="24" t="s">
        <v>97</v>
      </c>
      <c r="G240" s="21" t="s">
        <v>71</v>
      </c>
      <c r="H240" s="24" t="s">
        <v>105</v>
      </c>
      <c r="I240" s="24" t="s">
        <v>95</v>
      </c>
      <c r="J240" s="24" t="s">
        <v>74</v>
      </c>
      <c r="K240" s="24" t="s">
        <v>101</v>
      </c>
      <c r="L240" s="21" t="s">
        <v>84</v>
      </c>
      <c r="M240" s="24" t="s">
        <v>85</v>
      </c>
      <c r="N240" s="21" t="s">
        <v>86</v>
      </c>
      <c r="O240" s="21" t="s">
        <v>91</v>
      </c>
      <c r="P240" s="21" t="s">
        <v>80</v>
      </c>
      <c r="Q240" s="24" t="s">
        <v>103</v>
      </c>
      <c r="R240" s="24" t="s">
        <v>103</v>
      </c>
      <c r="S240" s="25">
        <v>775.110154151916</v>
      </c>
      <c r="T240" s="25">
        <v>423.011694192886</v>
      </c>
      <c r="U240" s="25">
        <v>2.04946540225668</v>
      </c>
      <c r="V240" s="25">
        <v>6.85023869579565</v>
      </c>
      <c r="W240" s="25">
        <v>2.61729606575099</v>
      </c>
      <c r="X240" s="25">
        <v>0.746230157200352</v>
      </c>
      <c r="Y240" s="25">
        <v>0.0761836116610944</v>
      </c>
      <c r="Z240" s="25">
        <v>0.00923053632228035</v>
      </c>
      <c r="AA240" s="25">
        <v>0.0960756801812006</v>
      </c>
      <c r="AB240" s="25">
        <v>0.792592180135201</v>
      </c>
      <c r="AC240" s="25">
        <v>0.0761846779847805</v>
      </c>
      <c r="AD240" s="25">
        <v>0.0959105932795034</v>
      </c>
      <c r="AE240" s="25">
        <v>0.794453591520021</v>
      </c>
      <c r="AF240" s="25">
        <v>0.0908150674466124</v>
      </c>
      <c r="AG240" s="25">
        <v>0.115759903812659</v>
      </c>
      <c r="AH240" s="25">
        <v>0.703247520471622</v>
      </c>
      <c r="AI240" s="25">
        <v>10.0</v>
      </c>
      <c r="AJ240" s="25">
        <v>2.04946540225662</v>
      </c>
      <c r="AK240" s="25">
        <v>6.85023869579564</v>
      </c>
      <c r="AL240" s="25">
        <v>2.61729606575099</v>
      </c>
      <c r="AM240" s="25">
        <v>0.746174340430066</v>
      </c>
      <c r="AN240" s="25">
        <v>1.86652461062719</v>
      </c>
      <c r="AO240" s="25">
        <v>5.5216048524116</v>
      </c>
      <c r="AP240" s="25">
        <v>2.34980953534783</v>
      </c>
      <c r="AQ240" s="25">
        <v>0.794453591520021</v>
      </c>
      <c r="AR240" s="25">
        <v>2.22496915244197</v>
      </c>
      <c r="AS240" s="25">
        <v>8.04356328726235</v>
      </c>
      <c r="AT240" s="25">
        <v>2.83611764341015</v>
      </c>
      <c r="AU240" s="25">
        <v>0.703247520471623</v>
      </c>
      <c r="AV240" s="26">
        <f t="shared" ref="AV240:AW240" si="483">(AC240-AC$289)/AC$290</f>
        <v>0.3856716394</v>
      </c>
      <c r="AW240" s="27">
        <f t="shared" si="483"/>
        <v>0.3762884463</v>
      </c>
      <c r="AX240" s="27">
        <f t="shared" si="5"/>
        <v>0.1740582248</v>
      </c>
      <c r="AY240" s="28">
        <f t="shared" si="6"/>
        <v>0.1763928509</v>
      </c>
      <c r="AZ240" s="29">
        <f t="shared" si="7"/>
        <v>0.1975738561</v>
      </c>
      <c r="BA240" s="28">
        <f t="shared" si="8"/>
        <v>0.1936016124</v>
      </c>
      <c r="BB240" s="29">
        <f t="shared" si="9"/>
        <v>0.09628510046</v>
      </c>
      <c r="BC240" s="27">
        <f t="shared" si="10"/>
        <v>0.1503990696</v>
      </c>
      <c r="BD240" s="28">
        <f t="shared" si="11"/>
        <v>0.1125369633</v>
      </c>
      <c r="BE240" s="30">
        <f t="shared" ref="BE240:BF240" si="484">((S240-S$289)/S$290)</f>
        <v>-0.6345241792</v>
      </c>
      <c r="BF240" s="30">
        <f t="shared" si="484"/>
        <v>-0.3759850953</v>
      </c>
    </row>
    <row r="241">
      <c r="A241" s="21" t="s">
        <v>67</v>
      </c>
      <c r="B241" s="22">
        <f t="shared" si="3"/>
        <v>-0.3853643161</v>
      </c>
      <c r="C241" s="21" t="s">
        <v>68</v>
      </c>
      <c r="D241" s="21" t="s">
        <v>69</v>
      </c>
      <c r="E241" s="23">
        <v>268.0</v>
      </c>
      <c r="F241" s="24" t="s">
        <v>97</v>
      </c>
      <c r="G241" s="21" t="s">
        <v>71</v>
      </c>
      <c r="H241" s="24" t="s">
        <v>105</v>
      </c>
      <c r="I241" s="24" t="s">
        <v>73</v>
      </c>
      <c r="J241" s="24" t="s">
        <v>90</v>
      </c>
      <c r="K241" s="24" t="s">
        <v>101</v>
      </c>
      <c r="L241" s="21" t="s">
        <v>84</v>
      </c>
      <c r="M241" s="24" t="s">
        <v>85</v>
      </c>
      <c r="N241" s="21" t="s">
        <v>86</v>
      </c>
      <c r="O241" s="21" t="s">
        <v>79</v>
      </c>
      <c r="P241" s="21" t="s">
        <v>80</v>
      </c>
      <c r="Q241" s="24" t="s">
        <v>87</v>
      </c>
      <c r="R241" s="24" t="s">
        <v>103</v>
      </c>
      <c r="S241" s="25">
        <v>512.724224567413</v>
      </c>
      <c r="T241" s="25">
        <v>540.898247480392</v>
      </c>
      <c r="U241" s="25">
        <v>2.8651018382174</v>
      </c>
      <c r="V241" s="25">
        <v>11.9994959173481</v>
      </c>
      <c r="W241" s="25">
        <v>3.46402885630996</v>
      </c>
      <c r="X241" s="25">
        <v>0.55504628546003</v>
      </c>
      <c r="Y241" s="25">
        <v>0.112194228848201</v>
      </c>
      <c r="Z241" s="25">
        <v>0.0179327091353786</v>
      </c>
      <c r="AA241" s="25">
        <v>0.133913065588756</v>
      </c>
      <c r="AB241" s="25">
        <v>0.596661045808314</v>
      </c>
      <c r="AC241" s="25">
        <v>0.112358177455793</v>
      </c>
      <c r="AD241" s="25">
        <v>0.133867841455353</v>
      </c>
      <c r="AE241" s="25">
        <v>0.599123324751654</v>
      </c>
      <c r="AF241" s="25">
        <v>0.114146308960673</v>
      </c>
      <c r="AG241" s="25">
        <v>0.139934820799427</v>
      </c>
      <c r="AH241" s="25">
        <v>0.565587618950661</v>
      </c>
      <c r="AI241" s="25">
        <v>10.0</v>
      </c>
      <c r="AJ241" s="25">
        <v>2.86510183821718</v>
      </c>
      <c r="AK241" s="25">
        <v>11.9994959173481</v>
      </c>
      <c r="AL241" s="25">
        <v>3.46402885630996</v>
      </c>
      <c r="AM241" s="25">
        <v>0.554991115956629</v>
      </c>
      <c r="AN241" s="25">
        <v>2.75277534766676</v>
      </c>
      <c r="AO241" s="25">
        <v>10.7568395352933</v>
      </c>
      <c r="AP241" s="25">
        <v>3.27976211565616</v>
      </c>
      <c r="AQ241" s="25">
        <v>0.599123324751654</v>
      </c>
      <c r="AR241" s="25">
        <v>2.79658456953629</v>
      </c>
      <c r="AS241" s="25">
        <v>11.7539478818187</v>
      </c>
      <c r="AT241" s="25">
        <v>3.42840310958596</v>
      </c>
      <c r="AU241" s="25">
        <v>0.565587618950661</v>
      </c>
      <c r="AV241" s="26">
        <f t="shared" ref="AV241:AW241" si="485">(AC241-AC$289)/AC$290</f>
        <v>1.128120417</v>
      </c>
      <c r="AW241" s="27">
        <f t="shared" si="485"/>
        <v>0.9896528619</v>
      </c>
      <c r="AX241" s="27">
        <f t="shared" si="5"/>
        <v>0.4161579703</v>
      </c>
      <c r="AY241" s="28">
        <f t="shared" si="6"/>
        <v>0.3735191616</v>
      </c>
      <c r="AZ241" s="29">
        <f t="shared" si="7"/>
        <v>0.6162334737</v>
      </c>
      <c r="BA241" s="28">
        <f t="shared" si="8"/>
        <v>0.5293472434</v>
      </c>
      <c r="BB241" s="29">
        <f t="shared" si="9"/>
        <v>0.3098298571</v>
      </c>
      <c r="BC241" s="27">
        <f t="shared" si="10"/>
        <v>0.3569719815</v>
      </c>
      <c r="BD241" s="28">
        <f t="shared" si="11"/>
        <v>0.362588125</v>
      </c>
      <c r="BE241" s="30">
        <f t="shared" ref="BE241:BF241" si="486">((S241-S$289)/S$290)</f>
        <v>-0.7031698064</v>
      </c>
      <c r="BF241" s="30">
        <f t="shared" si="486"/>
        <v>-0.1402438076</v>
      </c>
    </row>
    <row r="242">
      <c r="A242" s="21" t="s">
        <v>67</v>
      </c>
      <c r="B242" s="22">
        <f t="shared" si="3"/>
        <v>-0.09942797826</v>
      </c>
      <c r="C242" s="21" t="s">
        <v>68</v>
      </c>
      <c r="D242" s="21" t="s">
        <v>69</v>
      </c>
      <c r="E242" s="23">
        <v>272.0</v>
      </c>
      <c r="F242" s="24" t="s">
        <v>97</v>
      </c>
      <c r="G242" s="21" t="s">
        <v>71</v>
      </c>
      <c r="H242" s="24" t="s">
        <v>105</v>
      </c>
      <c r="I242" s="24" t="s">
        <v>73</v>
      </c>
      <c r="J242" s="24" t="s">
        <v>99</v>
      </c>
      <c r="K242" s="24" t="s">
        <v>101</v>
      </c>
      <c r="L242" s="21" t="s">
        <v>92</v>
      </c>
      <c r="M242" s="24" t="s">
        <v>85</v>
      </c>
      <c r="N242" s="21" t="s">
        <v>78</v>
      </c>
      <c r="O242" s="21" t="s">
        <v>79</v>
      </c>
      <c r="P242" s="21" t="s">
        <v>80</v>
      </c>
      <c r="Q242" s="24" t="s">
        <v>93</v>
      </c>
      <c r="R242" s="24" t="s">
        <v>81</v>
      </c>
      <c r="S242" s="25">
        <v>755.070734977722</v>
      </c>
      <c r="T242" s="25">
        <v>425.707499027252</v>
      </c>
      <c r="U242" s="25">
        <v>2.13502937797435</v>
      </c>
      <c r="V242" s="25">
        <v>7.4416206446479</v>
      </c>
      <c r="W242" s="25">
        <v>2.72793340179849</v>
      </c>
      <c r="X242" s="25">
        <v>0.724101211859967</v>
      </c>
      <c r="Y242" s="25">
        <v>0.0764900963813984</v>
      </c>
      <c r="Z242" s="25">
        <v>0.00925646571737426</v>
      </c>
      <c r="AA242" s="25">
        <v>0.0962105281004852</v>
      </c>
      <c r="AB242" s="25">
        <v>0.791805400189573</v>
      </c>
      <c r="AC242" s="25">
        <v>0.0761532348936583</v>
      </c>
      <c r="AD242" s="25">
        <v>0.0958328453292969</v>
      </c>
      <c r="AE242" s="25">
        <v>0.794559041785067</v>
      </c>
      <c r="AF242" s="25">
        <v>0.0944391511000121</v>
      </c>
      <c r="AG242" s="25">
        <v>0.121252060965934</v>
      </c>
      <c r="AH242" s="25">
        <v>0.673841380014322</v>
      </c>
      <c r="AI242" s="25">
        <v>10.0</v>
      </c>
      <c r="AJ242" s="25">
        <v>2.1350293779743</v>
      </c>
      <c r="AK242" s="25">
        <v>7.44162064464791</v>
      </c>
      <c r="AL242" s="25">
        <v>2.72793340179849</v>
      </c>
      <c r="AM242" s="25">
        <v>0.724022798844309</v>
      </c>
      <c r="AN242" s="25">
        <v>1.86575425489464</v>
      </c>
      <c r="AO242" s="25">
        <v>5.51265652990634</v>
      </c>
      <c r="AP242" s="25">
        <v>2.34790471056777</v>
      </c>
      <c r="AQ242" s="25">
        <v>0.794559041785067</v>
      </c>
      <c r="AR242" s="25">
        <v>2.31375920195022</v>
      </c>
      <c r="AS242" s="25">
        <v>8.82491288866412</v>
      </c>
      <c r="AT242" s="25">
        <v>2.97067549366539</v>
      </c>
      <c r="AU242" s="25">
        <v>0.673841380014322</v>
      </c>
      <c r="AV242" s="26">
        <f t="shared" ref="AV242:AW242" si="487">(AC242-AC$289)/AC$290</f>
        <v>0.3850262806</v>
      </c>
      <c r="AW242" s="27">
        <f t="shared" si="487"/>
        <v>0.37503209</v>
      </c>
      <c r="AX242" s="27">
        <f t="shared" si="5"/>
        <v>0.2116640131</v>
      </c>
      <c r="AY242" s="28">
        <f t="shared" si="6"/>
        <v>0.2211768176</v>
      </c>
      <c r="AZ242" s="29">
        <f t="shared" si="7"/>
        <v>0.2414931561</v>
      </c>
      <c r="BA242" s="28">
        <f t="shared" si="8"/>
        <v>0.2374714172</v>
      </c>
      <c r="BB242" s="29">
        <f t="shared" si="9"/>
        <v>0.09616981699</v>
      </c>
      <c r="BC242" s="27">
        <f t="shared" si="10"/>
        <v>0.194526023</v>
      </c>
      <c r="BD242" s="28">
        <f t="shared" si="11"/>
        <v>0.1415092684</v>
      </c>
      <c r="BE242" s="30">
        <f t="shared" ref="BE242:BF242" si="488">((S242-S$289)/S$290)</f>
        <v>-0.6397669089</v>
      </c>
      <c r="BF242" s="30">
        <f t="shared" si="488"/>
        <v>-0.3705942133</v>
      </c>
    </row>
    <row r="243">
      <c r="A243" s="21" t="s">
        <v>88</v>
      </c>
      <c r="B243" s="22">
        <f t="shared" si="3"/>
        <v>-1.019423291</v>
      </c>
      <c r="C243" s="21" t="s">
        <v>68</v>
      </c>
      <c r="D243" s="21" t="s">
        <v>69</v>
      </c>
      <c r="E243" s="23">
        <v>20.0</v>
      </c>
      <c r="F243" s="24" t="s">
        <v>70</v>
      </c>
      <c r="G243" s="21" t="s">
        <v>82</v>
      </c>
      <c r="H243" s="24" t="s">
        <v>83</v>
      </c>
      <c r="I243" s="24" t="s">
        <v>73</v>
      </c>
      <c r="J243" s="24" t="s">
        <v>99</v>
      </c>
      <c r="K243" s="24" t="s">
        <v>75</v>
      </c>
      <c r="L243" s="21" t="s">
        <v>76</v>
      </c>
      <c r="M243" s="24" t="s">
        <v>77</v>
      </c>
      <c r="N243" s="21" t="s">
        <v>86</v>
      </c>
      <c r="O243" s="21" t="s">
        <v>79</v>
      </c>
      <c r="P243" s="21" t="s">
        <v>80</v>
      </c>
      <c r="Q243" s="24" t="s">
        <v>81</v>
      </c>
      <c r="S243" s="25">
        <v>67.8349387645721</v>
      </c>
      <c r="T243" s="25">
        <v>171.103638172149</v>
      </c>
      <c r="U243" s="25">
        <v>4.31563554926127</v>
      </c>
      <c r="V243" s="25">
        <v>25.9804372248033</v>
      </c>
      <c r="W243" s="25">
        <v>5.09710086468801</v>
      </c>
      <c r="X243" s="25">
        <v>0.00224542920108886</v>
      </c>
      <c r="Y243" s="25">
        <v>0.164771367230174</v>
      </c>
      <c r="Z243" s="25">
        <v>0.0364940817564596</v>
      </c>
      <c r="AA243" s="25">
        <v>0.191034242366282</v>
      </c>
      <c r="AB243" s="25">
        <v>0.232365865237002</v>
      </c>
      <c r="AC243" s="25">
        <v>0.165435573884208</v>
      </c>
      <c r="AD243" s="25">
        <v>0.191639288100924</v>
      </c>
      <c r="AE243" s="25">
        <v>0.231252894349186</v>
      </c>
      <c r="AF243" s="25">
        <v>0.221694227565622</v>
      </c>
      <c r="AG243" s="25">
        <v>0.257735244224809</v>
      </c>
      <c r="AH243" s="25">
        <v>-0.384607399044463</v>
      </c>
      <c r="AI243" s="25">
        <v>10.0</v>
      </c>
      <c r="AJ243" s="25">
        <v>4.31563554926127</v>
      </c>
      <c r="AK243" s="25">
        <v>25.9804372248033</v>
      </c>
      <c r="AL243" s="25">
        <v>5.09710086468801</v>
      </c>
      <c r="AM243" s="25">
        <v>0.00218548563731113</v>
      </c>
      <c r="AN243" s="25">
        <v>3.85786567432757</v>
      </c>
      <c r="AO243" s="25">
        <v>19.9712614489083</v>
      </c>
      <c r="AP243" s="25">
        <v>4.46892173224239</v>
      </c>
      <c r="AQ243" s="25">
        <v>0.231252894349186</v>
      </c>
      <c r="AR243" s="25">
        <v>5.16978622337053</v>
      </c>
      <c r="AS243" s="25">
        <v>36.1230174219984</v>
      </c>
      <c r="AT243" s="25">
        <v>6.01024270907577</v>
      </c>
      <c r="AU243" s="25">
        <v>-0.384607399044463</v>
      </c>
      <c r="AV243" s="26">
        <f t="shared" ref="AV243:AW243" si="489">(AC243-AC$289)/AC$290</f>
        <v>2.217515932</v>
      </c>
      <c r="AW243" s="27">
        <f t="shared" si="489"/>
        <v>1.923201823</v>
      </c>
      <c r="AX243" s="27">
        <f t="shared" si="5"/>
        <v>1.421294465</v>
      </c>
      <c r="AY243" s="28">
        <f t="shared" si="6"/>
        <v>1.232815133</v>
      </c>
      <c r="AZ243" s="29">
        <f t="shared" si="7"/>
        <v>1.360780752</v>
      </c>
      <c r="BA243" s="28">
        <f t="shared" si="8"/>
        <v>1.176891307</v>
      </c>
      <c r="BB243" s="29">
        <f t="shared" si="9"/>
        <v>0.7120040967</v>
      </c>
      <c r="BC243" s="27">
        <f t="shared" si="10"/>
        <v>1.782837826</v>
      </c>
      <c r="BD243" s="28">
        <f t="shared" si="11"/>
        <v>1.085610192</v>
      </c>
      <c r="BE243" s="30">
        <f t="shared" ref="BE243:BF243" si="490">((S243-S$289)/S$290)</f>
        <v>-0.819562115</v>
      </c>
      <c r="BF243" s="30">
        <f t="shared" si="490"/>
        <v>-0.8797332147</v>
      </c>
    </row>
    <row r="244">
      <c r="A244" s="21" t="s">
        <v>88</v>
      </c>
      <c r="B244" s="22">
        <f t="shared" si="3"/>
        <v>0.1172219585</v>
      </c>
      <c r="C244" s="21" t="s">
        <v>68</v>
      </c>
      <c r="D244" s="21" t="s">
        <v>69</v>
      </c>
      <c r="E244" s="23">
        <v>154.0</v>
      </c>
      <c r="F244" s="24" t="s">
        <v>97</v>
      </c>
      <c r="G244" s="21" t="s">
        <v>82</v>
      </c>
      <c r="H244" s="24" t="s">
        <v>98</v>
      </c>
      <c r="I244" s="24" t="s">
        <v>95</v>
      </c>
      <c r="J244" s="24" t="s">
        <v>99</v>
      </c>
      <c r="K244" s="24" t="s">
        <v>101</v>
      </c>
      <c r="L244" s="21" t="s">
        <v>84</v>
      </c>
      <c r="M244" s="24" t="s">
        <v>77</v>
      </c>
      <c r="N244" s="21" t="s">
        <v>86</v>
      </c>
      <c r="O244" s="21" t="s">
        <v>79</v>
      </c>
      <c r="P244" s="21" t="s">
        <v>80</v>
      </c>
      <c r="Q244" s="24" t="s">
        <v>81</v>
      </c>
      <c r="S244" s="25">
        <v>941.956284999847</v>
      </c>
      <c r="T244" s="25">
        <v>432.73389339447</v>
      </c>
      <c r="U244" s="25">
        <v>1.63077596959608</v>
      </c>
      <c r="V244" s="25">
        <v>4.40854126608483</v>
      </c>
      <c r="W244" s="25">
        <v>2.09965265367508</v>
      </c>
      <c r="X244" s="25">
        <v>0.836847908478073</v>
      </c>
      <c r="Y244" s="25">
        <v>0.0512915486047242</v>
      </c>
      <c r="Z244" s="25">
        <v>0.00422831553810497</v>
      </c>
      <c r="AA244" s="25">
        <v>0.0650254991376842</v>
      </c>
      <c r="AB244" s="25">
        <v>0.905370753628656</v>
      </c>
      <c r="AC244" s="25">
        <v>0.0511996463611947</v>
      </c>
      <c r="AD244" s="25">
        <v>0.0648939719263939</v>
      </c>
      <c r="AE244" s="25">
        <v>0.906203954853926</v>
      </c>
      <c r="AF244" s="25">
        <v>0.0727879110242282</v>
      </c>
      <c r="AG244" s="25">
        <v>0.0930103027031927</v>
      </c>
      <c r="AH244" s="25">
        <v>0.808111401306463</v>
      </c>
      <c r="AI244" s="25">
        <v>10.0</v>
      </c>
      <c r="AJ244" s="25">
        <v>1.63077596959608</v>
      </c>
      <c r="AK244" s="25">
        <v>4.40854126608483</v>
      </c>
      <c r="AL244" s="25">
        <v>2.09965265367508</v>
      </c>
      <c r="AM244" s="25">
        <v>0.836817780825092</v>
      </c>
      <c r="AN244" s="25">
        <v>1.25439133584928</v>
      </c>
      <c r="AO244" s="25">
        <v>2.52778936232824</v>
      </c>
      <c r="AP244" s="25">
        <v>1.58990231219664</v>
      </c>
      <c r="AQ244" s="25">
        <v>0.906203954853926</v>
      </c>
      <c r="AR244" s="25">
        <v>1.78330382009358</v>
      </c>
      <c r="AS244" s="25">
        <v>5.19271257446593</v>
      </c>
      <c r="AT244" s="25">
        <v>2.27875241622821</v>
      </c>
      <c r="AU244" s="25">
        <v>0.808111401306463</v>
      </c>
      <c r="AV244" s="26">
        <f t="shared" ref="AV244:AW244" si="491">(AC244-AC$289)/AC$290</f>
        <v>-0.1271376398</v>
      </c>
      <c r="AW244" s="27">
        <f t="shared" si="491"/>
        <v>-0.1249199591</v>
      </c>
      <c r="AX244" s="27">
        <f t="shared" si="5"/>
        <v>-0.013002973</v>
      </c>
      <c r="AY244" s="28">
        <f t="shared" si="6"/>
        <v>-0.009111196157</v>
      </c>
      <c r="AZ244" s="29">
        <f t="shared" si="7"/>
        <v>-0.01733605968</v>
      </c>
      <c r="BA244" s="28">
        <f t="shared" si="8"/>
        <v>-0.01165383057</v>
      </c>
      <c r="BB244" s="29">
        <f t="shared" si="9"/>
        <v>-0.02588595132</v>
      </c>
      <c r="BC244" s="27">
        <f t="shared" si="10"/>
        <v>-0.006960023183</v>
      </c>
      <c r="BD244" s="28">
        <f t="shared" si="11"/>
        <v>-0.00601683576</v>
      </c>
      <c r="BE244" s="30">
        <f t="shared" ref="BE244:BF244" si="492">((S244-S$289)/S$290)</f>
        <v>-0.5908737544</v>
      </c>
      <c r="BF244" s="30">
        <f t="shared" si="492"/>
        <v>-0.3565433211</v>
      </c>
    </row>
    <row r="245">
      <c r="A245" s="21" t="s">
        <v>88</v>
      </c>
      <c r="B245" s="22">
        <f t="shared" si="3"/>
        <v>-0.1742660271</v>
      </c>
      <c r="C245" s="21" t="s">
        <v>68</v>
      </c>
      <c r="D245" s="21" t="s">
        <v>69</v>
      </c>
      <c r="E245" s="23">
        <v>242.0</v>
      </c>
      <c r="F245" s="24" t="s">
        <v>97</v>
      </c>
      <c r="G245" s="21" t="s">
        <v>71</v>
      </c>
      <c r="H245" s="24" t="s">
        <v>105</v>
      </c>
      <c r="I245" s="24" t="s">
        <v>95</v>
      </c>
      <c r="J245" s="24" t="s">
        <v>90</v>
      </c>
      <c r="K245" s="24" t="s">
        <v>75</v>
      </c>
      <c r="L245" s="21" t="s">
        <v>92</v>
      </c>
      <c r="M245" s="24" t="s">
        <v>85</v>
      </c>
      <c r="N245" s="21" t="s">
        <v>86</v>
      </c>
      <c r="O245" s="21" t="s">
        <v>91</v>
      </c>
      <c r="P245" s="21" t="s">
        <v>80</v>
      </c>
      <c r="Q245" s="24" t="s">
        <v>81</v>
      </c>
      <c r="R245" s="24" t="s">
        <v>96</v>
      </c>
      <c r="S245" s="25">
        <v>684.852003812789</v>
      </c>
      <c r="T245" s="25">
        <v>593.248141527175</v>
      </c>
      <c r="U245" s="25">
        <v>2.33235130877415</v>
      </c>
      <c r="V245" s="25">
        <v>8.10167737154644</v>
      </c>
      <c r="W245" s="25">
        <v>2.84634456303983</v>
      </c>
      <c r="X245" s="25">
        <v>0.699861291126316</v>
      </c>
      <c r="Y245" s="25">
        <v>0.0834585377885186</v>
      </c>
      <c r="Z245" s="25">
        <v>0.0104750904217077</v>
      </c>
      <c r="AA245" s="25">
        <v>0.102347889190289</v>
      </c>
      <c r="AB245" s="25">
        <v>0.764627363850045</v>
      </c>
      <c r="AC245" s="25">
        <v>0.0830440709292179</v>
      </c>
      <c r="AD245" s="25">
        <v>0.101924922419796</v>
      </c>
      <c r="AE245" s="25">
        <v>0.767866661718906</v>
      </c>
      <c r="AF245" s="25">
        <v>0.0999407023823571</v>
      </c>
      <c r="AG245" s="25">
        <v>0.121336296917468</v>
      </c>
      <c r="AH245" s="25">
        <v>0.673968535398355</v>
      </c>
      <c r="AI245" s="25">
        <v>10.0</v>
      </c>
      <c r="AJ245" s="25">
        <v>2.33235130877402</v>
      </c>
      <c r="AK245" s="25">
        <v>8.10167737154644</v>
      </c>
      <c r="AL245" s="25">
        <v>2.84634456303983</v>
      </c>
      <c r="AM245" s="25">
        <v>0.699804095334997</v>
      </c>
      <c r="AN245" s="25">
        <v>2.0345797377659</v>
      </c>
      <c r="AO245" s="25">
        <v>6.23581105862154</v>
      </c>
      <c r="AP245" s="25">
        <v>2.49716059928502</v>
      </c>
      <c r="AQ245" s="25">
        <v>0.767866661718906</v>
      </c>
      <c r="AR245" s="25">
        <v>2.44854720836773</v>
      </c>
      <c r="AS245" s="25">
        <v>8.83717879402382</v>
      </c>
      <c r="AT245" s="25">
        <v>2.97273927447797</v>
      </c>
      <c r="AU245" s="25">
        <v>0.673968535398355</v>
      </c>
      <c r="AV245" s="26">
        <f t="shared" ref="AV245:AW245" si="493">(AC245-AC$289)/AC$290</f>
        <v>0.5264583473</v>
      </c>
      <c r="AW245" s="27">
        <f t="shared" si="493"/>
        <v>0.4734760891</v>
      </c>
      <c r="AX245" s="27">
        <f t="shared" si="5"/>
        <v>0.2687515952</v>
      </c>
      <c r="AY245" s="28">
        <f t="shared" si="6"/>
        <v>0.2218636916</v>
      </c>
      <c r="AZ245" s="29">
        <f t="shared" si="7"/>
        <v>0.342776915</v>
      </c>
      <c r="BA245" s="28">
        <f t="shared" si="8"/>
        <v>0.2844236912</v>
      </c>
      <c r="BB245" s="29">
        <f t="shared" si="9"/>
        <v>0.1253512536</v>
      </c>
      <c r="BC245" s="27">
        <f t="shared" si="10"/>
        <v>0.1943352132</v>
      </c>
      <c r="BD245" s="28">
        <f t="shared" si="11"/>
        <v>0.1731852429</v>
      </c>
      <c r="BE245" s="30">
        <f t="shared" ref="BE245:BF245" si="494">((S245-S$289)/S$290)</f>
        <v>-0.6581375923</v>
      </c>
      <c r="BF245" s="30">
        <f t="shared" si="494"/>
        <v>-0.03555814929</v>
      </c>
    </row>
    <row r="246">
      <c r="A246" s="21" t="s">
        <v>67</v>
      </c>
      <c r="B246" s="22">
        <f t="shared" si="3"/>
        <v>-0.1420663731</v>
      </c>
      <c r="C246" s="21" t="s">
        <v>68</v>
      </c>
      <c r="D246" s="21" t="s">
        <v>69</v>
      </c>
      <c r="E246" s="23">
        <v>285.0</v>
      </c>
      <c r="F246" s="24" t="s">
        <v>97</v>
      </c>
      <c r="G246" s="21" t="s">
        <v>71</v>
      </c>
      <c r="H246" s="24" t="s">
        <v>105</v>
      </c>
      <c r="I246" s="24" t="s">
        <v>95</v>
      </c>
      <c r="J246" s="24" t="s">
        <v>74</v>
      </c>
      <c r="K246" s="24" t="s">
        <v>101</v>
      </c>
      <c r="L246" s="21" t="s">
        <v>76</v>
      </c>
      <c r="M246" s="24" t="s">
        <v>85</v>
      </c>
      <c r="N246" s="21" t="s">
        <v>78</v>
      </c>
      <c r="O246" s="21" t="s">
        <v>91</v>
      </c>
      <c r="P246" s="21" t="s">
        <v>80</v>
      </c>
      <c r="Q246" s="24" t="s">
        <v>103</v>
      </c>
      <c r="R246" s="24" t="s">
        <v>81</v>
      </c>
      <c r="S246" s="25">
        <v>747.906473398208</v>
      </c>
      <c r="T246" s="25">
        <v>548.257776021957</v>
      </c>
      <c r="U246" s="25">
        <v>2.1975214662603</v>
      </c>
      <c r="V246" s="25">
        <v>7.65211511552071</v>
      </c>
      <c r="W246" s="25">
        <v>2.7662456715774</v>
      </c>
      <c r="X246" s="25">
        <v>0.716499801212116</v>
      </c>
      <c r="Y246" s="25">
        <v>0.0827575977031028</v>
      </c>
      <c r="Z246" s="25">
        <v>0.0105394788185909</v>
      </c>
      <c r="AA246" s="25">
        <v>0.102661963835643</v>
      </c>
      <c r="AB246" s="25">
        <v>0.76318057283424</v>
      </c>
      <c r="AC246" s="25">
        <v>0.0826897699440236</v>
      </c>
      <c r="AD246" s="25">
        <v>0.102439942291043</v>
      </c>
      <c r="AE246" s="25">
        <v>0.76551482614132</v>
      </c>
      <c r="AF246" s="25">
        <v>0.0919993208042972</v>
      </c>
      <c r="AG246" s="25">
        <v>0.116403985498031</v>
      </c>
      <c r="AH246" s="25">
        <v>0.699936105083499</v>
      </c>
      <c r="AI246" s="25">
        <v>10.0</v>
      </c>
      <c r="AJ246" s="25">
        <v>2.19752146626021</v>
      </c>
      <c r="AK246" s="25">
        <v>7.6521151155207</v>
      </c>
      <c r="AL246" s="25">
        <v>2.7662456715774</v>
      </c>
      <c r="AM246" s="25">
        <v>0.716461972705535</v>
      </c>
      <c r="AN246" s="25">
        <v>2.02589936362864</v>
      </c>
      <c r="AO246" s="25">
        <v>6.29898855139948</v>
      </c>
      <c r="AP246" s="25">
        <v>2.50977858613055</v>
      </c>
      <c r="AQ246" s="25">
        <v>0.76551482614132</v>
      </c>
      <c r="AR246" s="25">
        <v>2.25398335970523</v>
      </c>
      <c r="AS246" s="25">
        <v>8.13332017585554</v>
      </c>
      <c r="AT246" s="25">
        <v>2.85189764470177</v>
      </c>
      <c r="AU246" s="25">
        <v>0.6999361050835</v>
      </c>
      <c r="AV246" s="26">
        <f t="shared" ref="AV246:AW246" si="495">(AC246-AC$289)/AC$290</f>
        <v>0.5191864401</v>
      </c>
      <c r="AW246" s="27">
        <f t="shared" si="495"/>
        <v>0.4817984749</v>
      </c>
      <c r="AX246" s="27">
        <f t="shared" si="5"/>
        <v>0.186346788</v>
      </c>
      <c r="AY246" s="28">
        <f t="shared" si="6"/>
        <v>0.1816448005</v>
      </c>
      <c r="AZ246" s="29">
        <f t="shared" si="7"/>
        <v>0.2735698421</v>
      </c>
      <c r="BA246" s="28">
        <f t="shared" si="8"/>
        <v>0.2526629597</v>
      </c>
      <c r="BB246" s="29">
        <f t="shared" si="9"/>
        <v>0.1279223972</v>
      </c>
      <c r="BC246" s="27">
        <f t="shared" si="10"/>
        <v>0.1553681907</v>
      </c>
      <c r="BD246" s="28">
        <f t="shared" si="11"/>
        <v>0.1513981766</v>
      </c>
      <c r="BE246" s="30">
        <f t="shared" ref="BE246:BF246" si="496">((S246-S$289)/S$290)</f>
        <v>-0.641641229</v>
      </c>
      <c r="BF246" s="30">
        <f t="shared" si="496"/>
        <v>-0.1255267369</v>
      </c>
    </row>
    <row r="247">
      <c r="A247" s="21" t="s">
        <v>67</v>
      </c>
      <c r="B247" s="22">
        <f t="shared" si="3"/>
        <v>0.05413474867</v>
      </c>
      <c r="C247" s="21" t="s">
        <v>68</v>
      </c>
      <c r="D247" s="21" t="s">
        <v>69</v>
      </c>
      <c r="E247" s="23">
        <v>282.0</v>
      </c>
      <c r="F247" s="24" t="s">
        <v>97</v>
      </c>
      <c r="G247" s="21" t="s">
        <v>71</v>
      </c>
      <c r="H247" s="24" t="s">
        <v>105</v>
      </c>
      <c r="I247" s="24" t="s">
        <v>95</v>
      </c>
      <c r="J247" s="24" t="s">
        <v>99</v>
      </c>
      <c r="K247" s="24" t="s">
        <v>75</v>
      </c>
      <c r="L247" s="21" t="s">
        <v>92</v>
      </c>
      <c r="M247" s="24" t="s">
        <v>85</v>
      </c>
      <c r="N247" s="21" t="s">
        <v>86</v>
      </c>
      <c r="O247" s="21" t="s">
        <v>91</v>
      </c>
      <c r="P247" s="21" t="s">
        <v>80</v>
      </c>
      <c r="Q247" s="24" t="s">
        <v>93</v>
      </c>
      <c r="R247" s="24" t="s">
        <v>93</v>
      </c>
      <c r="S247" s="25">
        <v>898.506402015686</v>
      </c>
      <c r="T247" s="25">
        <v>550.928086280822</v>
      </c>
      <c r="U247" s="25">
        <v>1.72122065530817</v>
      </c>
      <c r="V247" s="25">
        <v>4.98221737410237</v>
      </c>
      <c r="W247" s="25">
        <v>2.23208811969921</v>
      </c>
      <c r="X247" s="25">
        <v>0.815447589584652</v>
      </c>
      <c r="Y247" s="25">
        <v>0.0561014675456781</v>
      </c>
      <c r="Z247" s="25">
        <v>0.0050222551461569</v>
      </c>
      <c r="AA247" s="25">
        <v>0.0708678710429268</v>
      </c>
      <c r="AB247" s="25">
        <v>0.887151195304344</v>
      </c>
      <c r="AC247" s="25">
        <v>0.0563549190623298</v>
      </c>
      <c r="AD247" s="25">
        <v>0.0709992655604325</v>
      </c>
      <c r="AE247" s="25">
        <v>0.887362124532865</v>
      </c>
      <c r="AF247" s="25">
        <v>0.0764801753105814</v>
      </c>
      <c r="AG247" s="25">
        <v>0.0984590012940884</v>
      </c>
      <c r="AH247" s="25">
        <v>0.785321330801199</v>
      </c>
      <c r="AI247" s="25">
        <v>10.0</v>
      </c>
      <c r="AJ247" s="25">
        <v>1.72122065530816</v>
      </c>
      <c r="AK247" s="25">
        <v>4.98221737410237</v>
      </c>
      <c r="AL247" s="25">
        <v>2.23208811969921</v>
      </c>
      <c r="AM247" s="25">
        <v>0.815391161204575</v>
      </c>
      <c r="AN247" s="25">
        <v>1.38069551702712</v>
      </c>
      <c r="AO247" s="25">
        <v>3.02579765000002</v>
      </c>
      <c r="AP247" s="25">
        <v>1.73948200623059</v>
      </c>
      <c r="AQ247" s="25">
        <v>0.887362124532865</v>
      </c>
      <c r="AR247" s="25">
        <v>1.87376429510932</v>
      </c>
      <c r="AS247" s="25">
        <v>5.81892850523154</v>
      </c>
      <c r="AT247" s="25">
        <v>2.41224553170516</v>
      </c>
      <c r="AU247" s="25">
        <v>0.785321330801199</v>
      </c>
      <c r="AV247" s="26">
        <f t="shared" ref="AV247:AW247" si="497">(AC247-AC$289)/AC$290</f>
        <v>-0.02132742037</v>
      </c>
      <c r="AW247" s="27">
        <f t="shared" si="497"/>
        <v>-0.02626238929</v>
      </c>
      <c r="AX247" s="27">
        <f t="shared" si="5"/>
        <v>0.0253103008</v>
      </c>
      <c r="AY247" s="28">
        <f t="shared" si="6"/>
        <v>0.03531840218</v>
      </c>
      <c r="AZ247" s="29">
        <f t="shared" si="7"/>
        <v>0.02908846951</v>
      </c>
      <c r="BA247" s="28">
        <f t="shared" si="8"/>
        <v>0.04085934667</v>
      </c>
      <c r="BB247" s="29">
        <f t="shared" si="9"/>
        <v>-0.005287125876</v>
      </c>
      <c r="BC247" s="27">
        <f t="shared" si="10"/>
        <v>0.02723883338</v>
      </c>
      <c r="BD247" s="28">
        <f t="shared" si="11"/>
        <v>0.02200733395</v>
      </c>
      <c r="BE247" s="30">
        <f t="shared" ref="BE247:BF247" si="498">((S247-S$289)/S$290)</f>
        <v>-0.6022411492</v>
      </c>
      <c r="BF247" s="30">
        <f t="shared" si="498"/>
        <v>-0.1201868372</v>
      </c>
    </row>
    <row r="248">
      <c r="A248" s="21" t="s">
        <v>88</v>
      </c>
      <c r="B248" s="22">
        <f t="shared" si="3"/>
        <v>-0.2296282232</v>
      </c>
      <c r="C248" s="21" t="s">
        <v>68</v>
      </c>
      <c r="D248" s="21" t="s">
        <v>69</v>
      </c>
      <c r="E248" s="23">
        <v>226.0</v>
      </c>
      <c r="F248" s="24" t="s">
        <v>97</v>
      </c>
      <c r="G248" s="21" t="s">
        <v>71</v>
      </c>
      <c r="H248" s="24" t="s">
        <v>105</v>
      </c>
      <c r="I248" s="24" t="s">
        <v>73</v>
      </c>
      <c r="J248" s="24" t="s">
        <v>74</v>
      </c>
      <c r="K248" s="24" t="s">
        <v>101</v>
      </c>
      <c r="L248" s="21" t="s">
        <v>92</v>
      </c>
      <c r="M248" s="24" t="s">
        <v>77</v>
      </c>
      <c r="N248" s="21" t="s">
        <v>104</v>
      </c>
      <c r="O248" s="21" t="s">
        <v>79</v>
      </c>
      <c r="P248" s="21" t="s">
        <v>80</v>
      </c>
      <c r="Q248" s="24" t="s">
        <v>93</v>
      </c>
      <c r="S248" s="25">
        <v>702.365220546722</v>
      </c>
      <c r="T248" s="25">
        <v>428.396090507507</v>
      </c>
      <c r="U248" s="25">
        <v>2.51012107422369</v>
      </c>
      <c r="V248" s="25">
        <v>10.110254392223</v>
      </c>
      <c r="W248" s="25">
        <v>3.17966262238985</v>
      </c>
      <c r="X248" s="25">
        <v>0.625180877467435</v>
      </c>
      <c r="Y248" s="25">
        <v>0.0883891296723601</v>
      </c>
      <c r="Z248" s="25">
        <v>0.0120891713158247</v>
      </c>
      <c r="AA248" s="25">
        <v>0.109950767690929</v>
      </c>
      <c r="AB248" s="25">
        <v>0.728092745008105</v>
      </c>
      <c r="AC248" s="25">
        <v>0.0886042583653984</v>
      </c>
      <c r="AD248" s="25">
        <v>0.109955730675597</v>
      </c>
      <c r="AE248" s="25">
        <v>0.729545629365515</v>
      </c>
      <c r="AF248" s="25">
        <v>0.10680721962194</v>
      </c>
      <c r="AG248" s="25">
        <v>0.136567690358179</v>
      </c>
      <c r="AH248" s="25">
        <v>0.586241878178149</v>
      </c>
      <c r="AI248" s="25">
        <v>10.0</v>
      </c>
      <c r="AJ248" s="25">
        <v>2.51012107422357</v>
      </c>
      <c r="AK248" s="25">
        <v>10.110254392223</v>
      </c>
      <c r="AL248" s="25">
        <v>3.17966262238984</v>
      </c>
      <c r="AM248" s="25">
        <v>0.625054831013927</v>
      </c>
      <c r="AN248" s="25">
        <v>2.17080432995224</v>
      </c>
      <c r="AO248" s="25">
        <v>7.2571801907198</v>
      </c>
      <c r="AP248" s="25">
        <v>2.69391540155213</v>
      </c>
      <c r="AQ248" s="25">
        <v>0.729545629365515</v>
      </c>
      <c r="AR248" s="25">
        <v>2.61677688073744</v>
      </c>
      <c r="AS248" s="25">
        <v>11.195103113373</v>
      </c>
      <c r="AT248" s="25">
        <v>3.3459084137754</v>
      </c>
      <c r="AU248" s="25">
        <v>0.586241878178149</v>
      </c>
      <c r="AV248" s="26">
        <f t="shared" ref="AV248:AW248" si="499">(AC248-AC$289)/AC$290</f>
        <v>0.640579304</v>
      </c>
      <c r="AW248" s="27">
        <f t="shared" si="499"/>
        <v>0.6032487214</v>
      </c>
      <c r="AX248" s="27">
        <f t="shared" si="5"/>
        <v>0.340002929</v>
      </c>
      <c r="AY248" s="28">
        <f t="shared" si="6"/>
        <v>0.3460630177</v>
      </c>
      <c r="AZ248" s="29">
        <f t="shared" si="7"/>
        <v>0.4340247048</v>
      </c>
      <c r="BA248" s="28">
        <f t="shared" si="8"/>
        <v>0.4165906315</v>
      </c>
      <c r="BB248" s="29">
        <f t="shared" si="9"/>
        <v>0.167245711</v>
      </c>
      <c r="BC248" s="27">
        <f t="shared" si="10"/>
        <v>0.3259781305</v>
      </c>
      <c r="BD248" s="28">
        <f t="shared" si="11"/>
        <v>0.2709508311</v>
      </c>
      <c r="BE248" s="30">
        <f t="shared" ref="BE248:BF248" si="500">((S248-S$289)/S$290)</f>
        <v>-0.6535557698</v>
      </c>
      <c r="BF248" s="30">
        <f t="shared" si="500"/>
        <v>-0.365217756</v>
      </c>
    </row>
    <row r="249">
      <c r="A249" s="21" t="s">
        <v>88</v>
      </c>
      <c r="B249" s="22">
        <f t="shared" si="3"/>
        <v>-0.1744548333</v>
      </c>
      <c r="C249" s="21" t="s">
        <v>68</v>
      </c>
      <c r="D249" s="21" t="s">
        <v>69</v>
      </c>
      <c r="E249" s="23">
        <v>75.0</v>
      </c>
      <c r="F249" s="24" t="s">
        <v>70</v>
      </c>
      <c r="G249" s="21" t="s">
        <v>71</v>
      </c>
      <c r="H249" s="24" t="s">
        <v>72</v>
      </c>
      <c r="I249" s="24" t="s">
        <v>95</v>
      </c>
      <c r="J249" s="24" t="s">
        <v>90</v>
      </c>
      <c r="K249" s="24" t="s">
        <v>101</v>
      </c>
      <c r="L249" s="21" t="s">
        <v>84</v>
      </c>
      <c r="M249" s="24" t="s">
        <v>85</v>
      </c>
      <c r="N249" s="21" t="s">
        <v>78</v>
      </c>
      <c r="O249" s="21" t="s">
        <v>79</v>
      </c>
      <c r="P249" s="21" t="s">
        <v>80</v>
      </c>
      <c r="Q249" s="24" t="s">
        <v>87</v>
      </c>
      <c r="R249" s="24" t="s">
        <v>81</v>
      </c>
      <c r="S249" s="25">
        <v>854.001181602478</v>
      </c>
      <c r="T249" s="25">
        <v>183.384596347808</v>
      </c>
      <c r="U249" s="25">
        <v>2.39479535512296</v>
      </c>
      <c r="V249" s="25">
        <v>9.40210132853622</v>
      </c>
      <c r="W249" s="25">
        <v>3.06628461310039</v>
      </c>
      <c r="X249" s="25">
        <v>0.641491128366285</v>
      </c>
      <c r="Y249" s="25">
        <v>0.0890471681440069</v>
      </c>
      <c r="Z249" s="25">
        <v>0.0125170071543159</v>
      </c>
      <c r="AA249" s="25">
        <v>0.111879431328175</v>
      </c>
      <c r="AB249" s="25">
        <v>0.736842566929858</v>
      </c>
      <c r="AC249" s="25">
        <v>0.0886057221514276</v>
      </c>
      <c r="AD249" s="25">
        <v>0.111406274633603</v>
      </c>
      <c r="AE249" s="25">
        <v>0.740647611112641</v>
      </c>
      <c r="AF249" s="25">
        <v>0.109156603422273</v>
      </c>
      <c r="AG249" s="25">
        <v>0.141751370996976</v>
      </c>
      <c r="AH249" s="25">
        <v>0.585516179774744</v>
      </c>
      <c r="AI249" s="25">
        <v>10.0</v>
      </c>
      <c r="AJ249" s="25">
        <v>2.39479535512296</v>
      </c>
      <c r="AK249" s="25">
        <v>9.40210132853622</v>
      </c>
      <c r="AL249" s="25">
        <v>3.06628461310039</v>
      </c>
      <c r="AM249" s="25">
        <v>0.641311729414921</v>
      </c>
      <c r="AN249" s="25">
        <v>2.06623621517011</v>
      </c>
      <c r="AO249" s="25">
        <v>6.74925292165744</v>
      </c>
      <c r="AP249" s="25">
        <v>2.59793243208083</v>
      </c>
      <c r="AQ249" s="25">
        <v>0.740647611112641</v>
      </c>
      <c r="AR249" s="25">
        <v>2.54547134924996</v>
      </c>
      <c r="AS249" s="25">
        <v>10.9267482072862</v>
      </c>
      <c r="AT249" s="25">
        <v>3.30556322088782</v>
      </c>
      <c r="AU249" s="25">
        <v>0.585516179774744</v>
      </c>
      <c r="AV249" s="26">
        <f t="shared" ref="AV249:AW249" si="501">(AC249-AC$289)/AC$290</f>
        <v>0.6406093477</v>
      </c>
      <c r="AW249" s="27">
        <f t="shared" si="501"/>
        <v>0.6266885673</v>
      </c>
      <c r="AX249" s="27">
        <f t="shared" si="5"/>
        <v>0.3098024646</v>
      </c>
      <c r="AY249" s="28">
        <f t="shared" si="6"/>
        <v>0.3326352037</v>
      </c>
      <c r="AZ249" s="29">
        <f t="shared" si="7"/>
        <v>0.3748289414</v>
      </c>
      <c r="BA249" s="28">
        <f t="shared" si="8"/>
        <v>0.3716340978</v>
      </c>
      <c r="BB249" s="29">
        <f t="shared" si="9"/>
        <v>0.1551084727</v>
      </c>
      <c r="BC249" s="27">
        <f t="shared" si="10"/>
        <v>0.327067116</v>
      </c>
      <c r="BD249" s="28">
        <f t="shared" si="11"/>
        <v>0.2496882106</v>
      </c>
      <c r="BE249" s="30">
        <f t="shared" ref="BE249:BF249" si="502">((S249-S$289)/S$290)</f>
        <v>-0.6138846424</v>
      </c>
      <c r="BF249" s="30">
        <f t="shared" si="502"/>
        <v>-0.8551746131</v>
      </c>
    </row>
    <row r="250">
      <c r="A250" s="21" t="s">
        <v>67</v>
      </c>
      <c r="B250" s="22">
        <f t="shared" si="3"/>
        <v>-0.9005208697</v>
      </c>
      <c r="C250" s="21" t="s">
        <v>68</v>
      </c>
      <c r="D250" s="21" t="s">
        <v>69</v>
      </c>
      <c r="E250" s="23">
        <v>49.0</v>
      </c>
      <c r="F250" s="24" t="s">
        <v>70</v>
      </c>
      <c r="G250" s="21" t="s">
        <v>82</v>
      </c>
      <c r="H250" s="24" t="s">
        <v>83</v>
      </c>
      <c r="I250" s="24" t="s">
        <v>95</v>
      </c>
      <c r="J250" s="24" t="s">
        <v>74</v>
      </c>
      <c r="K250" s="24" t="s">
        <v>75</v>
      </c>
      <c r="L250" s="21" t="s">
        <v>92</v>
      </c>
      <c r="M250" s="24" t="s">
        <v>77</v>
      </c>
      <c r="N250" s="21" t="s">
        <v>78</v>
      </c>
      <c r="O250" s="21" t="s">
        <v>91</v>
      </c>
      <c r="P250" s="21" t="s">
        <v>80</v>
      </c>
      <c r="Q250" s="24" t="s">
        <v>93</v>
      </c>
      <c r="S250" s="25">
        <v>298.398394823074</v>
      </c>
      <c r="T250" s="25">
        <v>192.016592264175</v>
      </c>
      <c r="U250" s="25">
        <v>3.85126867713179</v>
      </c>
      <c r="V250" s="25">
        <v>20.7093490674728</v>
      </c>
      <c r="W250" s="25">
        <v>4.55075258253762</v>
      </c>
      <c r="X250" s="25">
        <v>0.209980647726205</v>
      </c>
      <c r="Y250" s="25">
        <v>0.170279101394811</v>
      </c>
      <c r="Z250" s="25">
        <v>0.038850296503658</v>
      </c>
      <c r="AA250" s="25">
        <v>0.197104785592988</v>
      </c>
      <c r="AB250" s="25">
        <v>0.186819923826422</v>
      </c>
      <c r="AC250" s="25">
        <v>0.170891133062619</v>
      </c>
      <c r="AD250" s="25">
        <v>0.197627573740995</v>
      </c>
      <c r="AE250" s="25">
        <v>0.186612394789221</v>
      </c>
      <c r="AF250" s="25">
        <v>0.195669334276366</v>
      </c>
      <c r="AG250" s="25">
        <v>0.22855528713116</v>
      </c>
      <c r="AH250" s="25">
        <v>-0.0798971009012292</v>
      </c>
      <c r="AI250" s="25">
        <v>10.0</v>
      </c>
      <c r="AJ250" s="25">
        <v>3.85126867713178</v>
      </c>
      <c r="AK250" s="25">
        <v>20.7093490674728</v>
      </c>
      <c r="AL250" s="25">
        <v>4.55075258253762</v>
      </c>
      <c r="AM250" s="25">
        <v>0.210040911477286</v>
      </c>
      <c r="AN250" s="25">
        <v>3.98508628350192</v>
      </c>
      <c r="AO250" s="25">
        <v>21.2388734473057</v>
      </c>
      <c r="AP250" s="25">
        <v>4.60856522654347</v>
      </c>
      <c r="AQ250" s="25">
        <v>0.186612394789221</v>
      </c>
      <c r="AR250" s="25">
        <v>4.56290017013914</v>
      </c>
      <c r="AS250" s="25">
        <v>28.4065795864635</v>
      </c>
      <c r="AT250" s="25">
        <v>5.32978232073914</v>
      </c>
      <c r="AU250" s="25">
        <v>-0.0798971009012292</v>
      </c>
      <c r="AV250" s="26">
        <f t="shared" ref="AV250:AW250" si="503">(AC250-AC$289)/AC$290</f>
        <v>2.329489429</v>
      </c>
      <c r="AW250" s="27">
        <f t="shared" si="503"/>
        <v>2.01996862</v>
      </c>
      <c r="AX250" s="27">
        <f t="shared" si="5"/>
        <v>1.164256333</v>
      </c>
      <c r="AY250" s="28">
        <f t="shared" si="6"/>
        <v>1.006342168</v>
      </c>
      <c r="AZ250" s="29">
        <f t="shared" si="7"/>
        <v>1.122424975</v>
      </c>
      <c r="BA250" s="28">
        <f t="shared" si="8"/>
        <v>0.9602538378</v>
      </c>
      <c r="BB250" s="29">
        <f t="shared" si="9"/>
        <v>0.7608073097</v>
      </c>
      <c r="BC250" s="27">
        <f t="shared" si="10"/>
        <v>1.325588526</v>
      </c>
      <c r="BD250" s="28">
        <f t="shared" si="11"/>
        <v>0.8137532292</v>
      </c>
      <c r="BE250" s="30">
        <f t="shared" ref="BE250:BF250" si="504">((S250-S$289)/S$290)</f>
        <v>-0.75924191</v>
      </c>
      <c r="BF250" s="30">
        <f t="shared" si="504"/>
        <v>-0.8379129512</v>
      </c>
    </row>
    <row r="251">
      <c r="A251" s="21" t="s">
        <v>88</v>
      </c>
      <c r="B251" s="22">
        <f t="shared" si="3"/>
        <v>-0.14630031</v>
      </c>
      <c r="C251" s="21" t="s">
        <v>68</v>
      </c>
      <c r="D251" s="21" t="s">
        <v>69</v>
      </c>
      <c r="E251" s="23">
        <v>243.0</v>
      </c>
      <c r="F251" s="24" t="s">
        <v>97</v>
      </c>
      <c r="G251" s="21" t="s">
        <v>71</v>
      </c>
      <c r="H251" s="24" t="s">
        <v>105</v>
      </c>
      <c r="I251" s="24" t="s">
        <v>73</v>
      </c>
      <c r="J251" s="24" t="s">
        <v>99</v>
      </c>
      <c r="K251" s="24" t="s">
        <v>101</v>
      </c>
      <c r="L251" s="21" t="s">
        <v>84</v>
      </c>
      <c r="M251" s="24" t="s">
        <v>85</v>
      </c>
      <c r="N251" s="21" t="s">
        <v>78</v>
      </c>
      <c r="O251" s="21" t="s">
        <v>102</v>
      </c>
      <c r="P251" s="21" t="s">
        <v>80</v>
      </c>
      <c r="Q251" s="24" t="s">
        <v>87</v>
      </c>
      <c r="R251" s="24" t="s">
        <v>87</v>
      </c>
      <c r="S251" s="25">
        <v>833.250143766403</v>
      </c>
      <c r="T251" s="25">
        <v>536.393041610717</v>
      </c>
      <c r="U251" s="25">
        <v>2.19503483144814</v>
      </c>
      <c r="V251" s="25">
        <v>7.79973812210953</v>
      </c>
      <c r="W251" s="25">
        <v>2.79280112469712</v>
      </c>
      <c r="X251" s="25">
        <v>0.71080455185229</v>
      </c>
      <c r="Y251" s="25">
        <v>0.0824754768735088</v>
      </c>
      <c r="Z251" s="25">
        <v>0.0107202505702135</v>
      </c>
      <c r="AA251" s="25">
        <v>0.103538642883773</v>
      </c>
      <c r="AB251" s="25">
        <v>0.758882240211417</v>
      </c>
      <c r="AC251" s="25">
        <v>0.0826532865389406</v>
      </c>
      <c r="AD251" s="25">
        <v>0.103514143197098</v>
      </c>
      <c r="AE251" s="25">
        <v>0.760305731203504</v>
      </c>
      <c r="AF251" s="25">
        <v>0.0918929018308801</v>
      </c>
      <c r="AG251" s="25">
        <v>0.116983948326804</v>
      </c>
      <c r="AH251" s="25">
        <v>0.696399031387115</v>
      </c>
      <c r="AI251" s="25">
        <v>10.0</v>
      </c>
      <c r="AJ251" s="25">
        <v>2.19503483144806</v>
      </c>
      <c r="AK251" s="25">
        <v>7.79973812210953</v>
      </c>
      <c r="AL251" s="25">
        <v>2.79280112469712</v>
      </c>
      <c r="AM251" s="25">
        <v>0.710741786033494</v>
      </c>
      <c r="AN251" s="25">
        <v>2.02500552020413</v>
      </c>
      <c r="AO251" s="25">
        <v>6.43178549955814</v>
      </c>
      <c r="AP251" s="25">
        <v>2.53609650832892</v>
      </c>
      <c r="AQ251" s="25">
        <v>0.760305731203504</v>
      </c>
      <c r="AR251" s="25">
        <v>2.25137609485653</v>
      </c>
      <c r="AS251" s="25">
        <v>8.21456781071864</v>
      </c>
      <c r="AT251" s="25">
        <v>2.86610673400671</v>
      </c>
      <c r="AU251" s="25">
        <v>0.696399031387115</v>
      </c>
      <c r="AV251" s="26">
        <f t="shared" ref="AV251:AW251" si="505">(AC251-AC$289)/AC$290</f>
        <v>0.5184376306</v>
      </c>
      <c r="AW251" s="27">
        <f t="shared" si="505"/>
        <v>0.4991568621</v>
      </c>
      <c r="AX251" s="27">
        <f t="shared" si="5"/>
        <v>0.1852425173</v>
      </c>
      <c r="AY251" s="28">
        <f t="shared" si="6"/>
        <v>0.1863739143</v>
      </c>
      <c r="AZ251" s="29">
        <f t="shared" si="7"/>
        <v>0.2722934724</v>
      </c>
      <c r="BA251" s="28">
        <f t="shared" si="8"/>
        <v>0.2631927011</v>
      </c>
      <c r="BB251" s="29">
        <f t="shared" si="9"/>
        <v>0.1336172387</v>
      </c>
      <c r="BC251" s="27">
        <f t="shared" si="10"/>
        <v>0.1606759354</v>
      </c>
      <c r="BD251" s="28">
        <f t="shared" si="11"/>
        <v>0.1588796872</v>
      </c>
      <c r="BE251" s="30">
        <f t="shared" ref="BE251:BF251" si="506">((S251-S$289)/S$290)</f>
        <v>-0.6193135463</v>
      </c>
      <c r="BF251" s="30">
        <f t="shared" si="506"/>
        <v>-0.1492530033</v>
      </c>
    </row>
    <row r="252">
      <c r="A252" s="21" t="s">
        <v>67</v>
      </c>
      <c r="B252" s="22">
        <f t="shared" si="3"/>
        <v>-0.07009315977</v>
      </c>
      <c r="C252" s="21" t="s">
        <v>68</v>
      </c>
      <c r="D252" s="21" t="s">
        <v>69</v>
      </c>
      <c r="E252" s="23">
        <v>213.0</v>
      </c>
      <c r="F252" s="24" t="s">
        <v>97</v>
      </c>
      <c r="G252" s="21" t="s">
        <v>82</v>
      </c>
      <c r="H252" s="24" t="s">
        <v>98</v>
      </c>
      <c r="I252" s="24" t="s">
        <v>95</v>
      </c>
      <c r="J252" s="24" t="s">
        <v>90</v>
      </c>
      <c r="K252" s="24" t="s">
        <v>101</v>
      </c>
      <c r="L252" s="21" t="s">
        <v>84</v>
      </c>
      <c r="M252" s="24" t="s">
        <v>77</v>
      </c>
      <c r="N252" s="21" t="s">
        <v>78</v>
      </c>
      <c r="O252" s="21" t="s">
        <v>79</v>
      </c>
      <c r="P252" s="21" t="s">
        <v>80</v>
      </c>
      <c r="Q252" s="24" t="s">
        <v>81</v>
      </c>
      <c r="S252" s="25">
        <v>894.944448709487</v>
      </c>
      <c r="T252" s="25">
        <v>527.618381261825</v>
      </c>
      <c r="U252" s="25">
        <v>2.10847251405108</v>
      </c>
      <c r="V252" s="25">
        <v>6.99953496601505</v>
      </c>
      <c r="W252" s="25">
        <v>2.64566342644242</v>
      </c>
      <c r="X252" s="25">
        <v>0.74095176543471</v>
      </c>
      <c r="Y252" s="25">
        <v>0.0688444864474515</v>
      </c>
      <c r="Z252" s="25">
        <v>0.00737052525364047</v>
      </c>
      <c r="AA252" s="25">
        <v>0.0858517632529494</v>
      </c>
      <c r="AB252" s="25">
        <v>0.83504843859748</v>
      </c>
      <c r="AC252" s="25">
        <v>0.0686341449890744</v>
      </c>
      <c r="AD252" s="25">
        <v>0.0856359118012479</v>
      </c>
      <c r="AE252" s="25">
        <v>0.836661837258436</v>
      </c>
      <c r="AF252" s="25">
        <v>0.0919577323882352</v>
      </c>
      <c r="AG252" s="25">
        <v>0.114770179585502</v>
      </c>
      <c r="AH252" s="25">
        <v>0.707823570090807</v>
      </c>
      <c r="AI252" s="25">
        <v>10.0</v>
      </c>
      <c r="AJ252" s="25">
        <v>2.10847251405101</v>
      </c>
      <c r="AK252" s="25">
        <v>6.99953496601505</v>
      </c>
      <c r="AL252" s="25">
        <v>2.64566342644242</v>
      </c>
      <c r="AM252" s="25">
        <v>0.740912111284132</v>
      </c>
      <c r="AN252" s="25">
        <v>1.68153655223235</v>
      </c>
      <c r="AO252" s="25">
        <v>4.40193901136617</v>
      </c>
      <c r="AP252" s="25">
        <v>2.09807983913057</v>
      </c>
      <c r="AQ252" s="25">
        <v>0.836661837258436</v>
      </c>
      <c r="AR252" s="25">
        <v>2.25296444351171</v>
      </c>
      <c r="AS252" s="25">
        <v>7.9066095217836</v>
      </c>
      <c r="AT252" s="25">
        <v>2.8118693998448</v>
      </c>
      <c r="AU252" s="25">
        <v>0.707823570090807</v>
      </c>
      <c r="AV252" s="26">
        <f t="shared" ref="AV252:AW252" si="507">(AC252-AC$289)/AC$290</f>
        <v>0.2306995168</v>
      </c>
      <c r="AW252" s="27">
        <f t="shared" si="507"/>
        <v>0.2102562837</v>
      </c>
      <c r="AX252" s="27">
        <f t="shared" si="5"/>
        <v>0.1859152402</v>
      </c>
      <c r="AY252" s="28">
        <f t="shared" si="6"/>
        <v>0.1683224742</v>
      </c>
      <c r="AZ252" s="29">
        <f t="shared" si="7"/>
        <v>0.2278617317</v>
      </c>
      <c r="BA252" s="28">
        <f t="shared" si="8"/>
        <v>0.2048498096</v>
      </c>
      <c r="BB252" s="29">
        <f t="shared" si="9"/>
        <v>0.05014094825</v>
      </c>
      <c r="BC252" s="27">
        <f t="shared" si="10"/>
        <v>0.1435322341</v>
      </c>
      <c r="BD252" s="28">
        <f t="shared" si="11"/>
        <v>0.119419505</v>
      </c>
      <c r="BE252" s="30">
        <f t="shared" ref="BE252:BF252" si="508">((S252-S$289)/S$290)</f>
        <v>-0.6031730304</v>
      </c>
      <c r="BF252" s="30">
        <f t="shared" si="508"/>
        <v>-0.1667999557</v>
      </c>
    </row>
    <row r="253">
      <c r="A253" s="21" t="s">
        <v>88</v>
      </c>
      <c r="B253" s="22">
        <f t="shared" si="3"/>
        <v>-0.01518214676</v>
      </c>
      <c r="C253" s="21" t="s">
        <v>68</v>
      </c>
      <c r="D253" s="21" t="s">
        <v>69</v>
      </c>
      <c r="E253" s="23">
        <v>220.0</v>
      </c>
      <c r="F253" s="24" t="s">
        <v>97</v>
      </c>
      <c r="G253" s="21" t="s">
        <v>71</v>
      </c>
      <c r="H253" s="24" t="s">
        <v>105</v>
      </c>
      <c r="I253" s="24" t="s">
        <v>73</v>
      </c>
      <c r="J253" s="24" t="s">
        <v>99</v>
      </c>
      <c r="K253" s="24" t="s">
        <v>101</v>
      </c>
      <c r="L253" s="21" t="s">
        <v>92</v>
      </c>
      <c r="M253" s="24" t="s">
        <v>77</v>
      </c>
      <c r="N253" s="21" t="s">
        <v>78</v>
      </c>
      <c r="O253" s="21" t="s">
        <v>102</v>
      </c>
      <c r="P253" s="21" t="s">
        <v>80</v>
      </c>
      <c r="Q253" s="24" t="s">
        <v>93</v>
      </c>
      <c r="S253" s="25">
        <v>937.30144572258</v>
      </c>
      <c r="T253" s="25">
        <v>558.46132159233</v>
      </c>
      <c r="U253" s="25">
        <v>2.08101981831406</v>
      </c>
      <c r="V253" s="25">
        <v>7.04820584881458</v>
      </c>
      <c r="W253" s="25">
        <v>2.65484572975805</v>
      </c>
      <c r="X253" s="25">
        <v>0.738681097740229</v>
      </c>
      <c r="Y253" s="25">
        <v>0.0591565632929068</v>
      </c>
      <c r="Z253" s="25">
        <v>0.00563455652173661</v>
      </c>
      <c r="AA253" s="25">
        <v>0.0750636831079891</v>
      </c>
      <c r="AB253" s="25">
        <v>0.873268666900551</v>
      </c>
      <c r="AC253" s="25">
        <v>0.0592287784709004</v>
      </c>
      <c r="AD253" s="25">
        <v>0.0749932776598826</v>
      </c>
      <c r="AE253" s="25">
        <v>0.874193541465101</v>
      </c>
      <c r="AF253" s="25">
        <v>0.0816659480880985</v>
      </c>
      <c r="AG253" s="25">
        <v>0.104642674053766</v>
      </c>
      <c r="AH253" s="25">
        <v>0.757077209787621</v>
      </c>
      <c r="AI253" s="25">
        <v>10.0</v>
      </c>
      <c r="AJ253" s="25">
        <v>2.08101981831398</v>
      </c>
      <c r="AK253" s="25">
        <v>7.04820584881458</v>
      </c>
      <c r="AL253" s="25">
        <v>2.65484572975805</v>
      </c>
      <c r="AM253" s="25">
        <v>0.73861283499798</v>
      </c>
      <c r="AN253" s="25">
        <v>1.4511050725371</v>
      </c>
      <c r="AO253" s="25">
        <v>3.37580101442687</v>
      </c>
      <c r="AP253" s="25">
        <v>1.83733530266712</v>
      </c>
      <c r="AQ253" s="25">
        <v>0.874193541465101</v>
      </c>
      <c r="AR253" s="25">
        <v>2.00081572815848</v>
      </c>
      <c r="AS253" s="25">
        <v>6.57279106218197</v>
      </c>
      <c r="AT253" s="25">
        <v>2.56374551431728</v>
      </c>
      <c r="AU253" s="25">
        <v>0.757077209787621</v>
      </c>
      <c r="AV253" s="26">
        <f t="shared" ref="AV253:AW253" si="509">(AC253-AC$289)/AC$290</f>
        <v>0.03765756687</v>
      </c>
      <c r="AW253" s="27">
        <f t="shared" si="509"/>
        <v>0.03827824563</v>
      </c>
      <c r="AX253" s="27">
        <f t="shared" si="5"/>
        <v>0.07912116505</v>
      </c>
      <c r="AY253" s="28">
        <f t="shared" si="6"/>
        <v>0.08574110265</v>
      </c>
      <c r="AZ253" s="29">
        <f t="shared" si="7"/>
        <v>0.2137704839</v>
      </c>
      <c r="BA253" s="28">
        <f t="shared" si="8"/>
        <v>0.2084907673</v>
      </c>
      <c r="BB253" s="29">
        <f t="shared" si="9"/>
        <v>0.009109423683</v>
      </c>
      <c r="BC253" s="27">
        <f t="shared" si="10"/>
        <v>0.0696220565</v>
      </c>
      <c r="BD253" s="28">
        <f t="shared" si="11"/>
        <v>0.12242676</v>
      </c>
      <c r="BE253" s="30">
        <f t="shared" ref="BE253:BF253" si="510">((S253-S$289)/S$290)</f>
        <v>-0.5920915573</v>
      </c>
      <c r="BF253" s="30">
        <f t="shared" si="510"/>
        <v>-0.1051223998</v>
      </c>
    </row>
    <row r="254">
      <c r="A254" s="21" t="s">
        <v>88</v>
      </c>
      <c r="B254" s="22">
        <f t="shared" si="3"/>
        <v>0.07066080936</v>
      </c>
      <c r="C254" s="21" t="s">
        <v>68</v>
      </c>
      <c r="D254" s="21" t="s">
        <v>69</v>
      </c>
      <c r="E254" s="23">
        <v>160.0</v>
      </c>
      <c r="F254" s="24" t="s">
        <v>97</v>
      </c>
      <c r="G254" s="21" t="s">
        <v>82</v>
      </c>
      <c r="H254" s="24" t="s">
        <v>98</v>
      </c>
      <c r="I254" s="24" t="s">
        <v>95</v>
      </c>
      <c r="J254" s="24" t="s">
        <v>90</v>
      </c>
      <c r="K254" s="24" t="s">
        <v>101</v>
      </c>
      <c r="L254" s="21" t="s">
        <v>84</v>
      </c>
      <c r="M254" s="24" t="s">
        <v>77</v>
      </c>
      <c r="N254" s="21" t="s">
        <v>86</v>
      </c>
      <c r="O254" s="21" t="s">
        <v>79</v>
      </c>
      <c r="P254" s="21" t="s">
        <v>80</v>
      </c>
      <c r="Q254" s="24" t="s">
        <v>87</v>
      </c>
      <c r="S254" s="25">
        <v>1024.61824846267</v>
      </c>
      <c r="T254" s="25">
        <v>436.763033866882</v>
      </c>
      <c r="U254" s="25">
        <v>1.85658621620823</v>
      </c>
      <c r="V254" s="25">
        <v>5.60921881923869</v>
      </c>
      <c r="W254" s="25">
        <v>2.36837894333628</v>
      </c>
      <c r="X254" s="25">
        <v>0.792422816489437</v>
      </c>
      <c r="Y254" s="25">
        <v>0.0466056946219178</v>
      </c>
      <c r="Z254" s="25">
        <v>0.00342894784781035</v>
      </c>
      <c r="AA254" s="25">
        <v>0.0585572185798672</v>
      </c>
      <c r="AB254" s="25">
        <v>0.923260516448979</v>
      </c>
      <c r="AC254" s="25">
        <v>0.0464708437755108</v>
      </c>
      <c r="AD254" s="25">
        <v>0.0584134253972689</v>
      </c>
      <c r="AE254" s="25">
        <v>0.924002175156477</v>
      </c>
      <c r="AF254" s="25">
        <v>0.0877015090251868</v>
      </c>
      <c r="AG254" s="25">
        <v>0.110969916328823</v>
      </c>
      <c r="AH254" s="25">
        <v>0.726852284305111</v>
      </c>
      <c r="AI254" s="25">
        <v>10.0</v>
      </c>
      <c r="AJ254" s="25">
        <v>1.8565862162082</v>
      </c>
      <c r="AK254" s="25">
        <v>5.60921881923869</v>
      </c>
      <c r="AL254" s="25">
        <v>2.36837894333628</v>
      </c>
      <c r="AM254" s="25">
        <v>0.792374683707131</v>
      </c>
      <c r="AN254" s="25">
        <v>1.13853567250001</v>
      </c>
      <c r="AO254" s="25">
        <v>2.04812999205204</v>
      </c>
      <c r="AP254" s="25">
        <v>1.43112892223308</v>
      </c>
      <c r="AQ254" s="25">
        <v>0.924002175156477</v>
      </c>
      <c r="AR254" s="25">
        <v>2.14868697111701</v>
      </c>
      <c r="AS254" s="25">
        <v>7.39167197859822</v>
      </c>
      <c r="AT254" s="25">
        <v>2.71876295005618</v>
      </c>
      <c r="AU254" s="25">
        <v>0.726852284305111</v>
      </c>
      <c r="AV254" s="26">
        <f t="shared" ref="AV254:AW254" si="511">(AC254-AC$289)/AC$290</f>
        <v>-0.224194705</v>
      </c>
      <c r="AW254" s="27">
        <f t="shared" si="511"/>
        <v>-0.2296413714</v>
      </c>
      <c r="AX254" s="27">
        <f t="shared" si="5"/>
        <v>0.1417499697</v>
      </c>
      <c r="AY254" s="28">
        <f t="shared" si="6"/>
        <v>0.1373344929</v>
      </c>
      <c r="AZ254" s="29">
        <f t="shared" si="7"/>
        <v>0.09857052238</v>
      </c>
      <c r="BA254" s="28">
        <f t="shared" si="8"/>
        <v>0.09490124642</v>
      </c>
      <c r="BB254" s="29">
        <f t="shared" si="9"/>
        <v>-0.04534385042</v>
      </c>
      <c r="BC254" s="27">
        <f t="shared" si="10"/>
        <v>0.1149776815</v>
      </c>
      <c r="BD254" s="28">
        <f t="shared" si="11"/>
        <v>0.05211090059</v>
      </c>
      <c r="BE254" s="30">
        <f t="shared" ref="BE254:BF254" si="512">((S254-S$289)/S$290)</f>
        <v>-0.5692476621</v>
      </c>
      <c r="BF254" s="30">
        <f t="shared" si="512"/>
        <v>-0.3484861276</v>
      </c>
    </row>
    <row r="255">
      <c r="A255" s="21" t="s">
        <v>88</v>
      </c>
      <c r="B255" s="22">
        <f t="shared" si="3"/>
        <v>-1.260999555</v>
      </c>
      <c r="C255" s="21" t="s">
        <v>68</v>
      </c>
      <c r="D255" s="21" t="s">
        <v>69</v>
      </c>
      <c r="E255" s="23">
        <v>98.0</v>
      </c>
      <c r="F255" s="24" t="s">
        <v>70</v>
      </c>
      <c r="G255" s="21" t="s">
        <v>71</v>
      </c>
      <c r="H255" s="24" t="s">
        <v>72</v>
      </c>
      <c r="I255" s="24" t="s">
        <v>73</v>
      </c>
      <c r="J255" s="24" t="s">
        <v>99</v>
      </c>
      <c r="K255" s="24" t="s">
        <v>75</v>
      </c>
      <c r="L255" s="21" t="s">
        <v>76</v>
      </c>
      <c r="M255" s="24" t="s">
        <v>85</v>
      </c>
      <c r="N255" s="21" t="s">
        <v>78</v>
      </c>
      <c r="O255" s="21" t="s">
        <v>102</v>
      </c>
      <c r="P255" s="21" t="s">
        <v>80</v>
      </c>
      <c r="Q255" s="24" t="s">
        <v>89</v>
      </c>
      <c r="R255" s="24" t="s">
        <v>103</v>
      </c>
      <c r="S255" s="25">
        <v>80.526738166809</v>
      </c>
      <c r="T255" s="25">
        <v>216.056851625442</v>
      </c>
      <c r="U255" s="25">
        <v>4.20906670587925</v>
      </c>
      <c r="V255" s="25">
        <v>26.1936164486481</v>
      </c>
      <c r="W255" s="25">
        <v>5.11796995386336</v>
      </c>
      <c r="X255" s="25">
        <v>-0.00672503735127352</v>
      </c>
      <c r="Y255" s="25">
        <v>0.225253319682871</v>
      </c>
      <c r="Z255" s="25">
        <v>0.083841347134087</v>
      </c>
      <c r="AA255" s="25">
        <v>0.289553703367936</v>
      </c>
      <c r="AB255" s="25">
        <v>-0.771037555338925</v>
      </c>
      <c r="AC255" s="25">
        <v>0.227693228026532</v>
      </c>
      <c r="AD255" s="25">
        <v>0.291822653643789</v>
      </c>
      <c r="AE255" s="25">
        <v>-0.788433286437654</v>
      </c>
      <c r="AF255" s="25">
        <v>0.182008160927183</v>
      </c>
      <c r="AG255" s="25">
        <v>0.212467861938224</v>
      </c>
      <c r="AH255" s="25">
        <v>0.0613801770313594</v>
      </c>
      <c r="AI255" s="25">
        <v>10.0</v>
      </c>
      <c r="AJ255" s="25">
        <v>4.20906670587925</v>
      </c>
      <c r="AK255" s="25">
        <v>26.1936164486481</v>
      </c>
      <c r="AL255" s="25">
        <v>5.11796995386336</v>
      </c>
      <c r="AM255" s="25">
        <v>-0.00669105866745867</v>
      </c>
      <c r="AN255" s="25">
        <v>5.30967958134095</v>
      </c>
      <c r="AO255" s="25">
        <v>46.3099598079651</v>
      </c>
      <c r="AP255" s="25">
        <v>6.8051421592767</v>
      </c>
      <c r="AQ255" s="25">
        <v>-0.788433286437654</v>
      </c>
      <c r="AR255" s="25">
        <v>4.24432919717694</v>
      </c>
      <c r="AS255" s="25">
        <v>24.5483832367945</v>
      </c>
      <c r="AT255" s="25">
        <v>4.95463250269831</v>
      </c>
      <c r="AU255" s="25">
        <v>0.0613801770313594</v>
      </c>
      <c r="AV255" s="26">
        <f t="shared" ref="AV255:AW255" si="513">(AC255-AC$289)/AC$290</f>
        <v>3.495333116</v>
      </c>
      <c r="AW255" s="27">
        <f t="shared" si="513"/>
        <v>3.542099778</v>
      </c>
      <c r="AX255" s="27">
        <f t="shared" si="5"/>
        <v>1.029330036</v>
      </c>
      <c r="AY255" s="28">
        <f t="shared" si="6"/>
        <v>0.8814836261</v>
      </c>
      <c r="AZ255" s="29">
        <f t="shared" si="7"/>
        <v>1.306079823</v>
      </c>
      <c r="BA255" s="28">
        <f t="shared" si="8"/>
        <v>1.185166297</v>
      </c>
      <c r="BB255" s="29">
        <f t="shared" si="9"/>
        <v>1.826775713</v>
      </c>
      <c r="BC255" s="27">
        <f t="shared" si="10"/>
        <v>1.113587367</v>
      </c>
      <c r="BD255" s="28">
        <f t="shared" si="11"/>
        <v>1.097219946</v>
      </c>
      <c r="BE255" s="30">
        <f t="shared" ref="BE255:BF255" si="514">((S255-S$289)/S$290)</f>
        <v>-0.8162416757</v>
      </c>
      <c r="BF255" s="30">
        <f t="shared" si="514"/>
        <v>-0.7898389212</v>
      </c>
    </row>
    <row r="256">
      <c r="A256" s="21" t="s">
        <v>67</v>
      </c>
      <c r="B256" s="22">
        <f t="shared" si="3"/>
        <v>0.001903766452</v>
      </c>
      <c r="C256" s="21" t="s">
        <v>68</v>
      </c>
      <c r="D256" s="21" t="s">
        <v>69</v>
      </c>
      <c r="E256" s="23">
        <v>206.0</v>
      </c>
      <c r="F256" s="24" t="s">
        <v>97</v>
      </c>
      <c r="G256" s="21" t="s">
        <v>82</v>
      </c>
      <c r="H256" s="24" t="s">
        <v>98</v>
      </c>
      <c r="I256" s="24" t="s">
        <v>73</v>
      </c>
      <c r="J256" s="24" t="s">
        <v>90</v>
      </c>
      <c r="K256" s="24" t="s">
        <v>101</v>
      </c>
      <c r="L256" s="21" t="s">
        <v>84</v>
      </c>
      <c r="M256" s="24" t="s">
        <v>77</v>
      </c>
      <c r="N256" s="21" t="s">
        <v>86</v>
      </c>
      <c r="O256" s="21" t="s">
        <v>91</v>
      </c>
      <c r="P256" s="21" t="s">
        <v>80</v>
      </c>
      <c r="Q256" s="24" t="s">
        <v>81</v>
      </c>
      <c r="S256" s="25">
        <v>993.942722558975</v>
      </c>
      <c r="T256" s="25">
        <v>408.758708715438</v>
      </c>
      <c r="U256" s="25">
        <v>1.95223098452854</v>
      </c>
      <c r="V256" s="25">
        <v>6.16875661413395</v>
      </c>
      <c r="W256" s="25">
        <v>2.48369817291352</v>
      </c>
      <c r="X256" s="25">
        <v>0.771494311612975</v>
      </c>
      <c r="Y256" s="25">
        <v>0.0635960402055146</v>
      </c>
      <c r="Z256" s="25">
        <v>0.00631492044175452</v>
      </c>
      <c r="AA256" s="25">
        <v>0.0794664736964873</v>
      </c>
      <c r="AB256" s="25">
        <v>0.858520000599516</v>
      </c>
      <c r="AC256" s="25">
        <v>0.0632786731642054</v>
      </c>
      <c r="AD256" s="25">
        <v>0.0792272215042211</v>
      </c>
      <c r="AE256" s="25">
        <v>0.860031353836098</v>
      </c>
      <c r="AF256" s="25">
        <v>0.0856452321195564</v>
      </c>
      <c r="AG256" s="25">
        <v>0.10890711310211</v>
      </c>
      <c r="AH256" s="25">
        <v>0.736799986334989</v>
      </c>
      <c r="AI256" s="25">
        <v>10.0</v>
      </c>
      <c r="AJ256" s="25">
        <v>1.95223098452853</v>
      </c>
      <c r="AK256" s="25">
        <v>6.16875661413396</v>
      </c>
      <c r="AL256" s="25">
        <v>2.48369817291352</v>
      </c>
      <c r="AM256" s="25">
        <v>0.771447662676428</v>
      </c>
      <c r="AN256" s="25">
        <v>1.55032749252295</v>
      </c>
      <c r="AO256" s="25">
        <v>3.76774081452418</v>
      </c>
      <c r="AP256" s="25">
        <v>1.94106692685342</v>
      </c>
      <c r="AQ256" s="25">
        <v>0.860031353836098</v>
      </c>
      <c r="AR256" s="25">
        <v>2.0983081869291</v>
      </c>
      <c r="AS256" s="25">
        <v>7.11942076036263</v>
      </c>
      <c r="AT256" s="25">
        <v>2.66822427100171</v>
      </c>
      <c r="AU256" s="25">
        <v>0.736799986334989</v>
      </c>
      <c r="AV256" s="26">
        <f t="shared" ref="AV256:AW256" si="515">(AC256-AC$289)/AC$290</f>
        <v>0.1207802785</v>
      </c>
      <c r="AW256" s="27">
        <f t="shared" si="515"/>
        <v>0.1066960213</v>
      </c>
      <c r="AX256" s="27">
        <f t="shared" si="5"/>
        <v>0.1204127376</v>
      </c>
      <c r="AY256" s="28">
        <f t="shared" si="6"/>
        <v>0.1205140509</v>
      </c>
      <c r="AZ256" s="29">
        <f t="shared" si="7"/>
        <v>0.1476642121</v>
      </c>
      <c r="BA256" s="28">
        <f t="shared" si="8"/>
        <v>0.1406275109</v>
      </c>
      <c r="BB256" s="29">
        <f t="shared" si="9"/>
        <v>0.02459223114</v>
      </c>
      <c r="BC256" s="27">
        <f t="shared" si="10"/>
        <v>0.1000501263</v>
      </c>
      <c r="BD256" s="28">
        <f t="shared" si="11"/>
        <v>0.07948163845</v>
      </c>
      <c r="BE256" s="30">
        <f t="shared" ref="BE256:BF256" si="516">((S256-S$289)/S$290)</f>
        <v>-0.5772730189</v>
      </c>
      <c r="BF256" s="30">
        <f t="shared" si="516"/>
        <v>-0.4044872193</v>
      </c>
    </row>
    <row r="257">
      <c r="A257" s="21" t="s">
        <v>67</v>
      </c>
      <c r="B257" s="22">
        <f t="shared" si="3"/>
        <v>-1.109987762</v>
      </c>
      <c r="C257" s="21" t="s">
        <v>68</v>
      </c>
      <c r="D257" s="21" t="s">
        <v>69</v>
      </c>
      <c r="E257" s="23">
        <v>52.0</v>
      </c>
      <c r="F257" s="24" t="s">
        <v>70</v>
      </c>
      <c r="G257" s="21" t="s">
        <v>82</v>
      </c>
      <c r="H257" s="24" t="s">
        <v>83</v>
      </c>
      <c r="I257" s="24" t="s">
        <v>73</v>
      </c>
      <c r="J257" s="24" t="s">
        <v>99</v>
      </c>
      <c r="K257" s="24" t="s">
        <v>75</v>
      </c>
      <c r="L257" s="21" t="s">
        <v>92</v>
      </c>
      <c r="M257" s="24" t="s">
        <v>77</v>
      </c>
      <c r="N257" s="21" t="s">
        <v>78</v>
      </c>
      <c r="O257" s="21" t="s">
        <v>79</v>
      </c>
      <c r="P257" s="21" t="s">
        <v>80</v>
      </c>
      <c r="Q257" s="24" t="s">
        <v>96</v>
      </c>
      <c r="S257" s="25">
        <v>187.099116802215</v>
      </c>
      <c r="T257" s="25">
        <v>195.998171806335</v>
      </c>
      <c r="U257" s="25">
        <v>4.84443044427199</v>
      </c>
      <c r="V257" s="25">
        <v>31.6575064897956</v>
      </c>
      <c r="W257" s="25">
        <v>5.62650037677024</v>
      </c>
      <c r="X257" s="25">
        <v>-0.215826763512459</v>
      </c>
      <c r="Y257" s="25">
        <v>0.198322358126982</v>
      </c>
      <c r="Z257" s="25">
        <v>0.0527236685054156</v>
      </c>
      <c r="AA257" s="25">
        <v>0.229616350692662</v>
      </c>
      <c r="AB257" s="25">
        <v>-0.109015097976042</v>
      </c>
      <c r="AC257" s="25">
        <v>0.199083535961702</v>
      </c>
      <c r="AD257" s="25">
        <v>0.230293759814584</v>
      </c>
      <c r="AE257" s="25">
        <v>-0.1101425181103</v>
      </c>
      <c r="AF257" s="25">
        <v>0.177539321967819</v>
      </c>
      <c r="AG257" s="25">
        <v>0.208330123356838</v>
      </c>
      <c r="AH257" s="25">
        <v>0.095344622846513</v>
      </c>
      <c r="AI257" s="25">
        <v>10.0</v>
      </c>
      <c r="AJ257" s="25">
        <v>4.84443044427199</v>
      </c>
      <c r="AK257" s="25">
        <v>31.6575064897956</v>
      </c>
      <c r="AL257" s="25">
        <v>5.62650037677024</v>
      </c>
      <c r="AM257" s="25">
        <v>-0.215850187228257</v>
      </c>
      <c r="AN257" s="25">
        <v>4.64251745666247</v>
      </c>
      <c r="AO257" s="25">
        <v>28.8403641610599</v>
      </c>
      <c r="AP257" s="25">
        <v>5.37032253789844</v>
      </c>
      <c r="AQ257" s="25">
        <v>-0.1101425181103</v>
      </c>
      <c r="AR257" s="25">
        <v>4.14011835533289</v>
      </c>
      <c r="AS257" s="25">
        <v>23.6015508601009</v>
      </c>
      <c r="AT257" s="25">
        <v>4.85814273772405</v>
      </c>
      <c r="AU257" s="25">
        <v>0.0953446228465131</v>
      </c>
      <c r="AV257" s="26">
        <f t="shared" ref="AV257:AW257" si="517">(AC257-AC$289)/AC$290</f>
        <v>2.908128914</v>
      </c>
      <c r="AW257" s="27">
        <f t="shared" si="517"/>
        <v>2.547832917</v>
      </c>
      <c r="AX257" s="27">
        <f t="shared" si="5"/>
        <v>0.9851929857</v>
      </c>
      <c r="AY257" s="28">
        <f t="shared" si="6"/>
        <v>0.8493695992</v>
      </c>
      <c r="AZ257" s="29">
        <f t="shared" si="7"/>
        <v>1.632206916</v>
      </c>
      <c r="BA257" s="28">
        <f t="shared" si="8"/>
        <v>1.386808267</v>
      </c>
      <c r="BB257" s="29">
        <f t="shared" si="9"/>
        <v>1.085234531</v>
      </c>
      <c r="BC257" s="27">
        <f t="shared" si="10"/>
        <v>1.062620205</v>
      </c>
      <c r="BD257" s="28">
        <f t="shared" si="11"/>
        <v>1.370782039</v>
      </c>
      <c r="BE257" s="30">
        <f t="shared" ref="BE257:BF257" si="518">((S257-S$289)/S$290)</f>
        <v>-0.7883601206</v>
      </c>
      <c r="BF257" s="30">
        <f t="shared" si="518"/>
        <v>-0.8299508668</v>
      </c>
    </row>
    <row r="258">
      <c r="A258" s="21" t="s">
        <v>88</v>
      </c>
      <c r="B258" s="22">
        <f t="shared" si="3"/>
        <v>-0.2470438934</v>
      </c>
      <c r="C258" s="21" t="s">
        <v>68</v>
      </c>
      <c r="D258" s="21" t="s">
        <v>69</v>
      </c>
      <c r="E258" s="23">
        <v>223.0</v>
      </c>
      <c r="F258" s="24" t="s">
        <v>97</v>
      </c>
      <c r="G258" s="21" t="s">
        <v>71</v>
      </c>
      <c r="H258" s="24" t="s">
        <v>105</v>
      </c>
      <c r="I258" s="24" t="s">
        <v>95</v>
      </c>
      <c r="J258" s="24" t="s">
        <v>90</v>
      </c>
      <c r="K258" s="24" t="s">
        <v>101</v>
      </c>
      <c r="L258" s="21" t="s">
        <v>76</v>
      </c>
      <c r="M258" s="24" t="s">
        <v>77</v>
      </c>
      <c r="N258" s="21" t="s">
        <v>104</v>
      </c>
      <c r="O258" s="21" t="s">
        <v>79</v>
      </c>
      <c r="P258" s="21" t="s">
        <v>80</v>
      </c>
      <c r="Q258" s="24" t="s">
        <v>89</v>
      </c>
      <c r="S258" s="25">
        <v>779.13308095932</v>
      </c>
      <c r="T258" s="25">
        <v>552.821704149246</v>
      </c>
      <c r="U258" s="25">
        <v>2.47893802172638</v>
      </c>
      <c r="V258" s="25">
        <v>9.72700045447894</v>
      </c>
      <c r="W258" s="25">
        <v>3.11881394996222</v>
      </c>
      <c r="X258" s="25">
        <v>0.639649256470949</v>
      </c>
      <c r="Y258" s="25">
        <v>0.0897064724453679</v>
      </c>
      <c r="Z258" s="25">
        <v>0.0121966742386991</v>
      </c>
      <c r="AA258" s="25">
        <v>0.110438554131694</v>
      </c>
      <c r="AB258" s="25">
        <v>0.725943810291534</v>
      </c>
      <c r="AC258" s="25">
        <v>0.0892569980658608</v>
      </c>
      <c r="AD258" s="25">
        <v>0.109977897662644</v>
      </c>
      <c r="AE258" s="25">
        <v>0.729736395424489</v>
      </c>
      <c r="AF258" s="25">
        <v>0.105828203572616</v>
      </c>
      <c r="AG258" s="25">
        <v>0.135376240673343</v>
      </c>
      <c r="AH258" s="25">
        <v>0.59415243791519</v>
      </c>
      <c r="AI258" s="25">
        <v>10.0</v>
      </c>
      <c r="AJ258" s="25">
        <v>2.47893802172631</v>
      </c>
      <c r="AK258" s="25">
        <v>9.72700045447894</v>
      </c>
      <c r="AL258" s="25">
        <v>3.11881394996222</v>
      </c>
      <c r="AM258" s="25">
        <v>0.639580105798285</v>
      </c>
      <c r="AN258" s="25">
        <v>2.18679645261351</v>
      </c>
      <c r="AO258" s="25">
        <v>7.26010656907074</v>
      </c>
      <c r="AP258" s="25">
        <v>2.69445849273481</v>
      </c>
      <c r="AQ258" s="25">
        <v>0.729736395424489</v>
      </c>
      <c r="AR258" s="25">
        <v>2.59279098752906</v>
      </c>
      <c r="AS258" s="25">
        <v>11.0006176049428</v>
      </c>
      <c r="AT258" s="25">
        <v>3.3167178964969</v>
      </c>
      <c r="AU258" s="25">
        <v>0.59415243791519</v>
      </c>
      <c r="AV258" s="26">
        <f t="shared" ref="AV258:AW258" si="519">(AC258-AC$289)/AC$290</f>
        <v>0.6539765644</v>
      </c>
      <c r="AW258" s="27">
        <f t="shared" si="519"/>
        <v>0.6036069255</v>
      </c>
      <c r="AX258" s="27">
        <f t="shared" si="5"/>
        <v>0.3298440381</v>
      </c>
      <c r="AY258" s="28">
        <f t="shared" si="6"/>
        <v>0.3363477379</v>
      </c>
      <c r="AZ258" s="29">
        <f t="shared" si="7"/>
        <v>0.4180186949</v>
      </c>
      <c r="BA258" s="28">
        <f t="shared" si="8"/>
        <v>0.3924629774</v>
      </c>
      <c r="BB258" s="29">
        <f t="shared" si="9"/>
        <v>0.167037156</v>
      </c>
      <c r="BC258" s="27">
        <f t="shared" si="10"/>
        <v>0.3141075179</v>
      </c>
      <c r="BD258" s="28">
        <f t="shared" si="11"/>
        <v>0.2519530249</v>
      </c>
      <c r="BE258" s="30">
        <f t="shared" ref="BE258:BF258" si="520">((S258-S$289)/S$290)</f>
        <v>-0.6334716977</v>
      </c>
      <c r="BF258" s="30">
        <f t="shared" si="520"/>
        <v>-0.1164001125</v>
      </c>
    </row>
    <row r="259">
      <c r="A259" s="21" t="s">
        <v>88</v>
      </c>
      <c r="B259" s="22">
        <f t="shared" si="3"/>
        <v>-1.172398328</v>
      </c>
      <c r="C259" s="21" t="s">
        <v>68</v>
      </c>
      <c r="D259" s="21" t="s">
        <v>69</v>
      </c>
      <c r="E259" s="23">
        <v>99.0</v>
      </c>
      <c r="F259" s="24" t="s">
        <v>70</v>
      </c>
      <c r="G259" s="21" t="s">
        <v>71</v>
      </c>
      <c r="H259" s="24" t="s">
        <v>72</v>
      </c>
      <c r="I259" s="24" t="s">
        <v>95</v>
      </c>
      <c r="J259" s="24" t="s">
        <v>99</v>
      </c>
      <c r="K259" s="24" t="s">
        <v>75</v>
      </c>
      <c r="L259" s="21" t="s">
        <v>76</v>
      </c>
      <c r="M259" s="24" t="s">
        <v>85</v>
      </c>
      <c r="N259" s="21" t="s">
        <v>104</v>
      </c>
      <c r="O259" s="21" t="s">
        <v>91</v>
      </c>
      <c r="P259" s="21" t="s">
        <v>80</v>
      </c>
      <c r="Q259" s="24" t="s">
        <v>81</v>
      </c>
      <c r="R259" s="24" t="s">
        <v>81</v>
      </c>
      <c r="S259" s="25">
        <v>159.313435077667</v>
      </c>
      <c r="T259" s="25">
        <v>231.64996266365</v>
      </c>
      <c r="U259" s="25">
        <v>4.79179420435536</v>
      </c>
      <c r="V259" s="25">
        <v>31.8888336163185</v>
      </c>
      <c r="W259" s="25">
        <v>5.64701988807535</v>
      </c>
      <c r="X259" s="25">
        <v>-0.216506038044275</v>
      </c>
      <c r="Y259" s="25">
        <v>0.191154350226147</v>
      </c>
      <c r="Z259" s="25">
        <v>0.0487043537123126</v>
      </c>
      <c r="AA259" s="25">
        <v>0.220690628963516</v>
      </c>
      <c r="AB259" s="25">
        <v>-0.0239598447343754</v>
      </c>
      <c r="AC259" s="25">
        <v>0.192180033423561</v>
      </c>
      <c r="AD259" s="25">
        <v>0.221516717224519</v>
      </c>
      <c r="AE259" s="25">
        <v>-0.0253779223525576</v>
      </c>
      <c r="AF259" s="25">
        <v>0.207392793457233</v>
      </c>
      <c r="AG259" s="25">
        <v>0.242228759513119</v>
      </c>
      <c r="AH259" s="25">
        <v>-0.210331834252489</v>
      </c>
      <c r="AI259" s="25">
        <v>10.0</v>
      </c>
      <c r="AJ259" s="25">
        <v>4.79179420435536</v>
      </c>
      <c r="AK259" s="25">
        <v>31.8888336163185</v>
      </c>
      <c r="AL259" s="25">
        <v>5.64701988807535</v>
      </c>
      <c r="AM259" s="25">
        <v>-0.216552574911824</v>
      </c>
      <c r="AN259" s="25">
        <v>4.48153161275221</v>
      </c>
      <c r="AO259" s="25">
        <v>26.683906664329</v>
      </c>
      <c r="AP259" s="25">
        <v>5.16564678083287</v>
      </c>
      <c r="AQ259" s="25">
        <v>-0.0253779223525574</v>
      </c>
      <c r="AR259" s="25">
        <v>4.83628472520409</v>
      </c>
      <c r="AS259" s="25">
        <v>31.9071349828628</v>
      </c>
      <c r="AT259" s="25">
        <v>5.64864010031289</v>
      </c>
      <c r="AU259" s="25">
        <v>-0.210331834252489</v>
      </c>
      <c r="AV259" s="26">
        <f t="shared" ref="AV259:AW259" si="521">(AC259-AC$289)/AC$290</f>
        <v>2.766436871</v>
      </c>
      <c r="AW259" s="27">
        <f t="shared" si="521"/>
        <v>2.406001624</v>
      </c>
      <c r="AX259" s="27">
        <f t="shared" si="5"/>
        <v>1.280044552</v>
      </c>
      <c r="AY259" s="28">
        <f t="shared" si="6"/>
        <v>1.112465416</v>
      </c>
      <c r="AZ259" s="29">
        <f t="shared" si="7"/>
        <v>1.605189157</v>
      </c>
      <c r="BA259" s="28">
        <f t="shared" si="8"/>
        <v>1.394944643</v>
      </c>
      <c r="BB259" s="29">
        <f t="shared" si="9"/>
        <v>0.9925656614</v>
      </c>
      <c r="BC259" s="27">
        <f t="shared" si="10"/>
        <v>1.521319326</v>
      </c>
      <c r="BD259" s="28">
        <f t="shared" si="11"/>
        <v>1.371700702</v>
      </c>
      <c r="BE259" s="30">
        <f t="shared" ref="BE259:BF259" si="522">((S259-S$289)/S$290)</f>
        <v>-0.7956294339</v>
      </c>
      <c r="BF259" s="30">
        <f t="shared" si="522"/>
        <v>-0.7586569078</v>
      </c>
    </row>
    <row r="260">
      <c r="A260" s="21" t="s">
        <v>67</v>
      </c>
      <c r="B260" s="22">
        <f t="shared" si="3"/>
        <v>0.08482743013</v>
      </c>
      <c r="C260" s="21" t="s">
        <v>68</v>
      </c>
      <c r="D260" s="21" t="s">
        <v>69</v>
      </c>
      <c r="E260" s="23">
        <v>64.0</v>
      </c>
      <c r="F260" s="24" t="s">
        <v>70</v>
      </c>
      <c r="G260" s="21" t="s">
        <v>82</v>
      </c>
      <c r="H260" s="24" t="s">
        <v>83</v>
      </c>
      <c r="I260" s="24" t="s">
        <v>95</v>
      </c>
      <c r="J260" s="24" t="s">
        <v>90</v>
      </c>
      <c r="K260" s="24" t="s">
        <v>101</v>
      </c>
      <c r="L260" s="21" t="s">
        <v>92</v>
      </c>
      <c r="M260" s="24" t="s">
        <v>85</v>
      </c>
      <c r="N260" s="21" t="s">
        <v>78</v>
      </c>
      <c r="O260" s="21" t="s">
        <v>91</v>
      </c>
      <c r="P260" s="21" t="s">
        <v>80</v>
      </c>
      <c r="Q260" s="24" t="s">
        <v>94</v>
      </c>
      <c r="R260" s="24" t="s">
        <v>96</v>
      </c>
      <c r="S260" s="25">
        <v>1158.22108650207</v>
      </c>
      <c r="T260" s="25">
        <v>201.601661920547</v>
      </c>
      <c r="U260" s="25">
        <v>1.76233363968487</v>
      </c>
      <c r="V260" s="25">
        <v>5.23163248258394</v>
      </c>
      <c r="W260" s="25">
        <v>2.28727621475499</v>
      </c>
      <c r="X260" s="25">
        <v>0.800513059013388</v>
      </c>
      <c r="Y260" s="25">
        <v>0.0599136984147215</v>
      </c>
      <c r="Z260" s="25">
        <v>0.00574775616363601</v>
      </c>
      <c r="AA260" s="25">
        <v>0.0758139575779817</v>
      </c>
      <c r="AB260" s="25">
        <v>0.879693047013615</v>
      </c>
      <c r="AC260" s="25">
        <v>0.0597753529127326</v>
      </c>
      <c r="AD260" s="25">
        <v>0.0756459574820057</v>
      </c>
      <c r="AE260" s="25">
        <v>0.880828084233816</v>
      </c>
      <c r="AF260" s="25">
        <v>0.0819992153266011</v>
      </c>
      <c r="AG260" s="25">
        <v>0.107078085262353</v>
      </c>
      <c r="AH260" s="25">
        <v>0.762971251109329</v>
      </c>
      <c r="AI260" s="25">
        <v>10.0</v>
      </c>
      <c r="AJ260" s="25">
        <v>1.76233363968487</v>
      </c>
      <c r="AK260" s="25">
        <v>5.23163248258394</v>
      </c>
      <c r="AL260" s="25">
        <v>2.28727621475499</v>
      </c>
      <c r="AM260" s="25">
        <v>0.800439134327066</v>
      </c>
      <c r="AN260" s="25">
        <v>1.39392802139554</v>
      </c>
      <c r="AO260" s="25">
        <v>3.11177256847312</v>
      </c>
      <c r="AP260" s="25">
        <v>1.76402170294844</v>
      </c>
      <c r="AQ260" s="25">
        <v>0.880828084233816</v>
      </c>
      <c r="AR260" s="25">
        <v>1.91217614629673</v>
      </c>
      <c r="AS260" s="25">
        <v>6.23501629370385</v>
      </c>
      <c r="AT260" s="25">
        <v>2.49700146049293</v>
      </c>
      <c r="AU260" s="25">
        <v>0.762971251109329</v>
      </c>
      <c r="AV260" s="26">
        <f t="shared" ref="AV260:AW260" si="523">(AC260-AC$289)/AC$290</f>
        <v>0.04887582145</v>
      </c>
      <c r="AW260" s="27">
        <f t="shared" si="523"/>
        <v>0.04882512658</v>
      </c>
      <c r="AX260" s="27">
        <f t="shared" si="5"/>
        <v>0.04157910518</v>
      </c>
      <c r="AY260" s="28">
        <f t="shared" si="6"/>
        <v>0.06352713684</v>
      </c>
      <c r="AZ260" s="29">
        <f t="shared" si="7"/>
        <v>0.05019143348</v>
      </c>
      <c r="BA260" s="28">
        <f t="shared" si="8"/>
        <v>0.06274247439</v>
      </c>
      <c r="BB260" s="29">
        <f t="shared" si="9"/>
        <v>0.001856211756</v>
      </c>
      <c r="BC260" s="27">
        <f t="shared" si="10"/>
        <v>0.06077743824</v>
      </c>
      <c r="BD260" s="28">
        <f t="shared" si="11"/>
        <v>0.041563295</v>
      </c>
      <c r="BE260" s="30">
        <f t="shared" ref="BE260:BF260" si="524">((S260-S$289)/S$290)</f>
        <v>-0.5342943754</v>
      </c>
      <c r="BF260" s="30">
        <f t="shared" si="524"/>
        <v>-0.818745399</v>
      </c>
    </row>
    <row r="261">
      <c r="A261" s="21" t="s">
        <v>67</v>
      </c>
      <c r="B261" s="22">
        <f t="shared" si="3"/>
        <v>0.03454920695</v>
      </c>
      <c r="C261" s="21" t="s">
        <v>68</v>
      </c>
      <c r="D261" s="21" t="s">
        <v>69</v>
      </c>
      <c r="E261" s="23">
        <v>214.0</v>
      </c>
      <c r="F261" s="24" t="s">
        <v>97</v>
      </c>
      <c r="G261" s="21" t="s">
        <v>82</v>
      </c>
      <c r="H261" s="24" t="s">
        <v>98</v>
      </c>
      <c r="I261" s="24" t="s">
        <v>95</v>
      </c>
      <c r="J261" s="24" t="s">
        <v>99</v>
      </c>
      <c r="K261" s="24" t="s">
        <v>101</v>
      </c>
      <c r="L261" s="21" t="s">
        <v>92</v>
      </c>
      <c r="M261" s="24" t="s">
        <v>77</v>
      </c>
      <c r="N261" s="21" t="s">
        <v>86</v>
      </c>
      <c r="O261" s="21" t="s">
        <v>91</v>
      </c>
      <c r="P261" s="21" t="s">
        <v>80</v>
      </c>
      <c r="Q261" s="24" t="s">
        <v>81</v>
      </c>
      <c r="S261" s="25">
        <v>1046.74061274528</v>
      </c>
      <c r="T261" s="25">
        <v>568.409487724304</v>
      </c>
      <c r="U261" s="25">
        <v>1.73096239839441</v>
      </c>
      <c r="V261" s="25">
        <v>4.86804469907895</v>
      </c>
      <c r="W261" s="25">
        <v>2.20636458888347</v>
      </c>
      <c r="X261" s="25">
        <v>0.819838740377944</v>
      </c>
      <c r="Y261" s="25">
        <v>0.058278087094979</v>
      </c>
      <c r="Z261" s="25">
        <v>0.00534130863166578</v>
      </c>
      <c r="AA261" s="25">
        <v>0.0730842570713131</v>
      </c>
      <c r="AB261" s="25">
        <v>0.880462088059347</v>
      </c>
      <c r="AC261" s="25">
        <v>0.0580942107846436</v>
      </c>
      <c r="AD261" s="25">
        <v>0.0729007341427789</v>
      </c>
      <c r="AE261" s="25">
        <v>0.881630553290555</v>
      </c>
      <c r="AF261" s="25">
        <v>0.0802369816241368</v>
      </c>
      <c r="AG261" s="25">
        <v>0.10119415643429</v>
      </c>
      <c r="AH261" s="25">
        <v>0.772857749400277</v>
      </c>
      <c r="AI261" s="25">
        <v>10.0</v>
      </c>
      <c r="AJ261" s="25">
        <v>1.7309623983944</v>
      </c>
      <c r="AK261" s="25">
        <v>4.86804469907895</v>
      </c>
      <c r="AL261" s="25">
        <v>2.20636458888347</v>
      </c>
      <c r="AM261" s="25">
        <v>0.819809254560108</v>
      </c>
      <c r="AN261" s="25">
        <v>1.42330816422375</v>
      </c>
      <c r="AO261" s="25">
        <v>3.19003885239333</v>
      </c>
      <c r="AP261" s="25">
        <v>1.78606798649808</v>
      </c>
      <c r="AQ261" s="25">
        <v>0.881630553290555</v>
      </c>
      <c r="AR261" s="25">
        <v>1.96580604979137</v>
      </c>
      <c r="AS261" s="25">
        <v>6.14671444219264</v>
      </c>
      <c r="AT261" s="25">
        <v>2.4792568326401</v>
      </c>
      <c r="AU261" s="25">
        <v>0.772857749400277</v>
      </c>
      <c r="AV261" s="26">
        <f t="shared" ref="AV261:AW261" si="525">(AC261-AC$289)/AC$290</f>
        <v>0.01437095087</v>
      </c>
      <c r="AW261" s="27">
        <f t="shared" si="525"/>
        <v>0.004464104906</v>
      </c>
      <c r="AX261" s="27">
        <f t="shared" si="5"/>
        <v>0.06429330357</v>
      </c>
      <c r="AY261" s="28">
        <f t="shared" si="6"/>
        <v>0.05762131402</v>
      </c>
      <c r="AZ261" s="29">
        <f t="shared" si="7"/>
        <v>0.03408882783</v>
      </c>
      <c r="BA261" s="28">
        <f t="shared" si="8"/>
        <v>0.03065947821</v>
      </c>
      <c r="BB261" s="29">
        <f t="shared" si="9"/>
        <v>0.000978912696</v>
      </c>
      <c r="BC261" s="27">
        <f t="shared" si="10"/>
        <v>0.04594172561</v>
      </c>
      <c r="BD261" s="28">
        <f t="shared" si="11"/>
        <v>0.01622884905</v>
      </c>
      <c r="BE261" s="30">
        <f t="shared" ref="BE261:BF261" si="526">((S261-S$289)/S$290)</f>
        <v>-0.5634599905</v>
      </c>
      <c r="BF261" s="30">
        <f t="shared" si="526"/>
        <v>-0.08522875268</v>
      </c>
    </row>
    <row r="262">
      <c r="A262" s="21" t="s">
        <v>88</v>
      </c>
      <c r="B262" s="22">
        <f t="shared" si="3"/>
        <v>-0.1037284811</v>
      </c>
      <c r="C262" s="21" t="s">
        <v>68</v>
      </c>
      <c r="D262" s="21" t="s">
        <v>69</v>
      </c>
      <c r="E262" s="23">
        <v>221.0</v>
      </c>
      <c r="F262" s="24" t="s">
        <v>97</v>
      </c>
      <c r="G262" s="21" t="s">
        <v>71</v>
      </c>
      <c r="H262" s="24" t="s">
        <v>105</v>
      </c>
      <c r="I262" s="24" t="s">
        <v>95</v>
      </c>
      <c r="J262" s="24" t="s">
        <v>99</v>
      </c>
      <c r="K262" s="24" t="s">
        <v>101</v>
      </c>
      <c r="L262" s="21" t="s">
        <v>76</v>
      </c>
      <c r="M262" s="24" t="s">
        <v>85</v>
      </c>
      <c r="N262" s="21" t="s">
        <v>78</v>
      </c>
      <c r="O262" s="21" t="s">
        <v>91</v>
      </c>
      <c r="P262" s="21" t="s">
        <v>80</v>
      </c>
      <c r="Q262" s="24" t="s">
        <v>89</v>
      </c>
      <c r="R262" s="24" t="s">
        <v>100</v>
      </c>
      <c r="S262" s="25">
        <v>968.925134897232</v>
      </c>
      <c r="T262" s="25">
        <v>478.022446155548</v>
      </c>
      <c r="U262" s="25">
        <v>2.1002224549931</v>
      </c>
      <c r="V262" s="25">
        <v>7.10044594915528</v>
      </c>
      <c r="W262" s="25">
        <v>2.66466619844874</v>
      </c>
      <c r="X262" s="25">
        <v>0.736974290067337</v>
      </c>
      <c r="Y262" s="25">
        <v>0.0762732941065978</v>
      </c>
      <c r="Z262" s="25">
        <v>0.00905957289379658</v>
      </c>
      <c r="AA262" s="25">
        <v>0.0951817886667223</v>
      </c>
      <c r="AB262" s="25">
        <v>0.796433685194105</v>
      </c>
      <c r="AC262" s="25">
        <v>0.0757339919879466</v>
      </c>
      <c r="AD262" s="25">
        <v>0.0947258681909211</v>
      </c>
      <c r="AE262" s="25">
        <v>0.799500207883301</v>
      </c>
      <c r="AF262" s="25">
        <v>0.0943604474488188</v>
      </c>
      <c r="AG262" s="25">
        <v>0.120022875413293</v>
      </c>
      <c r="AH262" s="25">
        <v>0.68098867861784</v>
      </c>
      <c r="AI262" s="25">
        <v>10.0</v>
      </c>
      <c r="AJ262" s="25">
        <v>2.10022245499308</v>
      </c>
      <c r="AK262" s="25">
        <v>7.10044594915529</v>
      </c>
      <c r="AL262" s="25">
        <v>2.66466619844874</v>
      </c>
      <c r="AM262" s="25">
        <v>0.736903273547073</v>
      </c>
      <c r="AN262" s="25">
        <v>1.85548280370465</v>
      </c>
      <c r="AO262" s="25">
        <v>5.38603731024041</v>
      </c>
      <c r="AP262" s="25">
        <v>2.32078377067757</v>
      </c>
      <c r="AQ262" s="25">
        <v>0.799500207883301</v>
      </c>
      <c r="AR262" s="25">
        <v>2.31183096249602</v>
      </c>
      <c r="AS262" s="25">
        <v>8.64689574614058</v>
      </c>
      <c r="AT262" s="25">
        <v>2.94056044762568</v>
      </c>
      <c r="AU262" s="25">
        <v>0.68098867861784</v>
      </c>
      <c r="AV262" s="26">
        <f t="shared" ref="AV262:AW262" si="527">(AC262-AC$289)/AC$290</f>
        <v>0.3764214625</v>
      </c>
      <c r="AW262" s="27">
        <f t="shared" si="527"/>
        <v>0.3571440602</v>
      </c>
      <c r="AX262" s="27">
        <f t="shared" si="5"/>
        <v>0.2108473342</v>
      </c>
      <c r="AY262" s="28">
        <f t="shared" si="6"/>
        <v>0.2111538333</v>
      </c>
      <c r="AZ262" s="29">
        <f t="shared" si="7"/>
        <v>0.2236270427</v>
      </c>
      <c r="BA262" s="28">
        <f t="shared" si="8"/>
        <v>0.2123847696</v>
      </c>
      <c r="BB262" s="29">
        <f t="shared" si="9"/>
        <v>0.09076788861</v>
      </c>
      <c r="BC262" s="27">
        <f t="shared" si="10"/>
        <v>0.1838007627</v>
      </c>
      <c r="BD262" s="28">
        <f t="shared" si="11"/>
        <v>0.1246627188</v>
      </c>
      <c r="BE262" s="30">
        <f t="shared" ref="BE262:BF262" si="528">((S262-S$289)/S$290)</f>
        <v>-0.5838181412</v>
      </c>
      <c r="BF262" s="30">
        <f t="shared" si="528"/>
        <v>-0.2659784394</v>
      </c>
    </row>
    <row r="263">
      <c r="A263" s="21" t="s">
        <v>88</v>
      </c>
      <c r="B263" s="22">
        <f t="shared" si="3"/>
        <v>0.01476161233</v>
      </c>
      <c r="C263" s="21" t="s">
        <v>68</v>
      </c>
      <c r="D263" s="21" t="s">
        <v>69</v>
      </c>
      <c r="E263" s="23">
        <v>251.0</v>
      </c>
      <c r="F263" s="24" t="s">
        <v>97</v>
      </c>
      <c r="G263" s="21" t="s">
        <v>71</v>
      </c>
      <c r="H263" s="24" t="s">
        <v>105</v>
      </c>
      <c r="I263" s="24" t="s">
        <v>95</v>
      </c>
      <c r="J263" s="24" t="s">
        <v>74</v>
      </c>
      <c r="K263" s="24" t="s">
        <v>75</v>
      </c>
      <c r="L263" s="21" t="s">
        <v>92</v>
      </c>
      <c r="M263" s="24" t="s">
        <v>85</v>
      </c>
      <c r="N263" s="21" t="s">
        <v>104</v>
      </c>
      <c r="O263" s="21" t="s">
        <v>79</v>
      </c>
      <c r="P263" s="21" t="s">
        <v>80</v>
      </c>
      <c r="Q263" s="24" t="s">
        <v>96</v>
      </c>
      <c r="R263" s="24" t="s">
        <v>96</v>
      </c>
      <c r="S263" s="25">
        <v>1043.76835536956</v>
      </c>
      <c r="T263" s="25">
        <v>580.539291858673</v>
      </c>
      <c r="U263" s="25">
        <v>1.85903142161568</v>
      </c>
      <c r="V263" s="25">
        <v>5.49445049323143</v>
      </c>
      <c r="W263" s="25">
        <v>2.34402442249039</v>
      </c>
      <c r="X263" s="25">
        <v>0.796473027496219</v>
      </c>
      <c r="Y263" s="25">
        <v>0.0598020298563626</v>
      </c>
      <c r="Z263" s="25">
        <v>0.00562290748957284</v>
      </c>
      <c r="AA263" s="25">
        <v>0.0749860486328813</v>
      </c>
      <c r="AB263" s="25">
        <v>0.873654688850664</v>
      </c>
      <c r="AC263" s="25">
        <v>0.0595973697246296</v>
      </c>
      <c r="AD263" s="25">
        <v>0.0747277290630677</v>
      </c>
      <c r="AE263" s="25">
        <v>0.875221343050769</v>
      </c>
      <c r="AF263" s="25">
        <v>0.0795939909495207</v>
      </c>
      <c r="AG263" s="25">
        <v>0.100055951627237</v>
      </c>
      <c r="AH263" s="25">
        <v>0.778300917565519</v>
      </c>
      <c r="AI263" s="25">
        <v>10.0</v>
      </c>
      <c r="AJ263" s="25">
        <v>1.85903142161563</v>
      </c>
      <c r="AK263" s="25">
        <v>5.49445049323143</v>
      </c>
      <c r="AL263" s="25">
        <v>2.34402442249039</v>
      </c>
      <c r="AM263" s="25">
        <v>0.79641110589697</v>
      </c>
      <c r="AN263" s="25">
        <v>1.46013555825346</v>
      </c>
      <c r="AO263" s="25">
        <v>3.35193615292667</v>
      </c>
      <c r="AP263" s="25">
        <v>1.83082936204515</v>
      </c>
      <c r="AQ263" s="25">
        <v>0.875221343050769</v>
      </c>
      <c r="AR263" s="25">
        <v>1.95005277826329</v>
      </c>
      <c r="AS263" s="25">
        <v>6.00921887198323</v>
      </c>
      <c r="AT263" s="25">
        <v>2.45137081486731</v>
      </c>
      <c r="AU263" s="25">
        <v>0.778300917565519</v>
      </c>
      <c r="AV263" s="26">
        <f t="shared" ref="AV263:AW263" si="529">(AC263-AC$289)/AC$290</f>
        <v>0.04522277703</v>
      </c>
      <c r="AW263" s="27">
        <f t="shared" si="529"/>
        <v>0.03398715322</v>
      </c>
      <c r="AX263" s="27">
        <f t="shared" si="5"/>
        <v>0.05762122491</v>
      </c>
      <c r="AY263" s="28">
        <f t="shared" si="6"/>
        <v>0.04834020192</v>
      </c>
      <c r="AZ263" s="29">
        <f t="shared" si="7"/>
        <v>0.09982562663</v>
      </c>
      <c r="BA263" s="28">
        <f t="shared" si="8"/>
        <v>0.08524421641</v>
      </c>
      <c r="BB263" s="29">
        <f t="shared" si="9"/>
        <v>0.007985779902</v>
      </c>
      <c r="BC263" s="27">
        <f t="shared" si="10"/>
        <v>0.03777368913</v>
      </c>
      <c r="BD263" s="28">
        <f t="shared" si="11"/>
        <v>0.04683160864</v>
      </c>
      <c r="BE263" s="30">
        <f t="shared" ref="BE263:BF263" si="530">((S263-S$289)/S$290)</f>
        <v>-0.564237595</v>
      </c>
      <c r="BF263" s="30">
        <f t="shared" si="530"/>
        <v>-0.06097241838</v>
      </c>
    </row>
    <row r="264">
      <c r="A264" s="21" t="s">
        <v>88</v>
      </c>
      <c r="B264" s="22">
        <f t="shared" si="3"/>
        <v>-0.1133390724</v>
      </c>
      <c r="C264" s="21" t="s">
        <v>68</v>
      </c>
      <c r="D264" s="21" t="s">
        <v>69</v>
      </c>
      <c r="E264" s="23">
        <v>222.0</v>
      </c>
      <c r="F264" s="24" t="s">
        <v>97</v>
      </c>
      <c r="G264" s="21" t="s">
        <v>71</v>
      </c>
      <c r="H264" s="24" t="s">
        <v>105</v>
      </c>
      <c r="I264" s="24" t="s">
        <v>95</v>
      </c>
      <c r="J264" s="24" t="s">
        <v>99</v>
      </c>
      <c r="K264" s="24" t="s">
        <v>75</v>
      </c>
      <c r="L264" s="21" t="s">
        <v>92</v>
      </c>
      <c r="M264" s="24" t="s">
        <v>85</v>
      </c>
      <c r="N264" s="21" t="s">
        <v>104</v>
      </c>
      <c r="O264" s="21" t="s">
        <v>91</v>
      </c>
      <c r="P264" s="21" t="s">
        <v>80</v>
      </c>
      <c r="Q264" s="24" t="s">
        <v>81</v>
      </c>
      <c r="R264" s="24" t="s">
        <v>93</v>
      </c>
      <c r="S264" s="25">
        <v>962.598225116729</v>
      </c>
      <c r="T264" s="25">
        <v>595.105360031127</v>
      </c>
      <c r="U264" s="25">
        <v>2.10611970772071</v>
      </c>
      <c r="V264" s="25">
        <v>7.04555721771386</v>
      </c>
      <c r="W264" s="25">
        <v>2.654346853317</v>
      </c>
      <c r="X264" s="25">
        <v>0.738985338715385</v>
      </c>
      <c r="Y264" s="25">
        <v>0.0679661497414861</v>
      </c>
      <c r="Z264" s="25">
        <v>0.00706693242268557</v>
      </c>
      <c r="AA264" s="25">
        <v>0.0840650487580039</v>
      </c>
      <c r="AB264" s="25">
        <v>0.841207813311657</v>
      </c>
      <c r="AC264" s="25">
        <v>0.0680447821554503</v>
      </c>
      <c r="AD264" s="25">
        <v>0.0839984268928306</v>
      </c>
      <c r="AE264" s="25">
        <v>0.842340899888942</v>
      </c>
      <c r="AF264" s="25">
        <v>0.10462262904017</v>
      </c>
      <c r="AG264" s="25">
        <v>0.129059097015731</v>
      </c>
      <c r="AH264" s="25">
        <v>0.631145330088921</v>
      </c>
      <c r="AI264" s="25">
        <v>10.0</v>
      </c>
      <c r="AJ264" s="25">
        <v>2.10611970772064</v>
      </c>
      <c r="AK264" s="25">
        <v>7.04555721771386</v>
      </c>
      <c r="AL264" s="25">
        <v>2.654346853317</v>
      </c>
      <c r="AM264" s="25">
        <v>0.73893709588229</v>
      </c>
      <c r="AN264" s="25">
        <v>1.66709716280856</v>
      </c>
      <c r="AO264" s="25">
        <v>4.23520536621227</v>
      </c>
      <c r="AP264" s="25">
        <v>2.05796145887435</v>
      </c>
      <c r="AQ264" s="25">
        <v>0.842340899888942</v>
      </c>
      <c r="AR264" s="25">
        <v>2.5632544114841</v>
      </c>
      <c r="AS264" s="25">
        <v>9.99791437614024</v>
      </c>
      <c r="AT264" s="25">
        <v>3.16194787688542</v>
      </c>
      <c r="AU264" s="25">
        <v>0.631145330088921</v>
      </c>
      <c r="AV264" s="26">
        <f t="shared" ref="AV264:AW264" si="531">(AC264-AC$289)/AC$290</f>
        <v>0.218603045</v>
      </c>
      <c r="AW264" s="27">
        <f t="shared" si="531"/>
        <v>0.1837955938</v>
      </c>
      <c r="AX264" s="27">
        <f t="shared" si="5"/>
        <v>0.3173342329</v>
      </c>
      <c r="AY264" s="28">
        <f t="shared" si="6"/>
        <v>0.2848366935</v>
      </c>
      <c r="AZ264" s="29">
        <f t="shared" si="7"/>
        <v>0.2266540551</v>
      </c>
      <c r="BA264" s="28">
        <f t="shared" si="8"/>
        <v>0.2082929533</v>
      </c>
      <c r="BB264" s="29">
        <f t="shared" si="9"/>
        <v>0.0439323147</v>
      </c>
      <c r="BC264" s="27">
        <f t="shared" si="10"/>
        <v>0.2585958593</v>
      </c>
      <c r="BD264" s="28">
        <f t="shared" si="11"/>
        <v>0.1220026547</v>
      </c>
      <c r="BE264" s="30">
        <f t="shared" ref="BE264:BF264" si="532">((S264-S$289)/S$290)</f>
        <v>-0.5854733926</v>
      </c>
      <c r="BF264" s="30">
        <f t="shared" si="532"/>
        <v>-0.03184421357</v>
      </c>
    </row>
    <row r="265">
      <c r="A265" s="21" t="s">
        <v>88</v>
      </c>
      <c r="B265" s="22">
        <f t="shared" si="3"/>
        <v>-0.08631021898</v>
      </c>
      <c r="C265" s="21" t="s">
        <v>68</v>
      </c>
      <c r="D265" s="21" t="s">
        <v>69</v>
      </c>
      <c r="E265" s="23">
        <v>244.0</v>
      </c>
      <c r="F265" s="24" t="s">
        <v>97</v>
      </c>
      <c r="G265" s="21" t="s">
        <v>71</v>
      </c>
      <c r="H265" s="24" t="s">
        <v>105</v>
      </c>
      <c r="I265" s="24" t="s">
        <v>95</v>
      </c>
      <c r="J265" s="24" t="s">
        <v>74</v>
      </c>
      <c r="K265" s="24" t="s">
        <v>101</v>
      </c>
      <c r="L265" s="21" t="s">
        <v>76</v>
      </c>
      <c r="M265" s="24" t="s">
        <v>85</v>
      </c>
      <c r="N265" s="21" t="s">
        <v>86</v>
      </c>
      <c r="O265" s="21" t="s">
        <v>91</v>
      </c>
      <c r="P265" s="21" t="s">
        <v>80</v>
      </c>
      <c r="Q265" s="24" t="s">
        <v>89</v>
      </c>
      <c r="R265" s="24" t="s">
        <v>103</v>
      </c>
      <c r="S265" s="25">
        <v>998.587364435195</v>
      </c>
      <c r="T265" s="25">
        <v>582.635117292404</v>
      </c>
      <c r="U265" s="25">
        <v>2.06624609953286</v>
      </c>
      <c r="V265" s="25">
        <v>6.80627878355819</v>
      </c>
      <c r="W265" s="25">
        <v>2.60888458609387</v>
      </c>
      <c r="X265" s="25">
        <v>0.747864227486594</v>
      </c>
      <c r="Y265" s="25">
        <v>0.0714225462456554</v>
      </c>
      <c r="Z265" s="25">
        <v>0.00795765246077125</v>
      </c>
      <c r="AA265" s="25">
        <v>0.0892056750480106</v>
      </c>
      <c r="AB265" s="25">
        <v>0.821193559019269</v>
      </c>
      <c r="AC265" s="25">
        <v>0.0710620782604981</v>
      </c>
      <c r="AD265" s="25">
        <v>0.0888370157866759</v>
      </c>
      <c r="AE265" s="25">
        <v>0.823654386841751</v>
      </c>
      <c r="AF265" s="25">
        <v>0.0901403225238184</v>
      </c>
      <c r="AG265" s="25">
        <v>0.114155901133174</v>
      </c>
      <c r="AH265" s="25">
        <v>0.711414321185244</v>
      </c>
      <c r="AI265" s="25">
        <v>10.0</v>
      </c>
      <c r="AJ265" s="25">
        <v>2.0662460995328</v>
      </c>
      <c r="AK265" s="25">
        <v>6.80627878355819</v>
      </c>
      <c r="AL265" s="25">
        <v>2.60888458609387</v>
      </c>
      <c r="AM265" s="25">
        <v>0.747803211220387</v>
      </c>
      <c r="AN265" s="25">
        <v>1.74102091738223</v>
      </c>
      <c r="AO265" s="25">
        <v>4.73718222817272</v>
      </c>
      <c r="AP265" s="25">
        <v>2.17650688677355</v>
      </c>
      <c r="AQ265" s="25">
        <v>0.823654386841751</v>
      </c>
      <c r="AR265" s="25">
        <v>2.2084379018335</v>
      </c>
      <c r="AS265" s="25">
        <v>7.82219975055704</v>
      </c>
      <c r="AT265" s="25">
        <v>2.79681957776275</v>
      </c>
      <c r="AU265" s="25">
        <v>0.711414321185244</v>
      </c>
      <c r="AV265" s="26">
        <f t="shared" ref="AV265:AW265" si="533">(AC265-AC$289)/AC$290</f>
        <v>0.2805320217</v>
      </c>
      <c r="AW265" s="27">
        <f t="shared" si="533"/>
        <v>0.2619840398</v>
      </c>
      <c r="AX265" s="27">
        <f t="shared" si="5"/>
        <v>0.1670566439</v>
      </c>
      <c r="AY265" s="28">
        <f t="shared" si="6"/>
        <v>0.1633135451</v>
      </c>
      <c r="AZ265" s="29">
        <f t="shared" si="7"/>
        <v>0.206187253</v>
      </c>
      <c r="BA265" s="28">
        <f t="shared" si="8"/>
        <v>0.190266301</v>
      </c>
      <c r="BB265" s="29">
        <f t="shared" si="9"/>
        <v>0.06436133958</v>
      </c>
      <c r="BC265" s="27">
        <f t="shared" si="10"/>
        <v>0.1381439409</v>
      </c>
      <c r="BD265" s="28">
        <f t="shared" si="11"/>
        <v>0.1104065408</v>
      </c>
      <c r="BE265" s="30">
        <f t="shared" ref="BE265:BF265" si="534">((S265-S$289)/S$290)</f>
        <v>-0.5760578838</v>
      </c>
      <c r="BF265" s="30">
        <f t="shared" si="534"/>
        <v>-0.0567813332</v>
      </c>
    </row>
    <row r="266">
      <c r="A266" s="21" t="s">
        <v>67</v>
      </c>
      <c r="B266" s="22">
        <f t="shared" si="3"/>
        <v>0.08447845166</v>
      </c>
      <c r="C266" s="21" t="s">
        <v>68</v>
      </c>
      <c r="D266" s="21" t="s">
        <v>69</v>
      </c>
      <c r="E266" s="23">
        <v>199.0</v>
      </c>
      <c r="F266" s="24" t="s">
        <v>97</v>
      </c>
      <c r="G266" s="21" t="s">
        <v>82</v>
      </c>
      <c r="H266" s="24" t="s">
        <v>98</v>
      </c>
      <c r="I266" s="24" t="s">
        <v>95</v>
      </c>
      <c r="J266" s="24" t="s">
        <v>74</v>
      </c>
      <c r="K266" s="24" t="s">
        <v>75</v>
      </c>
      <c r="L266" s="21" t="s">
        <v>92</v>
      </c>
      <c r="M266" s="24" t="s">
        <v>85</v>
      </c>
      <c r="N266" s="21" t="s">
        <v>86</v>
      </c>
      <c r="O266" s="21" t="s">
        <v>79</v>
      </c>
      <c r="P266" s="21" t="s">
        <v>80</v>
      </c>
      <c r="Q266" s="24" t="s">
        <v>94</v>
      </c>
      <c r="R266" s="24" t="s">
        <v>81</v>
      </c>
      <c r="S266" s="25">
        <v>1167.82064461708</v>
      </c>
      <c r="T266" s="25">
        <v>610.719658374786</v>
      </c>
      <c r="U266" s="25">
        <v>1.57717350628315</v>
      </c>
      <c r="V266" s="25">
        <v>4.14007041416594</v>
      </c>
      <c r="W266" s="25">
        <v>2.03471629820128</v>
      </c>
      <c r="X266" s="25">
        <v>0.846776760572099</v>
      </c>
      <c r="Y266" s="25">
        <v>0.0529265304481801</v>
      </c>
      <c r="Z266" s="25">
        <v>0.00451202041096682</v>
      </c>
      <c r="AA266" s="25">
        <v>0.0671715744267381</v>
      </c>
      <c r="AB266" s="25">
        <v>0.899021469127806</v>
      </c>
      <c r="AC266" s="25">
        <v>0.0528761695410088</v>
      </c>
      <c r="AD266" s="25">
        <v>0.0670693630094784</v>
      </c>
      <c r="AE266" s="25">
        <v>0.89981004601184</v>
      </c>
      <c r="AF266" s="25">
        <v>0.0703497258046796</v>
      </c>
      <c r="AG266" s="25">
        <v>0.0902158454161157</v>
      </c>
      <c r="AH266" s="25">
        <v>0.819468619862471</v>
      </c>
      <c r="AI266" s="25">
        <v>10.0</v>
      </c>
      <c r="AJ266" s="25">
        <v>1.57717350628317</v>
      </c>
      <c r="AK266" s="25">
        <v>4.14007041416594</v>
      </c>
      <c r="AL266" s="25">
        <v>2.03471629820128</v>
      </c>
      <c r="AM266" s="25">
        <v>0.84675523331917</v>
      </c>
      <c r="AN266" s="25">
        <v>1.29546615375472</v>
      </c>
      <c r="AO266" s="25">
        <v>2.70010424756194</v>
      </c>
      <c r="AP266" s="25">
        <v>1.64319939373222</v>
      </c>
      <c r="AQ266" s="25">
        <v>0.89981004601184</v>
      </c>
      <c r="AR266" s="25">
        <v>1.72356828221469</v>
      </c>
      <c r="AS266" s="25">
        <v>4.88537398317771</v>
      </c>
      <c r="AT266" s="25">
        <v>2.21028821269483</v>
      </c>
      <c r="AU266" s="25">
        <v>0.819468619862471</v>
      </c>
      <c r="AV266" s="26">
        <f t="shared" ref="AV266:AW266" si="535">(AC266-AC$289)/AC$290</f>
        <v>-0.09272757152</v>
      </c>
      <c r="AW266" s="27">
        <f t="shared" si="535"/>
        <v>-0.08976705566</v>
      </c>
      <c r="AX266" s="27">
        <f t="shared" si="5"/>
        <v>-0.03830312777</v>
      </c>
      <c r="AY266" s="28">
        <f t="shared" si="6"/>
        <v>-0.0318976676</v>
      </c>
      <c r="AZ266" s="29">
        <f t="shared" si="7"/>
        <v>-0.04484977266</v>
      </c>
      <c r="BA266" s="28">
        <f t="shared" si="8"/>
        <v>-0.03740232866</v>
      </c>
      <c r="BB266" s="29">
        <f t="shared" si="9"/>
        <v>-0.01889581236</v>
      </c>
      <c r="BC266" s="27">
        <f t="shared" si="10"/>
        <v>-0.0240027036</v>
      </c>
      <c r="BD266" s="28">
        <f t="shared" si="11"/>
        <v>-0.01901416619</v>
      </c>
      <c r="BE266" s="30">
        <f t="shared" ref="BE266:BF266" si="536">((S266-S$289)/S$290)</f>
        <v>-0.5317829309</v>
      </c>
      <c r="BF266" s="30">
        <f t="shared" si="536"/>
        <v>-0.0006198313477</v>
      </c>
    </row>
    <row r="267">
      <c r="A267" s="21" t="s">
        <v>67</v>
      </c>
      <c r="B267" s="22">
        <f t="shared" si="3"/>
        <v>-0.01056651183</v>
      </c>
      <c r="C267" s="21" t="s">
        <v>68</v>
      </c>
      <c r="D267" s="21" t="s">
        <v>69</v>
      </c>
      <c r="E267" s="23">
        <v>215.0</v>
      </c>
      <c r="F267" s="24" t="s">
        <v>97</v>
      </c>
      <c r="G267" s="21" t="s">
        <v>82</v>
      </c>
      <c r="H267" s="24" t="s">
        <v>98</v>
      </c>
      <c r="I267" s="24" t="s">
        <v>73</v>
      </c>
      <c r="J267" s="24" t="s">
        <v>74</v>
      </c>
      <c r="K267" s="24" t="s">
        <v>101</v>
      </c>
      <c r="L267" s="21" t="s">
        <v>92</v>
      </c>
      <c r="M267" s="24" t="s">
        <v>85</v>
      </c>
      <c r="N267" s="21" t="s">
        <v>86</v>
      </c>
      <c r="O267" s="21" t="s">
        <v>91</v>
      </c>
      <c r="P267" s="21" t="s">
        <v>80</v>
      </c>
      <c r="Q267" s="24" t="s">
        <v>96</v>
      </c>
      <c r="R267" s="24" t="s">
        <v>96</v>
      </c>
      <c r="S267" s="25">
        <v>1171.46355199813</v>
      </c>
      <c r="T267" s="25">
        <v>467.926078081131</v>
      </c>
      <c r="U267" s="25">
        <v>1.97899558750598</v>
      </c>
      <c r="V267" s="25">
        <v>6.01994931176897</v>
      </c>
      <c r="W267" s="25">
        <v>2.45355849976497</v>
      </c>
      <c r="X267" s="25">
        <v>0.77701000271116</v>
      </c>
      <c r="Y267" s="25">
        <v>0.0646268985158662</v>
      </c>
      <c r="Z267" s="25">
        <v>0.00613489972333815</v>
      </c>
      <c r="AA267" s="25">
        <v>0.0783256006892903</v>
      </c>
      <c r="AB267" s="25">
        <v>0.862553199650642</v>
      </c>
      <c r="AC267" s="25">
        <v>0.0647428592450574</v>
      </c>
      <c r="AD267" s="25">
        <v>0.0783655405492329</v>
      </c>
      <c r="AE267" s="25">
        <v>0.863059415203324</v>
      </c>
      <c r="AF267" s="25">
        <v>0.0857183486538746</v>
      </c>
      <c r="AG267" s="25">
        <v>0.106575618505649</v>
      </c>
      <c r="AH267" s="25">
        <v>0.747948585498979</v>
      </c>
      <c r="AI267" s="25">
        <v>10.0</v>
      </c>
      <c r="AJ267" s="25">
        <v>1.97899558750593</v>
      </c>
      <c r="AK267" s="25">
        <v>6.01994931176897</v>
      </c>
      <c r="AL267" s="25">
        <v>2.45355849976497</v>
      </c>
      <c r="AM267" s="25">
        <v>0.77696097093184</v>
      </c>
      <c r="AN267" s="25">
        <v>1.58620005150396</v>
      </c>
      <c r="AO267" s="25">
        <v>3.68623005683047</v>
      </c>
      <c r="AP267" s="25">
        <v>1.9199557434562</v>
      </c>
      <c r="AQ267" s="25">
        <v>0.863059415203324</v>
      </c>
      <c r="AR267" s="25">
        <v>2.10009954201999</v>
      </c>
      <c r="AS267" s="25">
        <v>6.81785706653208</v>
      </c>
      <c r="AT267" s="25">
        <v>2.61110265338842</v>
      </c>
      <c r="AU267" s="25">
        <v>0.747948585498979</v>
      </c>
      <c r="AV267" s="26">
        <f t="shared" ref="AV267:AW267" si="537">(AC267-AC$289)/AC$290</f>
        <v>0.1508322</v>
      </c>
      <c r="AW267" s="27">
        <f t="shared" si="537"/>
        <v>0.09277181816</v>
      </c>
      <c r="AX267" s="27">
        <f t="shared" si="5"/>
        <v>0.1211714411</v>
      </c>
      <c r="AY267" s="28">
        <f t="shared" si="6"/>
        <v>0.1015026545</v>
      </c>
      <c r="AZ267" s="29">
        <f t="shared" si="7"/>
        <v>0.1614022674</v>
      </c>
      <c r="BA267" s="28">
        <f t="shared" si="8"/>
        <v>0.1286765581</v>
      </c>
      <c r="BB267" s="29">
        <f t="shared" si="9"/>
        <v>0.02128180394</v>
      </c>
      <c r="BC267" s="27">
        <f t="shared" si="10"/>
        <v>0.08332050086</v>
      </c>
      <c r="BD267" s="28">
        <f t="shared" si="11"/>
        <v>0.07227070696</v>
      </c>
      <c r="BE267" s="30">
        <f t="shared" ref="BE267:BF267" si="538">((S267-S$289)/S$290)</f>
        <v>-0.5308298704</v>
      </c>
      <c r="BF267" s="30">
        <f t="shared" si="538"/>
        <v>-0.2861684504</v>
      </c>
    </row>
    <row r="268">
      <c r="A268" s="21" t="s">
        <v>88</v>
      </c>
      <c r="B268" s="22">
        <f t="shared" si="3"/>
        <v>0.09045446078</v>
      </c>
      <c r="C268" s="21" t="s">
        <v>68</v>
      </c>
      <c r="D268" s="21" t="s">
        <v>69</v>
      </c>
      <c r="E268" s="23">
        <v>175.0</v>
      </c>
      <c r="F268" s="24" t="s">
        <v>97</v>
      </c>
      <c r="G268" s="21" t="s">
        <v>82</v>
      </c>
      <c r="H268" s="24" t="s">
        <v>98</v>
      </c>
      <c r="I268" s="24" t="s">
        <v>95</v>
      </c>
      <c r="J268" s="24" t="s">
        <v>74</v>
      </c>
      <c r="K268" s="24" t="s">
        <v>101</v>
      </c>
      <c r="L268" s="21" t="s">
        <v>92</v>
      </c>
      <c r="M268" s="24" t="s">
        <v>77</v>
      </c>
      <c r="N268" s="21" t="s">
        <v>86</v>
      </c>
      <c r="O268" s="21" t="s">
        <v>91</v>
      </c>
      <c r="P268" s="21" t="s">
        <v>80</v>
      </c>
      <c r="Q268" s="24" t="s">
        <v>81</v>
      </c>
      <c r="S268" s="25">
        <v>1244.02687716484</v>
      </c>
      <c r="T268" s="25">
        <v>530.348217248916</v>
      </c>
      <c r="U268" s="25">
        <v>1.64980726047053</v>
      </c>
      <c r="V268" s="25">
        <v>4.53976138847476</v>
      </c>
      <c r="W268" s="25">
        <v>2.13067158156172</v>
      </c>
      <c r="X268" s="25">
        <v>0.831992234092361</v>
      </c>
      <c r="Y268" s="25">
        <v>0.0512781553681484</v>
      </c>
      <c r="Z268" s="25">
        <v>0.0042568391649809</v>
      </c>
      <c r="AA268" s="25">
        <v>0.0652444569674766</v>
      </c>
      <c r="AB268" s="25">
        <v>0.904732397931045</v>
      </c>
      <c r="AC268" s="25">
        <v>0.0512220325629462</v>
      </c>
      <c r="AD268" s="25">
        <v>0.065133567061775</v>
      </c>
      <c r="AE268" s="25">
        <v>0.905510067212087</v>
      </c>
      <c r="AF268" s="25">
        <v>0.0721202124862637</v>
      </c>
      <c r="AG268" s="25">
        <v>0.0925658174412264</v>
      </c>
      <c r="AH268" s="25">
        <v>0.809941044952601</v>
      </c>
      <c r="AI268" s="25">
        <v>10.0</v>
      </c>
      <c r="AJ268" s="25">
        <v>1.64980726047052</v>
      </c>
      <c r="AK268" s="25">
        <v>4.53976138847476</v>
      </c>
      <c r="AL268" s="25">
        <v>2.13067158156172</v>
      </c>
      <c r="AM268" s="25">
        <v>0.831960666083596</v>
      </c>
      <c r="AN268" s="25">
        <v>1.2549397977922</v>
      </c>
      <c r="AO268" s="25">
        <v>2.54648953030398</v>
      </c>
      <c r="AP268" s="25">
        <v>1.59577239301348</v>
      </c>
      <c r="AQ268" s="25">
        <v>0.905510067212087</v>
      </c>
      <c r="AR268" s="25">
        <v>1.76694520591347</v>
      </c>
      <c r="AS268" s="25">
        <v>5.14320044277713</v>
      </c>
      <c r="AT268" s="25">
        <v>2.26786252731005</v>
      </c>
      <c r="AU268" s="25">
        <v>0.809941044952601</v>
      </c>
      <c r="AV268" s="26">
        <f t="shared" ref="AV268:AW268" si="539">(AC268-AC$289)/AC$290</f>
        <v>-0.1266781706</v>
      </c>
      <c r="AW268" s="27">
        <f t="shared" si="539"/>
        <v>-0.1210482577</v>
      </c>
      <c r="AX268" s="27">
        <f t="shared" si="5"/>
        <v>-0.01993143611</v>
      </c>
      <c r="AY268" s="28">
        <f t="shared" si="6"/>
        <v>-0.01273560322</v>
      </c>
      <c r="AZ268" s="29">
        <f t="shared" si="7"/>
        <v>-0.007567451255</v>
      </c>
      <c r="BA268" s="28">
        <f t="shared" si="8"/>
        <v>0.0006457633926</v>
      </c>
      <c r="BB268" s="29">
        <f t="shared" si="9"/>
        <v>-0.02512735886</v>
      </c>
      <c r="BC268" s="27">
        <f t="shared" si="10"/>
        <v>-0.009705592601</v>
      </c>
      <c r="BD268" s="28">
        <f t="shared" si="11"/>
        <v>0.0003358512354</v>
      </c>
      <c r="BE268" s="30">
        <f t="shared" ref="BE268:BF268" si="540">((S268-S$289)/S$290)</f>
        <v>-0.5118457924</v>
      </c>
      <c r="BF268" s="30">
        <f t="shared" si="540"/>
        <v>-0.1613410205</v>
      </c>
    </row>
    <row r="269">
      <c r="A269" s="21" t="s">
        <v>67</v>
      </c>
      <c r="B269" s="22">
        <f t="shared" si="3"/>
        <v>-0.1145643365</v>
      </c>
      <c r="C269" s="21" t="s">
        <v>68</v>
      </c>
      <c r="D269" s="21" t="s">
        <v>69</v>
      </c>
      <c r="E269" s="23">
        <v>287.0</v>
      </c>
      <c r="F269" s="24" t="s">
        <v>97</v>
      </c>
      <c r="G269" s="21" t="s">
        <v>71</v>
      </c>
      <c r="H269" s="24" t="s">
        <v>105</v>
      </c>
      <c r="I269" s="24" t="s">
        <v>73</v>
      </c>
      <c r="J269" s="24" t="s">
        <v>90</v>
      </c>
      <c r="K269" s="24" t="s">
        <v>101</v>
      </c>
      <c r="L269" s="21" t="s">
        <v>92</v>
      </c>
      <c r="M269" s="24" t="s">
        <v>85</v>
      </c>
      <c r="N269" s="21" t="s">
        <v>86</v>
      </c>
      <c r="O269" s="21" t="s">
        <v>91</v>
      </c>
      <c r="P269" s="21" t="s">
        <v>80</v>
      </c>
      <c r="Q269" s="24" t="s">
        <v>93</v>
      </c>
      <c r="R269" s="24" t="s">
        <v>96</v>
      </c>
      <c r="S269" s="25">
        <v>1076.91735887527</v>
      </c>
      <c r="T269" s="25">
        <v>539.574665307998</v>
      </c>
      <c r="U269" s="25">
        <v>2.17593398724611</v>
      </c>
      <c r="V269" s="25">
        <v>7.7701010137222</v>
      </c>
      <c r="W269" s="25">
        <v>2.78749009212987</v>
      </c>
      <c r="X269" s="25">
        <v>0.711950441693602</v>
      </c>
      <c r="Y269" s="25">
        <v>0.0710937864182805</v>
      </c>
      <c r="Z269" s="25">
        <v>0.00789782759026801</v>
      </c>
      <c r="AA269" s="25">
        <v>0.0888697225733715</v>
      </c>
      <c r="AB269" s="25">
        <v>0.822363620767126</v>
      </c>
      <c r="AC269" s="25">
        <v>0.0704858941958679</v>
      </c>
      <c r="AD269" s="25">
        <v>0.088419816071617</v>
      </c>
      <c r="AE269" s="25">
        <v>0.825113018992505</v>
      </c>
      <c r="AF269" s="25">
        <v>0.0958192316664755</v>
      </c>
      <c r="AG269" s="25">
        <v>0.124267989662984</v>
      </c>
      <c r="AH269" s="25">
        <v>0.657414365640471</v>
      </c>
      <c r="AI269" s="25">
        <v>10.0</v>
      </c>
      <c r="AJ269" s="25">
        <v>2.17593398724608</v>
      </c>
      <c r="AK269" s="25">
        <v>7.7701010137222</v>
      </c>
      <c r="AL269" s="25">
        <v>2.78749009212987</v>
      </c>
      <c r="AM269" s="25">
        <v>0.711840896914531</v>
      </c>
      <c r="AN269" s="25">
        <v>1.72690440779871</v>
      </c>
      <c r="AO269" s="25">
        <v>4.69279284045169</v>
      </c>
      <c r="AP269" s="25">
        <v>2.16628549375461</v>
      </c>
      <c r="AQ269" s="25">
        <v>0.825113018992505</v>
      </c>
      <c r="AR269" s="25">
        <v>2.34757117582862</v>
      </c>
      <c r="AS269" s="25">
        <v>9.26938058624157</v>
      </c>
      <c r="AT269" s="25">
        <v>3.04456574674313</v>
      </c>
      <c r="AU269" s="25">
        <v>0.657414365640471</v>
      </c>
      <c r="AV269" s="26">
        <f t="shared" ref="AV269:AW269" si="541">(AC269-AC$289)/AC$290</f>
        <v>0.2687060397</v>
      </c>
      <c r="AW269" s="27">
        <f t="shared" si="541"/>
        <v>0.255242364</v>
      </c>
      <c r="AX269" s="27">
        <f t="shared" si="5"/>
        <v>0.2259846035</v>
      </c>
      <c r="AY269" s="28">
        <f t="shared" si="6"/>
        <v>0.2457692039</v>
      </c>
      <c r="AZ269" s="29">
        <f t="shared" si="7"/>
        <v>0.2624891629</v>
      </c>
      <c r="BA269" s="28">
        <f t="shared" si="8"/>
        <v>0.2610867759</v>
      </c>
      <c r="BB269" s="29">
        <f t="shared" si="9"/>
        <v>0.06276669041</v>
      </c>
      <c r="BC269" s="27">
        <f t="shared" si="10"/>
        <v>0.2191764561</v>
      </c>
      <c r="BD269" s="28">
        <f t="shared" si="11"/>
        <v>0.157442145</v>
      </c>
      <c r="BE269" s="30">
        <f t="shared" ref="BE269:BF269" si="542">((S269-S$289)/S$290)</f>
        <v>-0.5555651249</v>
      </c>
      <c r="BF269" s="30">
        <f t="shared" si="542"/>
        <v>-0.1428906147</v>
      </c>
    </row>
    <row r="270">
      <c r="A270" s="21" t="s">
        <v>67</v>
      </c>
      <c r="B270" s="22">
        <f t="shared" si="3"/>
        <v>-0.01320381698</v>
      </c>
      <c r="C270" s="21" t="s">
        <v>68</v>
      </c>
      <c r="D270" s="21" t="s">
        <v>69</v>
      </c>
      <c r="E270" s="23">
        <v>190.0</v>
      </c>
      <c r="F270" s="24" t="s">
        <v>97</v>
      </c>
      <c r="G270" s="21" t="s">
        <v>82</v>
      </c>
      <c r="H270" s="24" t="s">
        <v>98</v>
      </c>
      <c r="I270" s="24" t="s">
        <v>73</v>
      </c>
      <c r="J270" s="24" t="s">
        <v>99</v>
      </c>
      <c r="K270" s="24" t="s">
        <v>101</v>
      </c>
      <c r="L270" s="21" t="s">
        <v>92</v>
      </c>
      <c r="M270" s="24" t="s">
        <v>85</v>
      </c>
      <c r="N270" s="21" t="s">
        <v>78</v>
      </c>
      <c r="O270" s="21" t="s">
        <v>91</v>
      </c>
      <c r="P270" s="21" t="s">
        <v>80</v>
      </c>
      <c r="Q270" s="24" t="s">
        <v>94</v>
      </c>
      <c r="R270" s="24" t="s">
        <v>81</v>
      </c>
      <c r="S270" s="25">
        <v>1179.16896796226</v>
      </c>
      <c r="T270" s="25">
        <v>440.522126197814</v>
      </c>
      <c r="U270" s="25">
        <v>1.95868138333624</v>
      </c>
      <c r="V270" s="25">
        <v>6.17090111074079</v>
      </c>
      <c r="W270" s="25">
        <v>2.48412984981477</v>
      </c>
      <c r="X270" s="25">
        <v>0.771415980462621</v>
      </c>
      <c r="Y270" s="25">
        <v>0.0633752648396777</v>
      </c>
      <c r="Z270" s="25">
        <v>0.00619214075365858</v>
      </c>
      <c r="AA270" s="25">
        <v>0.0786901566503625</v>
      </c>
      <c r="AB270" s="25">
        <v>0.861270766877322</v>
      </c>
      <c r="AC270" s="25">
        <v>0.0631536968913781</v>
      </c>
      <c r="AD270" s="25">
        <v>0.0784840632822746</v>
      </c>
      <c r="AE270" s="25">
        <v>0.862644874677017</v>
      </c>
      <c r="AF270" s="25">
        <v>0.0881059224163242</v>
      </c>
      <c r="AG270" s="25">
        <v>0.111650428353194</v>
      </c>
      <c r="AH270" s="25">
        <v>0.723373231917079</v>
      </c>
      <c r="AI270" s="25">
        <v>10.0</v>
      </c>
      <c r="AJ270" s="25">
        <v>1.95868138333621</v>
      </c>
      <c r="AK270" s="25">
        <v>6.17090111074079</v>
      </c>
      <c r="AL270" s="25">
        <v>2.48412984981477</v>
      </c>
      <c r="AM270" s="25">
        <v>0.771368209110251</v>
      </c>
      <c r="AN270" s="25">
        <v>1.54726557383874</v>
      </c>
      <c r="AO270" s="25">
        <v>3.69738885062499</v>
      </c>
      <c r="AP270" s="25">
        <v>1.92285955041573</v>
      </c>
      <c r="AQ270" s="25">
        <v>0.862644874677017</v>
      </c>
      <c r="AR270" s="25">
        <v>2.15859509919988</v>
      </c>
      <c r="AS270" s="25">
        <v>7.48260734540901</v>
      </c>
      <c r="AT270" s="25">
        <v>2.73543549465327</v>
      </c>
      <c r="AU270" s="25">
        <v>0.723373231917079</v>
      </c>
      <c r="AV270" s="26">
        <f t="shared" ref="AV270:AW270" si="543">(AC270-AC$289)/AC$290</f>
        <v>0.118215183</v>
      </c>
      <c r="AW270" s="27">
        <f t="shared" si="543"/>
        <v>0.09468706835</v>
      </c>
      <c r="AX270" s="27">
        <f t="shared" si="5"/>
        <v>0.1459464193</v>
      </c>
      <c r="AY270" s="28">
        <f t="shared" si="6"/>
        <v>0.1428835016</v>
      </c>
      <c r="AZ270" s="29">
        <f t="shared" si="7"/>
        <v>0.1509751499</v>
      </c>
      <c r="BA270" s="28">
        <f t="shared" si="8"/>
        <v>0.140798679</v>
      </c>
      <c r="BB270" s="29">
        <f t="shared" si="9"/>
        <v>0.02173500025</v>
      </c>
      <c r="BC270" s="27">
        <f t="shared" si="10"/>
        <v>0.1201983592</v>
      </c>
      <c r="BD270" s="28">
        <f t="shared" si="11"/>
        <v>0.07958555686</v>
      </c>
      <c r="BE270" s="30">
        <f t="shared" ref="BE270:BF270" si="544">((S270-S$289)/S$290)</f>
        <v>-0.528813973</v>
      </c>
      <c r="BF270" s="30">
        <f t="shared" si="544"/>
        <v>-0.3409689576</v>
      </c>
    </row>
    <row r="271">
      <c r="A271" s="21" t="s">
        <v>88</v>
      </c>
      <c r="B271" s="22">
        <f t="shared" si="3"/>
        <v>-0.1262338096</v>
      </c>
      <c r="C271" s="21" t="s">
        <v>68</v>
      </c>
      <c r="D271" s="21" t="s">
        <v>69</v>
      </c>
      <c r="E271" s="23">
        <v>234.0</v>
      </c>
      <c r="F271" s="24" t="s">
        <v>97</v>
      </c>
      <c r="G271" s="21" t="s">
        <v>71</v>
      </c>
      <c r="H271" s="24" t="s">
        <v>105</v>
      </c>
      <c r="I271" s="24" t="s">
        <v>95</v>
      </c>
      <c r="J271" s="24" t="s">
        <v>99</v>
      </c>
      <c r="K271" s="24" t="s">
        <v>101</v>
      </c>
      <c r="L271" s="21" t="s">
        <v>84</v>
      </c>
      <c r="M271" s="24" t="s">
        <v>77</v>
      </c>
      <c r="N271" s="21" t="s">
        <v>104</v>
      </c>
      <c r="O271" s="21" t="s">
        <v>91</v>
      </c>
      <c r="P271" s="21" t="s">
        <v>80</v>
      </c>
      <c r="Q271" s="24" t="s">
        <v>87</v>
      </c>
      <c r="S271" s="25">
        <v>1127.41214942932</v>
      </c>
      <c r="T271" s="25">
        <v>441.75920844078</v>
      </c>
      <c r="U271" s="25">
        <v>2.2188415618913</v>
      </c>
      <c r="V271" s="25">
        <v>7.83644471138628</v>
      </c>
      <c r="W271" s="25">
        <v>2.79936505504128</v>
      </c>
      <c r="X271" s="25">
        <v>0.709722771502817</v>
      </c>
      <c r="Y271" s="25">
        <v>0.0762995420053741</v>
      </c>
      <c r="Z271" s="25">
        <v>0.00901536086016061</v>
      </c>
      <c r="AA271" s="25">
        <v>0.0949492541316708</v>
      </c>
      <c r="AB271" s="25">
        <v>0.797427118423557</v>
      </c>
      <c r="AC271" s="25">
        <v>0.076145485320384</v>
      </c>
      <c r="AD271" s="25">
        <v>0.0946768138424384</v>
      </c>
      <c r="AE271" s="25">
        <v>0.79970781410966</v>
      </c>
      <c r="AF271" s="25">
        <v>0.0986182374663769</v>
      </c>
      <c r="AG271" s="25">
        <v>0.124752566690305</v>
      </c>
      <c r="AH271" s="25">
        <v>0.655351001167019</v>
      </c>
      <c r="AI271" s="25">
        <v>10.0</v>
      </c>
      <c r="AJ271" s="25">
        <v>2.21884156189122</v>
      </c>
      <c r="AK271" s="25">
        <v>7.83644471138628</v>
      </c>
      <c r="AL271" s="25">
        <v>2.79936505504128</v>
      </c>
      <c r="AM271" s="25">
        <v>0.709631906874756</v>
      </c>
      <c r="AN271" s="25">
        <v>1.86556439034943</v>
      </c>
      <c r="AO271" s="25">
        <v>5.38046037238326</v>
      </c>
      <c r="AP271" s="25">
        <v>2.31958193913973</v>
      </c>
      <c r="AQ271" s="25">
        <v>0.79970781410966</v>
      </c>
      <c r="AR271" s="25">
        <v>2.41614681792616</v>
      </c>
      <c r="AS271" s="25">
        <v>9.34181253821536</v>
      </c>
      <c r="AT271" s="25">
        <v>3.05643788391247</v>
      </c>
      <c r="AU271" s="25">
        <v>0.655351001167019</v>
      </c>
      <c r="AV271" s="26">
        <f t="shared" ref="AV271:AW271" si="545">(AC271-AC$289)/AC$290</f>
        <v>0.3848672233</v>
      </c>
      <c r="AW271" s="27">
        <f t="shared" si="545"/>
        <v>0.3563513739</v>
      </c>
      <c r="AX271" s="27">
        <f t="shared" si="5"/>
        <v>0.2550288613</v>
      </c>
      <c r="AY271" s="28">
        <f t="shared" si="6"/>
        <v>0.2497205259</v>
      </c>
      <c r="AZ271" s="29">
        <f t="shared" si="7"/>
        <v>0.2845132756</v>
      </c>
      <c r="BA271" s="28">
        <f t="shared" si="8"/>
        <v>0.2657954242</v>
      </c>
      <c r="BB271" s="29">
        <f t="shared" si="9"/>
        <v>0.09054092317</v>
      </c>
      <c r="BC271" s="27">
        <f t="shared" si="10"/>
        <v>0.2222727478</v>
      </c>
      <c r="BD271" s="28">
        <f t="shared" si="11"/>
        <v>0.1603313134</v>
      </c>
      <c r="BE271" s="30">
        <f t="shared" ref="BE271:BF271" si="546">((S271-S$289)/S$290)</f>
        <v>-0.5423546354</v>
      </c>
      <c r="BF271" s="30">
        <f t="shared" si="546"/>
        <v>-0.338495127</v>
      </c>
    </row>
    <row r="272">
      <c r="A272" s="21" t="s">
        <v>88</v>
      </c>
      <c r="B272" s="22">
        <f t="shared" si="3"/>
        <v>-0.1524892289</v>
      </c>
      <c r="C272" s="21" t="s">
        <v>68</v>
      </c>
      <c r="D272" s="21" t="s">
        <v>69</v>
      </c>
      <c r="E272" s="23">
        <v>145.0</v>
      </c>
      <c r="F272" s="24" t="s">
        <v>97</v>
      </c>
      <c r="G272" s="21" t="s">
        <v>82</v>
      </c>
      <c r="H272" s="24" t="s">
        <v>98</v>
      </c>
      <c r="I272" s="24" t="s">
        <v>73</v>
      </c>
      <c r="J272" s="24" t="s">
        <v>74</v>
      </c>
      <c r="K272" s="24" t="s">
        <v>101</v>
      </c>
      <c r="L272" s="21" t="s">
        <v>92</v>
      </c>
      <c r="M272" s="24" t="s">
        <v>85</v>
      </c>
      <c r="N272" s="21" t="s">
        <v>104</v>
      </c>
      <c r="O272" s="21" t="s">
        <v>91</v>
      </c>
      <c r="P272" s="21" t="s">
        <v>80</v>
      </c>
      <c r="Q272" s="24" t="s">
        <v>96</v>
      </c>
      <c r="R272" s="24" t="s">
        <v>81</v>
      </c>
      <c r="S272" s="25">
        <v>1148.3765130043</v>
      </c>
      <c r="T272" s="25">
        <v>561.437638998031</v>
      </c>
      <c r="U272" s="25">
        <v>2.1703074863976</v>
      </c>
      <c r="V272" s="25">
        <v>7.48010656637358</v>
      </c>
      <c r="W272" s="25">
        <v>2.73497834842866</v>
      </c>
      <c r="X272" s="25">
        <v>0.722896118221992</v>
      </c>
      <c r="Y272" s="25">
        <v>0.0798399661793368</v>
      </c>
      <c r="Z272" s="25">
        <v>0.00992423829998086</v>
      </c>
      <c r="AA272" s="25">
        <v>0.0996204712896946</v>
      </c>
      <c r="AB272" s="25">
        <v>0.777656545053568</v>
      </c>
      <c r="AC272" s="25">
        <v>0.0799115941697875</v>
      </c>
      <c r="AD272" s="25">
        <v>0.0995771181663628</v>
      </c>
      <c r="AE272" s="25">
        <v>0.778893750684283</v>
      </c>
      <c r="AF272" s="25">
        <v>0.0969458242317723</v>
      </c>
      <c r="AG272" s="25">
        <v>0.121622359200224</v>
      </c>
      <c r="AH272" s="25">
        <v>0.671753380185157</v>
      </c>
      <c r="AI272" s="25">
        <v>10.0</v>
      </c>
      <c r="AJ272" s="25">
        <v>2.17030748639751</v>
      </c>
      <c r="AK272" s="25">
        <v>7.48010656637359</v>
      </c>
      <c r="AL272" s="25">
        <v>2.73497834842866</v>
      </c>
      <c r="AM272" s="25">
        <v>0.722862167189896</v>
      </c>
      <c r="AN272" s="25">
        <v>1.95783405715983</v>
      </c>
      <c r="AO272" s="25">
        <v>5.95184037800628</v>
      </c>
      <c r="AP272" s="25">
        <v>2.43963939507589</v>
      </c>
      <c r="AQ272" s="25">
        <v>0.778893750684283</v>
      </c>
      <c r="AR272" s="25">
        <v>2.37517269367836</v>
      </c>
      <c r="AS272" s="25">
        <v>8.8788969540214</v>
      </c>
      <c r="AT272" s="25">
        <v>2.97974780040549</v>
      </c>
      <c r="AU272" s="25">
        <v>0.671753380185157</v>
      </c>
      <c r="AV272" s="26">
        <f t="shared" ref="AV272:AW272" si="547">(AC272-AC$289)/AC$290</f>
        <v>0.4621653269</v>
      </c>
      <c r="AW272" s="27">
        <f t="shared" si="547"/>
        <v>0.4355371011</v>
      </c>
      <c r="AX272" s="27">
        <f t="shared" si="5"/>
        <v>0.2376748419</v>
      </c>
      <c r="AY272" s="28">
        <f t="shared" si="6"/>
        <v>0.2241962913</v>
      </c>
      <c r="AZ272" s="29">
        <f t="shared" si="7"/>
        <v>0.2596011253</v>
      </c>
      <c r="BA272" s="28">
        <f t="shared" si="8"/>
        <v>0.2402648723</v>
      </c>
      <c r="BB272" s="29">
        <f t="shared" si="9"/>
        <v>0.1132958919</v>
      </c>
      <c r="BC272" s="27">
        <f t="shared" si="10"/>
        <v>0.1976592826</v>
      </c>
      <c r="BD272" s="28">
        <f t="shared" si="11"/>
        <v>0.1430272744</v>
      </c>
      <c r="BE272" s="30">
        <f t="shared" ref="BE272:BF272" si="548">((S272-S$289)/S$290)</f>
        <v>-0.536869921</v>
      </c>
      <c r="BF272" s="30">
        <f t="shared" si="548"/>
        <v>-0.09917056836</v>
      </c>
    </row>
    <row r="273">
      <c r="A273" s="21" t="s">
        <v>88</v>
      </c>
      <c r="B273" s="22">
        <f t="shared" si="3"/>
        <v>0.1475690745</v>
      </c>
      <c r="C273" s="21" t="s">
        <v>68</v>
      </c>
      <c r="D273" s="21" t="s">
        <v>69</v>
      </c>
      <c r="E273" s="23">
        <v>162.0</v>
      </c>
      <c r="F273" s="24" t="s">
        <v>97</v>
      </c>
      <c r="G273" s="21" t="s">
        <v>82</v>
      </c>
      <c r="H273" s="24" t="s">
        <v>98</v>
      </c>
      <c r="I273" s="24" t="s">
        <v>95</v>
      </c>
      <c r="J273" s="24" t="s">
        <v>74</v>
      </c>
      <c r="K273" s="24" t="s">
        <v>75</v>
      </c>
      <c r="L273" s="21" t="s">
        <v>92</v>
      </c>
      <c r="M273" s="24" t="s">
        <v>85</v>
      </c>
      <c r="N273" s="21" t="s">
        <v>86</v>
      </c>
      <c r="O273" s="21" t="s">
        <v>91</v>
      </c>
      <c r="P273" s="21" t="s">
        <v>80</v>
      </c>
      <c r="Q273" s="24" t="s">
        <v>94</v>
      </c>
      <c r="R273" s="24" t="s">
        <v>94</v>
      </c>
      <c r="S273" s="25">
        <v>1396.12006783485</v>
      </c>
      <c r="T273" s="25">
        <v>526.638654470443</v>
      </c>
      <c r="U273" s="25">
        <v>1.45096851834709</v>
      </c>
      <c r="V273" s="25">
        <v>3.6092309362738</v>
      </c>
      <c r="W273" s="25">
        <v>1.89979760402886</v>
      </c>
      <c r="X273" s="25">
        <v>0.86643268217468</v>
      </c>
      <c r="Y273" s="25">
        <v>0.0446652573217344</v>
      </c>
      <c r="Z273" s="25">
        <v>0.00322220000623689</v>
      </c>
      <c r="AA273" s="25">
        <v>0.0567644255342806</v>
      </c>
      <c r="AB273" s="25">
        <v>0.927887510877537</v>
      </c>
      <c r="AC273" s="25">
        <v>0.0446353257604523</v>
      </c>
      <c r="AD273" s="25">
        <v>0.0566862555975104</v>
      </c>
      <c r="AE273" s="25">
        <v>0.928429944299848</v>
      </c>
      <c r="AF273" s="25">
        <v>0.0674511319997789</v>
      </c>
      <c r="AG273" s="25">
        <v>0.0871343748611604</v>
      </c>
      <c r="AH273" s="25">
        <v>0.831590690493236</v>
      </c>
      <c r="AI273" s="25">
        <v>10.0</v>
      </c>
      <c r="AJ273" s="25">
        <v>1.45096851834711</v>
      </c>
      <c r="AK273" s="25">
        <v>3.6092309362738</v>
      </c>
      <c r="AL273" s="25">
        <v>1.89979760402886</v>
      </c>
      <c r="AM273" s="25">
        <v>0.86640426432507</v>
      </c>
      <c r="AN273" s="25">
        <v>1.09356548113108</v>
      </c>
      <c r="AO273" s="25">
        <v>1.92880227709318</v>
      </c>
      <c r="AP273" s="25">
        <v>1.388813262139</v>
      </c>
      <c r="AQ273" s="25">
        <v>0.928429944299848</v>
      </c>
      <c r="AR273" s="25">
        <v>1.6525527339946</v>
      </c>
      <c r="AS273" s="25">
        <v>4.55733766928774</v>
      </c>
      <c r="AT273" s="25">
        <v>2.13479218409843</v>
      </c>
      <c r="AU273" s="25">
        <v>0.831590690493236</v>
      </c>
      <c r="AV273" s="26">
        <f t="shared" ref="AV273:AW273" si="549">(AC273-AC$289)/AC$290</f>
        <v>-0.2618680882</v>
      </c>
      <c r="AW273" s="27">
        <f t="shared" si="549"/>
        <v>-0.2575513107</v>
      </c>
      <c r="AX273" s="27">
        <f t="shared" si="5"/>
        <v>-0.06838077375</v>
      </c>
      <c r="AY273" s="28">
        <f t="shared" si="6"/>
        <v>-0.05702449317</v>
      </c>
      <c r="AZ273" s="29">
        <f t="shared" si="7"/>
        <v>-0.1096297772</v>
      </c>
      <c r="BA273" s="28">
        <f t="shared" si="8"/>
        <v>-0.09090015301</v>
      </c>
      <c r="BB273" s="29">
        <f t="shared" si="9"/>
        <v>-0.05018450774</v>
      </c>
      <c r="BC273" s="27">
        <f t="shared" si="10"/>
        <v>-0.04219312362</v>
      </c>
      <c r="BD273" s="28">
        <f t="shared" si="11"/>
        <v>-0.04471340337</v>
      </c>
      <c r="BE273" s="30">
        <f t="shared" ref="BE273:BF273" si="550">((S273-S$289)/S$290)</f>
        <v>-0.4720550441</v>
      </c>
      <c r="BF273" s="30">
        <f t="shared" si="550"/>
        <v>-0.1687591448</v>
      </c>
    </row>
    <row r="274">
      <c r="A274" s="21" t="s">
        <v>67</v>
      </c>
      <c r="B274" s="22">
        <f t="shared" si="3"/>
        <v>-0.1912016052</v>
      </c>
      <c r="C274" s="21" t="s">
        <v>68</v>
      </c>
      <c r="D274" s="21" t="s">
        <v>69</v>
      </c>
      <c r="E274" s="23">
        <v>270.0</v>
      </c>
      <c r="F274" s="24" t="s">
        <v>97</v>
      </c>
      <c r="G274" s="21" t="s">
        <v>71</v>
      </c>
      <c r="H274" s="24" t="s">
        <v>105</v>
      </c>
      <c r="I274" s="24" t="s">
        <v>95</v>
      </c>
      <c r="J274" s="24" t="s">
        <v>90</v>
      </c>
      <c r="K274" s="24" t="s">
        <v>101</v>
      </c>
      <c r="L274" s="21" t="s">
        <v>84</v>
      </c>
      <c r="M274" s="24" t="s">
        <v>85</v>
      </c>
      <c r="N274" s="21" t="s">
        <v>86</v>
      </c>
      <c r="O274" s="21" t="s">
        <v>79</v>
      </c>
      <c r="P274" s="21" t="s">
        <v>80</v>
      </c>
      <c r="Q274" s="24" t="s">
        <v>81</v>
      </c>
      <c r="R274" s="24" t="s">
        <v>81</v>
      </c>
      <c r="S274" s="25">
        <v>1158.45129275321</v>
      </c>
      <c r="T274" s="25">
        <v>542.216195583343</v>
      </c>
      <c r="U274" s="25">
        <v>2.33204645298034</v>
      </c>
      <c r="V274" s="25">
        <v>8.43793145995025</v>
      </c>
      <c r="W274" s="25">
        <v>2.90481177702622</v>
      </c>
      <c r="X274" s="25">
        <v>0.687399106011651</v>
      </c>
      <c r="Y274" s="25">
        <v>0.0850942418863697</v>
      </c>
      <c r="Z274" s="25">
        <v>0.0108662995527131</v>
      </c>
      <c r="AA274" s="25">
        <v>0.104241544274407</v>
      </c>
      <c r="AB274" s="25">
        <v>0.755836993481512</v>
      </c>
      <c r="AC274" s="25">
        <v>0.084733092917523</v>
      </c>
      <c r="AD274" s="25">
        <v>0.103841848336449</v>
      </c>
      <c r="AE274" s="25">
        <v>0.759052981101978</v>
      </c>
      <c r="AF274" s="25">
        <v>0.0990817691204497</v>
      </c>
      <c r="AG274" s="25">
        <v>0.124932207972116</v>
      </c>
      <c r="AH274" s="25">
        <v>0.654357710744777</v>
      </c>
      <c r="AI274" s="25">
        <v>10.0</v>
      </c>
      <c r="AJ274" s="25">
        <v>2.33204645298023</v>
      </c>
      <c r="AK274" s="25">
        <v>8.43793145995024</v>
      </c>
      <c r="AL274" s="25">
        <v>2.90481177702622</v>
      </c>
      <c r="AM274" s="25">
        <v>0.687344687778212</v>
      </c>
      <c r="AN274" s="25">
        <v>2.07596077647937</v>
      </c>
      <c r="AO274" s="25">
        <v>6.47257346192463</v>
      </c>
      <c r="AP274" s="25">
        <v>2.54412528424302</v>
      </c>
      <c r="AQ274" s="25">
        <v>0.759052981101978</v>
      </c>
      <c r="AR274" s="25">
        <v>2.42750334345095</v>
      </c>
      <c r="AS274" s="25">
        <v>9.36873596742016</v>
      </c>
      <c r="AT274" s="25">
        <v>3.06083909531686</v>
      </c>
      <c r="AU274" s="25">
        <v>0.654357710744777</v>
      </c>
      <c r="AV274" s="26">
        <f t="shared" ref="AV274:AW274" si="551">(AC274-AC$289)/AC$290</f>
        <v>0.5611249494</v>
      </c>
      <c r="AW274" s="27">
        <f t="shared" si="551"/>
        <v>0.5044523637</v>
      </c>
      <c r="AX274" s="27">
        <f t="shared" si="5"/>
        <v>0.2598387594</v>
      </c>
      <c r="AY274" s="28">
        <f t="shared" si="6"/>
        <v>0.2511853509</v>
      </c>
      <c r="AZ274" s="29">
        <f t="shared" si="7"/>
        <v>0.342620435</v>
      </c>
      <c r="BA274" s="28">
        <f t="shared" si="8"/>
        <v>0.3076070519</v>
      </c>
      <c r="BB274" s="29">
        <f t="shared" si="9"/>
        <v>0.1349868074</v>
      </c>
      <c r="BC274" s="27">
        <f t="shared" si="10"/>
        <v>0.2237632827</v>
      </c>
      <c r="BD274" s="28">
        <f t="shared" si="11"/>
        <v>0.189481073</v>
      </c>
      <c r="BE274" s="30">
        <f t="shared" ref="BE274:BF274" si="552">((S274-S$289)/S$290)</f>
        <v>-0.5342341486</v>
      </c>
      <c r="BF274" s="30">
        <f t="shared" si="552"/>
        <v>-0.1376082671</v>
      </c>
    </row>
    <row r="275">
      <c r="A275" s="21" t="s">
        <v>88</v>
      </c>
      <c r="B275" s="22">
        <f t="shared" si="3"/>
        <v>0.07987058583</v>
      </c>
      <c r="C275" s="21" t="s">
        <v>68</v>
      </c>
      <c r="D275" s="21" t="s">
        <v>69</v>
      </c>
      <c r="E275" s="23">
        <v>171.0</v>
      </c>
      <c r="F275" s="24" t="s">
        <v>97</v>
      </c>
      <c r="G275" s="21" t="s">
        <v>82</v>
      </c>
      <c r="H275" s="24" t="s">
        <v>98</v>
      </c>
      <c r="I275" s="24" t="s">
        <v>73</v>
      </c>
      <c r="J275" s="24" t="s">
        <v>99</v>
      </c>
      <c r="K275" s="24" t="s">
        <v>101</v>
      </c>
      <c r="L275" s="21" t="s">
        <v>92</v>
      </c>
      <c r="M275" s="24" t="s">
        <v>77</v>
      </c>
      <c r="N275" s="21" t="s">
        <v>86</v>
      </c>
      <c r="O275" s="21" t="s">
        <v>91</v>
      </c>
      <c r="P275" s="21" t="s">
        <v>80</v>
      </c>
      <c r="Q275" s="24" t="s">
        <v>94</v>
      </c>
      <c r="S275" s="25">
        <v>1383.98128104209</v>
      </c>
      <c r="T275" s="25">
        <v>534.937877655029</v>
      </c>
      <c r="U275" s="25">
        <v>1.7136273078581</v>
      </c>
      <c r="V275" s="25">
        <v>4.89332076340715</v>
      </c>
      <c r="W275" s="25">
        <v>2.21208516187943</v>
      </c>
      <c r="X275" s="25">
        <v>0.81875416034609</v>
      </c>
      <c r="Y275" s="25">
        <v>0.0468824190062945</v>
      </c>
      <c r="Z275" s="25">
        <v>0.00355479763791474</v>
      </c>
      <c r="AA275" s="25">
        <v>0.0596221237286524</v>
      </c>
      <c r="AB275" s="25">
        <v>0.920358019975104</v>
      </c>
      <c r="AC275" s="25">
        <v>0.0467575491444432</v>
      </c>
      <c r="AD275" s="25">
        <v>0.059480978950153</v>
      </c>
      <c r="AE275" s="25">
        <v>0.921107062629491</v>
      </c>
      <c r="AF275" s="25">
        <v>0.0788605804597558</v>
      </c>
      <c r="AG275" s="25">
        <v>0.10066857742108</v>
      </c>
      <c r="AH275" s="25">
        <v>0.775114590955374</v>
      </c>
      <c r="AI275" s="25">
        <v>10.0</v>
      </c>
      <c r="AJ275" s="25">
        <v>1.71362730785808</v>
      </c>
      <c r="AK275" s="25">
        <v>4.89332076340715</v>
      </c>
      <c r="AL275" s="25">
        <v>2.21208516187943</v>
      </c>
      <c r="AM275" s="25">
        <v>0.818702541256334</v>
      </c>
      <c r="AN275" s="25">
        <v>1.14555995403886</v>
      </c>
      <c r="AO275" s="25">
        <v>2.12367661083534</v>
      </c>
      <c r="AP275" s="25">
        <v>1.45728398427874</v>
      </c>
      <c r="AQ275" s="25">
        <v>0.921107062629491</v>
      </c>
      <c r="AR275" s="25">
        <v>1.93208422126404</v>
      </c>
      <c r="AS275" s="25">
        <v>6.08303102861044</v>
      </c>
      <c r="AT275" s="25">
        <v>2.46638014681647</v>
      </c>
      <c r="AU275" s="25">
        <v>0.775114590955374</v>
      </c>
      <c r="AV275" s="26">
        <f t="shared" ref="AV275:AW275" si="553">(AC275-AC$289)/AC$290</f>
        <v>-0.2183101748</v>
      </c>
      <c r="AW275" s="27">
        <f t="shared" si="553"/>
        <v>-0.2123904011</v>
      </c>
      <c r="AX275" s="27">
        <f t="shared" si="5"/>
        <v>0.05001089295</v>
      </c>
      <c r="AY275" s="28">
        <f t="shared" si="6"/>
        <v>0.05333565496</v>
      </c>
      <c r="AZ275" s="29">
        <f t="shared" si="7"/>
        <v>0.02519086539</v>
      </c>
      <c r="BA275" s="28">
        <f t="shared" si="8"/>
        <v>0.03292779404</v>
      </c>
      <c r="BB275" s="29">
        <f t="shared" si="9"/>
        <v>-0.04217876951</v>
      </c>
      <c r="BC275" s="27">
        <f t="shared" si="10"/>
        <v>0.04255510157</v>
      </c>
      <c r="BD275" s="28">
        <f t="shared" si="11"/>
        <v>0.01767633456</v>
      </c>
      <c r="BE275" s="30">
        <f t="shared" ref="BE275:BF275" si="554">((S275-S$289)/S$290)</f>
        <v>-0.4752308037</v>
      </c>
      <c r="BF275" s="30">
        <f t="shared" si="554"/>
        <v>-0.1521629385</v>
      </c>
    </row>
    <row r="276">
      <c r="A276" s="21" t="s">
        <v>67</v>
      </c>
      <c r="B276" s="22">
        <f t="shared" si="3"/>
        <v>-0.6191775165</v>
      </c>
      <c r="C276" s="21" t="s">
        <v>68</v>
      </c>
      <c r="D276" s="21" t="s">
        <v>69</v>
      </c>
      <c r="E276" s="23">
        <v>265.0</v>
      </c>
      <c r="F276" s="24" t="s">
        <v>97</v>
      </c>
      <c r="G276" s="21" t="s">
        <v>71</v>
      </c>
      <c r="H276" s="24" t="s">
        <v>105</v>
      </c>
      <c r="I276" s="24" t="s">
        <v>95</v>
      </c>
      <c r="J276" s="24" t="s">
        <v>90</v>
      </c>
      <c r="K276" s="24" t="s">
        <v>75</v>
      </c>
      <c r="L276" s="21" t="s">
        <v>92</v>
      </c>
      <c r="M276" s="24" t="s">
        <v>85</v>
      </c>
      <c r="N276" s="21" t="s">
        <v>78</v>
      </c>
      <c r="O276" s="21" t="s">
        <v>102</v>
      </c>
      <c r="P276" s="21" t="s">
        <v>80</v>
      </c>
      <c r="Q276" s="24" t="s">
        <v>96</v>
      </c>
      <c r="R276" s="24" t="s">
        <v>93</v>
      </c>
      <c r="S276" s="25">
        <v>852.156189680099</v>
      </c>
      <c r="T276" s="25">
        <v>583.934959173202</v>
      </c>
      <c r="U276" s="25">
        <v>3.3962815028408</v>
      </c>
      <c r="V276" s="25">
        <v>15.9759968664425</v>
      </c>
      <c r="W276" s="25">
        <v>3.99699848216665</v>
      </c>
      <c r="X276" s="25">
        <v>0.408104620879765</v>
      </c>
      <c r="Y276" s="25">
        <v>0.132177078569216</v>
      </c>
      <c r="Z276" s="25">
        <v>0.0243087098560298</v>
      </c>
      <c r="AA276" s="25">
        <v>0.155912507054533</v>
      </c>
      <c r="AB276" s="25">
        <v>0.453789429028589</v>
      </c>
      <c r="AC276" s="25">
        <v>0.131058496308901</v>
      </c>
      <c r="AD276" s="25">
        <v>0.155120549376652</v>
      </c>
      <c r="AE276" s="25">
        <v>0.462330493867139</v>
      </c>
      <c r="AF276" s="25">
        <v>0.143875669510099</v>
      </c>
      <c r="AG276" s="25">
        <v>0.169070587927308</v>
      </c>
      <c r="AH276" s="25">
        <v>0.36698475740185</v>
      </c>
      <c r="AI276" s="25">
        <v>10.0</v>
      </c>
      <c r="AJ276" s="25">
        <v>3.39628150284063</v>
      </c>
      <c r="AK276" s="25">
        <v>15.9759968664425</v>
      </c>
      <c r="AL276" s="25">
        <v>3.99699848216665</v>
      </c>
      <c r="AM276" s="25">
        <v>0.408032607038816</v>
      </c>
      <c r="AN276" s="25">
        <v>3.21093315956786</v>
      </c>
      <c r="AO276" s="25">
        <v>14.4434464995584</v>
      </c>
      <c r="AP276" s="25">
        <v>3.80045345972799</v>
      </c>
      <c r="AQ276" s="25">
        <v>0.462330493867138</v>
      </c>
      <c r="AR276" s="25">
        <v>3.52495390299714</v>
      </c>
      <c r="AS276" s="25">
        <v>17.158064437177</v>
      </c>
      <c r="AT276" s="25">
        <v>4.14222940421906</v>
      </c>
      <c r="AU276" s="25">
        <v>0.36698475740185</v>
      </c>
      <c r="AV276" s="26">
        <f t="shared" ref="AV276:AW276" si="555">(AC276-AC$289)/AC$290</f>
        <v>1.511938103</v>
      </c>
      <c r="AW276" s="27">
        <f t="shared" si="555"/>
        <v>1.333082784</v>
      </c>
      <c r="AX276" s="27">
        <f t="shared" si="5"/>
        <v>0.7246486531</v>
      </c>
      <c r="AY276" s="28">
        <f t="shared" si="6"/>
        <v>0.611097073</v>
      </c>
      <c r="AZ276" s="29">
        <f t="shared" si="7"/>
        <v>0.8888837201</v>
      </c>
      <c r="BA276" s="28">
        <f t="shared" si="8"/>
        <v>0.7406798212</v>
      </c>
      <c r="BB276" s="29">
        <f t="shared" si="9"/>
        <v>0.4593785791</v>
      </c>
      <c r="BC276" s="27">
        <f t="shared" si="10"/>
        <v>0.6549961045</v>
      </c>
      <c r="BD276" s="28">
        <f t="shared" si="11"/>
        <v>0.5547971747</v>
      </c>
      <c r="BE276" s="30">
        <f t="shared" ref="BE276:BF276" si="556">((S276-S$289)/S$290)</f>
        <v>-0.6143673307</v>
      </c>
      <c r="BF276" s="30">
        <f t="shared" si="556"/>
        <v>-0.05418200028</v>
      </c>
    </row>
    <row r="277">
      <c r="A277" s="21" t="s">
        <v>67</v>
      </c>
      <c r="B277" s="22">
        <f t="shared" si="3"/>
        <v>-0.05494670357</v>
      </c>
      <c r="C277" s="21" t="s">
        <v>68</v>
      </c>
      <c r="D277" s="21" t="s">
        <v>69</v>
      </c>
      <c r="E277" s="23">
        <v>192.0</v>
      </c>
      <c r="F277" s="24" t="s">
        <v>97</v>
      </c>
      <c r="G277" s="21" t="s">
        <v>82</v>
      </c>
      <c r="H277" s="24" t="s">
        <v>98</v>
      </c>
      <c r="I277" s="24" t="s">
        <v>73</v>
      </c>
      <c r="J277" s="24" t="s">
        <v>90</v>
      </c>
      <c r="K277" s="24" t="s">
        <v>101</v>
      </c>
      <c r="L277" s="21" t="s">
        <v>92</v>
      </c>
      <c r="M277" s="24" t="s">
        <v>85</v>
      </c>
      <c r="N277" s="21" t="s">
        <v>86</v>
      </c>
      <c r="O277" s="21" t="s">
        <v>79</v>
      </c>
      <c r="P277" s="21" t="s">
        <v>80</v>
      </c>
      <c r="Q277" s="24" t="s">
        <v>81</v>
      </c>
      <c r="R277" s="24" t="s">
        <v>94</v>
      </c>
      <c r="S277" s="25">
        <v>1323.44433498382</v>
      </c>
      <c r="T277" s="25">
        <v>447.291138172149</v>
      </c>
      <c r="U277" s="25">
        <v>2.07145879723402</v>
      </c>
      <c r="V277" s="25">
        <v>6.82080373291933</v>
      </c>
      <c r="W277" s="25">
        <v>2.6116668495272</v>
      </c>
      <c r="X277" s="25">
        <v>0.747346953360633</v>
      </c>
      <c r="Y277" s="25">
        <v>0.0664330649548992</v>
      </c>
      <c r="Z277" s="25">
        <v>0.00672201213924651</v>
      </c>
      <c r="AA277" s="25">
        <v>0.0819878780018516</v>
      </c>
      <c r="AB277" s="25">
        <v>0.84939948456953</v>
      </c>
      <c r="AC277" s="25">
        <v>0.0661080782751048</v>
      </c>
      <c r="AD277" s="25">
        <v>0.0817427538804496</v>
      </c>
      <c r="AE277" s="25">
        <v>0.851001999424353</v>
      </c>
      <c r="AF277" s="25">
        <v>0.0928116215065781</v>
      </c>
      <c r="AG277" s="25">
        <v>0.117546948669298</v>
      </c>
      <c r="AH277" s="25">
        <v>0.693383066724922</v>
      </c>
      <c r="AI277" s="25">
        <v>10.0</v>
      </c>
      <c r="AJ277" s="25">
        <v>2.07145879723398</v>
      </c>
      <c r="AK277" s="25">
        <v>6.82080373291933</v>
      </c>
      <c r="AL277" s="25">
        <v>2.6116668495272</v>
      </c>
      <c r="AM277" s="25">
        <v>0.747289326991398</v>
      </c>
      <c r="AN277" s="25">
        <v>1.61964791774003</v>
      </c>
      <c r="AO277" s="25">
        <v>4.01079715662882</v>
      </c>
      <c r="AP277" s="25">
        <v>2.00269747007101</v>
      </c>
      <c r="AQ277" s="25">
        <v>0.851001999424353</v>
      </c>
      <c r="AR277" s="25">
        <v>2.2738847269111</v>
      </c>
      <c r="AS277" s="25">
        <v>8.29382540616298</v>
      </c>
      <c r="AT277" s="25">
        <v>2.87990024239781</v>
      </c>
      <c r="AU277" s="25">
        <v>0.693383066724922</v>
      </c>
      <c r="AV277" s="26">
        <f t="shared" ref="AV277:AW277" si="557">(AC277-AC$289)/AC$290</f>
        <v>0.1788528564</v>
      </c>
      <c r="AW277" s="27">
        <f t="shared" si="557"/>
        <v>0.1473453866</v>
      </c>
      <c r="AX277" s="27">
        <f t="shared" si="5"/>
        <v>0.1947757348</v>
      </c>
      <c r="AY277" s="28">
        <f t="shared" si="6"/>
        <v>0.1909647131</v>
      </c>
      <c r="AZ277" s="29">
        <f t="shared" si="7"/>
        <v>0.2088628887</v>
      </c>
      <c r="BA277" s="28">
        <f t="shared" si="8"/>
        <v>0.1913695213</v>
      </c>
      <c r="BB277" s="29">
        <f t="shared" si="9"/>
        <v>0.03446357019</v>
      </c>
      <c r="BC277" s="27">
        <f t="shared" si="10"/>
        <v>0.1652017021</v>
      </c>
      <c r="BD277" s="28">
        <f t="shared" si="11"/>
        <v>0.1110786571</v>
      </c>
      <c r="BE277" s="30">
        <f t="shared" ref="BE277:BF277" si="558">((S277-S$289)/S$290)</f>
        <v>-0.4910685304</v>
      </c>
      <c r="BF277" s="30">
        <f t="shared" si="558"/>
        <v>-0.3274327607</v>
      </c>
    </row>
    <row r="278">
      <c r="A278" s="21" t="s">
        <v>88</v>
      </c>
      <c r="B278" s="22">
        <f t="shared" si="3"/>
        <v>-0.1176691636</v>
      </c>
      <c r="C278" s="21" t="s">
        <v>68</v>
      </c>
      <c r="D278" s="21" t="s">
        <v>69</v>
      </c>
      <c r="E278" s="23">
        <v>249.0</v>
      </c>
      <c r="F278" s="24" t="s">
        <v>97</v>
      </c>
      <c r="G278" s="21" t="s">
        <v>71</v>
      </c>
      <c r="H278" s="24" t="s">
        <v>105</v>
      </c>
      <c r="I278" s="24" t="s">
        <v>95</v>
      </c>
      <c r="J278" s="24" t="s">
        <v>74</v>
      </c>
      <c r="K278" s="24" t="s">
        <v>101</v>
      </c>
      <c r="L278" s="21" t="s">
        <v>92</v>
      </c>
      <c r="M278" s="24" t="s">
        <v>85</v>
      </c>
      <c r="N278" s="21" t="s">
        <v>86</v>
      </c>
      <c r="O278" s="21" t="s">
        <v>91</v>
      </c>
      <c r="P278" s="21" t="s">
        <v>80</v>
      </c>
      <c r="Q278" s="24" t="s">
        <v>81</v>
      </c>
      <c r="R278" s="24" t="s">
        <v>81</v>
      </c>
      <c r="S278" s="25">
        <v>1385.34913969039</v>
      </c>
      <c r="T278" s="25">
        <v>584.308242559433</v>
      </c>
      <c r="U278" s="25">
        <v>2.08447711127544</v>
      </c>
      <c r="V278" s="25">
        <v>7.14036157557818</v>
      </c>
      <c r="W278" s="25">
        <v>2.67214550045056</v>
      </c>
      <c r="X278" s="25">
        <v>0.735483944011275</v>
      </c>
      <c r="Y278" s="25">
        <v>0.0746330372725031</v>
      </c>
      <c r="Z278" s="25">
        <v>0.00903216941796228</v>
      </c>
      <c r="AA278" s="25">
        <v>0.0950377262878394</v>
      </c>
      <c r="AB278" s="25">
        <v>0.797049434374983</v>
      </c>
      <c r="AC278" s="25">
        <v>0.0741822347310489</v>
      </c>
      <c r="AD278" s="25">
        <v>0.0946085819608208</v>
      </c>
      <c r="AE278" s="25">
        <v>0.799996404053256</v>
      </c>
      <c r="AF278" s="25">
        <v>0.0894603345012709</v>
      </c>
      <c r="AG278" s="25">
        <v>0.115022866954795</v>
      </c>
      <c r="AH278" s="25">
        <v>0.707014303732115</v>
      </c>
      <c r="AI278" s="25">
        <v>10.0</v>
      </c>
      <c r="AJ278" s="25">
        <v>2.08447711127538</v>
      </c>
      <c r="AK278" s="25">
        <v>7.14036157557818</v>
      </c>
      <c r="AL278" s="25">
        <v>2.67214550045056</v>
      </c>
      <c r="AM278" s="25">
        <v>0.735424257901945</v>
      </c>
      <c r="AN278" s="25">
        <v>1.8174647509107</v>
      </c>
      <c r="AO278" s="25">
        <v>5.37270796432758</v>
      </c>
      <c r="AP278" s="25">
        <v>2.31791025804011</v>
      </c>
      <c r="AQ278" s="25">
        <v>0.799996404053256</v>
      </c>
      <c r="AR278" s="25">
        <v>2.19177819528108</v>
      </c>
      <c r="AS278" s="25">
        <v>7.94146351848088</v>
      </c>
      <c r="AT278" s="25">
        <v>2.81806024039247</v>
      </c>
      <c r="AU278" s="25">
        <v>0.707014303732115</v>
      </c>
      <c r="AV278" s="26">
        <f t="shared" ref="AV278:AW278" si="559">(AC278-AC$289)/AC$290</f>
        <v>0.3445721724</v>
      </c>
      <c r="AW278" s="27">
        <f t="shared" si="559"/>
        <v>0.3552487911</v>
      </c>
      <c r="AX278" s="27">
        <f t="shared" si="5"/>
        <v>0.1600006573</v>
      </c>
      <c r="AY278" s="28">
        <f t="shared" si="6"/>
        <v>0.1703829292</v>
      </c>
      <c r="AZ278" s="29">
        <f t="shared" si="7"/>
        <v>0.2155450845</v>
      </c>
      <c r="BA278" s="28">
        <f t="shared" si="8"/>
        <v>0.2153504549</v>
      </c>
      <c r="BB278" s="29">
        <f t="shared" si="9"/>
        <v>0.0902254223</v>
      </c>
      <c r="BC278" s="27">
        <f t="shared" si="10"/>
        <v>0.144746622</v>
      </c>
      <c r="BD278" s="28">
        <f t="shared" si="11"/>
        <v>0.1265971437</v>
      </c>
      <c r="BE278" s="30">
        <f t="shared" ref="BE278:BF278" si="560">((S278-S$289)/S$290)</f>
        <v>-0.4748729434</v>
      </c>
      <c r="BF278" s="30">
        <f t="shared" si="560"/>
        <v>-0.05343553426</v>
      </c>
    </row>
    <row r="279">
      <c r="A279" s="21" t="s">
        <v>88</v>
      </c>
      <c r="B279" s="22">
        <f t="shared" si="3"/>
        <v>-0.6617438266</v>
      </c>
      <c r="C279" s="21" t="s">
        <v>68</v>
      </c>
      <c r="D279" s="21" t="s">
        <v>69</v>
      </c>
      <c r="E279" s="23">
        <v>230.0</v>
      </c>
      <c r="F279" s="24" t="s">
        <v>97</v>
      </c>
      <c r="G279" s="21" t="s">
        <v>71</v>
      </c>
      <c r="H279" s="24" t="s">
        <v>105</v>
      </c>
      <c r="I279" s="24" t="s">
        <v>95</v>
      </c>
      <c r="J279" s="24" t="s">
        <v>74</v>
      </c>
      <c r="K279" s="24" t="s">
        <v>101</v>
      </c>
      <c r="L279" s="21" t="s">
        <v>84</v>
      </c>
      <c r="M279" s="24" t="s">
        <v>85</v>
      </c>
      <c r="N279" s="21" t="s">
        <v>104</v>
      </c>
      <c r="O279" s="21" t="s">
        <v>79</v>
      </c>
      <c r="P279" s="21" t="s">
        <v>80</v>
      </c>
      <c r="Q279" s="24" t="s">
        <v>103</v>
      </c>
      <c r="R279" s="24" t="s">
        <v>81</v>
      </c>
      <c r="S279" s="25">
        <v>984.601401090622</v>
      </c>
      <c r="T279" s="25">
        <v>465.621752977371</v>
      </c>
      <c r="U279" s="25">
        <v>3.15922644216095</v>
      </c>
      <c r="V279" s="25">
        <v>19.0145413342918</v>
      </c>
      <c r="W279" s="25">
        <v>4.36056662995669</v>
      </c>
      <c r="X279" s="25">
        <v>0.295516824121975</v>
      </c>
      <c r="Y279" s="25">
        <v>0.121562205242552</v>
      </c>
      <c r="Z279" s="25">
        <v>0.0280928965483933</v>
      </c>
      <c r="AA279" s="25">
        <v>0.167609356983413</v>
      </c>
      <c r="AB279" s="25">
        <v>0.368759709798734</v>
      </c>
      <c r="AC279" s="25">
        <v>0.121796338272381</v>
      </c>
      <c r="AD279" s="25">
        <v>0.167390381678723</v>
      </c>
      <c r="AE279" s="25">
        <v>0.373908601768963</v>
      </c>
      <c r="AF279" s="25">
        <v>0.138016069313751</v>
      </c>
      <c r="AG279" s="25">
        <v>0.191727588436483</v>
      </c>
      <c r="AH279" s="25">
        <v>0.185957158919796</v>
      </c>
      <c r="AI279" s="25">
        <v>10.0</v>
      </c>
      <c r="AJ279" s="25">
        <v>3.15922644216079</v>
      </c>
      <c r="AK279" s="25">
        <v>19.0145413342918</v>
      </c>
      <c r="AL279" s="25">
        <v>4.36056662995669</v>
      </c>
      <c r="AM279" s="25">
        <v>0.295443748761835</v>
      </c>
      <c r="AN279" s="25">
        <v>2.9840102876731</v>
      </c>
      <c r="AO279" s="25">
        <v>16.8187288120989</v>
      </c>
      <c r="AP279" s="25">
        <v>4.10106435112873</v>
      </c>
      <c r="AQ279" s="25">
        <v>0.373908601768963</v>
      </c>
      <c r="AR279" s="25">
        <v>3.38139369818676</v>
      </c>
      <c r="AS279" s="25">
        <v>22.0648707676436</v>
      </c>
      <c r="AT279" s="25">
        <v>4.69732591669384</v>
      </c>
      <c r="AU279" s="25">
        <v>0.185957158919796</v>
      </c>
      <c r="AV279" s="26">
        <f t="shared" ref="AV279:AW279" si="561">(AC279-AC$289)/AC$290</f>
        <v>1.321835459</v>
      </c>
      <c r="AW279" s="27">
        <f t="shared" si="561"/>
        <v>1.531355285</v>
      </c>
      <c r="AX279" s="27">
        <f t="shared" si="5"/>
        <v>0.6638457286</v>
      </c>
      <c r="AY279" s="28">
        <f t="shared" si="6"/>
        <v>0.7958460393</v>
      </c>
      <c r="AZ279" s="29">
        <f t="shared" si="7"/>
        <v>0.7672052655</v>
      </c>
      <c r="BA279" s="28">
        <f t="shared" si="8"/>
        <v>0.884841496</v>
      </c>
      <c r="BB279" s="29">
        <f t="shared" si="9"/>
        <v>0.5560457866</v>
      </c>
      <c r="BC279" s="27">
        <f t="shared" si="10"/>
        <v>0.9266467285</v>
      </c>
      <c r="BD279" s="28">
        <f t="shared" si="11"/>
        <v>0.7020536868</v>
      </c>
      <c r="BE279" s="30">
        <f t="shared" ref="BE279:BF279" si="562">((S279-S$289)/S$290)</f>
        <v>-0.5797169033</v>
      </c>
      <c r="BF279" s="30">
        <f t="shared" si="562"/>
        <v>-0.2907764787</v>
      </c>
    </row>
    <row r="280">
      <c r="A280" s="21" t="s">
        <v>67</v>
      </c>
      <c r="B280" s="22">
        <f t="shared" si="3"/>
        <v>-2.085723679</v>
      </c>
      <c r="C280" s="21" t="s">
        <v>68</v>
      </c>
      <c r="D280" s="21" t="s">
        <v>69</v>
      </c>
      <c r="E280" s="23">
        <v>258.0</v>
      </c>
      <c r="F280" s="24" t="s">
        <v>97</v>
      </c>
      <c r="G280" s="21" t="s">
        <v>71</v>
      </c>
      <c r="H280" s="24" t="s">
        <v>105</v>
      </c>
      <c r="I280" s="24" t="s">
        <v>95</v>
      </c>
      <c r="J280" s="24" t="s">
        <v>99</v>
      </c>
      <c r="K280" s="24" t="s">
        <v>75</v>
      </c>
      <c r="L280" s="21" t="s">
        <v>76</v>
      </c>
      <c r="M280" s="24" t="s">
        <v>85</v>
      </c>
      <c r="N280" s="21" t="s">
        <v>78</v>
      </c>
      <c r="O280" s="21" t="s">
        <v>91</v>
      </c>
      <c r="P280" s="21" t="s">
        <v>80</v>
      </c>
      <c r="Q280" s="24" t="s">
        <v>100</v>
      </c>
      <c r="R280" s="24" t="s">
        <v>81</v>
      </c>
      <c r="S280" s="25">
        <v>166.16052865982</v>
      </c>
      <c r="T280" s="25">
        <v>465.714582920074</v>
      </c>
      <c r="U280" s="25">
        <v>6.19664899339404</v>
      </c>
      <c r="V280" s="25">
        <v>57.9883116516788</v>
      </c>
      <c r="W280" s="25">
        <v>7.61500568953686</v>
      </c>
      <c r="X280" s="25">
        <v>-1.14872127478611</v>
      </c>
      <c r="Y280" s="25">
        <v>0.250291540103464</v>
      </c>
      <c r="Z280" s="25">
        <v>0.096821520420147</v>
      </c>
      <c r="AA280" s="25">
        <v>0.31116156642514</v>
      </c>
      <c r="AB280" s="25">
        <v>-1.17555511025568</v>
      </c>
      <c r="AC280" s="25">
        <v>0.252618148950061</v>
      </c>
      <c r="AD280" s="25">
        <v>0.313283183358869</v>
      </c>
      <c r="AE280" s="25">
        <v>-1.19306197146838</v>
      </c>
      <c r="AF280" s="25">
        <v>0.265677028042437</v>
      </c>
      <c r="AG280" s="25">
        <v>0.314244343909683</v>
      </c>
      <c r="AH280" s="25">
        <v>-1.18681971729858</v>
      </c>
      <c r="AI280" s="25">
        <v>10.0</v>
      </c>
      <c r="AJ280" s="25">
        <v>6.19664899339414</v>
      </c>
      <c r="AK280" s="25">
        <v>57.9883116516789</v>
      </c>
      <c r="AL280" s="25">
        <v>7.61500568953687</v>
      </c>
      <c r="AM280" s="25">
        <v>-1.14867278440502</v>
      </c>
      <c r="AN280" s="25">
        <v>6.18914464927695</v>
      </c>
      <c r="AO280" s="25">
        <v>58.9123483735241</v>
      </c>
      <c r="AP280" s="25">
        <v>7.6754379922923</v>
      </c>
      <c r="AQ280" s="25">
        <v>-1.19306197146838</v>
      </c>
      <c r="AR280" s="25">
        <v>6.50908718704014</v>
      </c>
      <c r="AS280" s="25">
        <v>59.2743919844561</v>
      </c>
      <c r="AT280" s="25">
        <v>7.69898642578723</v>
      </c>
      <c r="AU280" s="25">
        <v>-1.18681971729858</v>
      </c>
      <c r="AV280" s="26">
        <f t="shared" ref="AV280:AW280" si="563">(AC280-AC$289)/AC$290</f>
        <v>4.006908643</v>
      </c>
      <c r="AW280" s="27">
        <f t="shared" si="563"/>
        <v>3.888887965</v>
      </c>
      <c r="AX280" s="27">
        <f t="shared" si="5"/>
        <v>1.988536727</v>
      </c>
      <c r="AY280" s="28">
        <f t="shared" si="6"/>
        <v>1.794868126</v>
      </c>
      <c r="AZ280" s="29">
        <f t="shared" si="7"/>
        <v>2.326289813</v>
      </c>
      <c r="BA280" s="28">
        <f t="shared" si="8"/>
        <v>2.175288385</v>
      </c>
      <c r="BB280" s="29">
        <f t="shared" si="9"/>
        <v>2.269135904</v>
      </c>
      <c r="BC280" s="27">
        <f t="shared" si="10"/>
        <v>2.986640333</v>
      </c>
      <c r="BD280" s="28">
        <f t="shared" si="11"/>
        <v>2.59083351</v>
      </c>
      <c r="BE280" s="30">
        <f t="shared" ref="BE280:BF280" si="564">((S280-S$289)/S$290)</f>
        <v>-0.7938380916</v>
      </c>
      <c r="BF280" s="30">
        <f t="shared" si="564"/>
        <v>-0.2905908438</v>
      </c>
    </row>
    <row r="281">
      <c r="A281" s="21" t="s">
        <v>88</v>
      </c>
      <c r="B281" s="22">
        <f t="shared" si="3"/>
        <v>0.002701907971</v>
      </c>
      <c r="C281" s="21" t="s">
        <v>68</v>
      </c>
      <c r="D281" s="21" t="s">
        <v>69</v>
      </c>
      <c r="E281" s="23">
        <v>241.0</v>
      </c>
      <c r="F281" s="24" t="s">
        <v>97</v>
      </c>
      <c r="G281" s="21" t="s">
        <v>71</v>
      </c>
      <c r="H281" s="24" t="s">
        <v>105</v>
      </c>
      <c r="I281" s="24" t="s">
        <v>95</v>
      </c>
      <c r="J281" s="24" t="s">
        <v>90</v>
      </c>
      <c r="K281" s="24" t="s">
        <v>101</v>
      </c>
      <c r="L281" s="21" t="s">
        <v>84</v>
      </c>
      <c r="M281" s="24" t="s">
        <v>85</v>
      </c>
      <c r="N281" s="21" t="s">
        <v>86</v>
      </c>
      <c r="O281" s="21" t="s">
        <v>79</v>
      </c>
      <c r="P281" s="21" t="s">
        <v>80</v>
      </c>
      <c r="Q281" s="24" t="s">
        <v>87</v>
      </c>
      <c r="R281" s="24" t="s">
        <v>87</v>
      </c>
      <c r="S281" s="25">
        <v>1781.62165045738</v>
      </c>
      <c r="T281" s="25">
        <v>591.139774322509</v>
      </c>
      <c r="U281" s="25">
        <v>1.92612491962515</v>
      </c>
      <c r="V281" s="25">
        <v>6.27264609112397</v>
      </c>
      <c r="W281" s="25">
        <v>2.50452512287738</v>
      </c>
      <c r="X281" s="25">
        <v>0.767684511983794</v>
      </c>
      <c r="Y281" s="25">
        <v>0.048598359669161</v>
      </c>
      <c r="Z281" s="25">
        <v>0.00378329643808235</v>
      </c>
      <c r="AA281" s="25">
        <v>0.0615085070383142</v>
      </c>
      <c r="AB281" s="25">
        <v>0.914990284558994</v>
      </c>
      <c r="AC281" s="25">
        <v>0.0483131822686425</v>
      </c>
      <c r="AD281" s="25">
        <v>0.0612364871671678</v>
      </c>
      <c r="AE281" s="25">
        <v>0.916209018677837</v>
      </c>
      <c r="AF281" s="25">
        <v>0.0867232087737375</v>
      </c>
      <c r="AG281" s="25">
        <v>0.11337512036864</v>
      </c>
      <c r="AH281" s="25">
        <v>0.715348442644911</v>
      </c>
      <c r="AI281" s="25">
        <v>10.0</v>
      </c>
      <c r="AJ281" s="25">
        <v>1.92612491962511</v>
      </c>
      <c r="AK281" s="25">
        <v>6.27264609112397</v>
      </c>
      <c r="AL281" s="25">
        <v>2.50452512287738</v>
      </c>
      <c r="AM281" s="25">
        <v>0.767576196679759</v>
      </c>
      <c r="AN281" s="25">
        <v>1.18367296558171</v>
      </c>
      <c r="AO281" s="25">
        <v>2.25088189318497</v>
      </c>
      <c r="AP281" s="25">
        <v>1.50029393559561</v>
      </c>
      <c r="AQ281" s="25">
        <v>0.916209018677837</v>
      </c>
      <c r="AR281" s="25">
        <v>2.12471861495657</v>
      </c>
      <c r="AS281" s="25">
        <v>7.7155642306419</v>
      </c>
      <c r="AT281" s="25">
        <v>2.77769044903169</v>
      </c>
      <c r="AU281" s="25">
        <v>0.715348442644911</v>
      </c>
      <c r="AV281" s="26">
        <f t="shared" ref="AV281:AW281" si="565">(AC281-AC$289)/AC$290</f>
        <v>-0.1863813339</v>
      </c>
      <c r="AW281" s="27">
        <f t="shared" si="565"/>
        <v>-0.1840225313</v>
      </c>
      <c r="AX281" s="27">
        <f t="shared" si="5"/>
        <v>0.1315985064</v>
      </c>
      <c r="AY281" s="28">
        <f t="shared" si="6"/>
        <v>0.1569469284</v>
      </c>
      <c r="AZ281" s="29">
        <f t="shared" si="7"/>
        <v>0.1342641791</v>
      </c>
      <c r="BA281" s="28">
        <f t="shared" si="8"/>
        <v>0.148885792</v>
      </c>
      <c r="BB281" s="29">
        <f t="shared" si="9"/>
        <v>-0.0368239844</v>
      </c>
      <c r="BC281" s="27">
        <f t="shared" si="10"/>
        <v>0.132240385</v>
      </c>
      <c r="BD281" s="28">
        <f t="shared" si="11"/>
        <v>0.08454518193</v>
      </c>
      <c r="BE281" s="30">
        <f t="shared" ref="BE281:BF281" si="566">((S281-S$289)/S$290)</f>
        <v>-0.3711997964</v>
      </c>
      <c r="BF281" s="30">
        <f t="shared" si="566"/>
        <v>-0.03977431463</v>
      </c>
    </row>
    <row r="282">
      <c r="A282" s="21" t="s">
        <v>67</v>
      </c>
      <c r="B282" s="22">
        <f t="shared" si="3"/>
        <v>-0.7135522599</v>
      </c>
      <c r="C282" s="21" t="s">
        <v>68</v>
      </c>
      <c r="D282" s="21" t="s">
        <v>69</v>
      </c>
      <c r="E282" s="23">
        <v>283.0</v>
      </c>
      <c r="F282" s="24" t="s">
        <v>97</v>
      </c>
      <c r="G282" s="21" t="s">
        <v>71</v>
      </c>
      <c r="H282" s="24" t="s">
        <v>105</v>
      </c>
      <c r="I282" s="24" t="s">
        <v>73</v>
      </c>
      <c r="J282" s="24" t="s">
        <v>74</v>
      </c>
      <c r="K282" s="24" t="s">
        <v>101</v>
      </c>
      <c r="L282" s="21" t="s">
        <v>92</v>
      </c>
      <c r="M282" s="24" t="s">
        <v>85</v>
      </c>
      <c r="N282" s="21" t="s">
        <v>78</v>
      </c>
      <c r="O282" s="21" t="s">
        <v>79</v>
      </c>
      <c r="P282" s="21" t="s">
        <v>80</v>
      </c>
      <c r="Q282" s="24" t="s">
        <v>96</v>
      </c>
      <c r="R282" s="24" t="s">
        <v>94</v>
      </c>
      <c r="S282" s="25">
        <v>1249.88608241081</v>
      </c>
      <c r="T282" s="25">
        <v>567.048792123794</v>
      </c>
      <c r="U282" s="25">
        <v>3.58298277969976</v>
      </c>
      <c r="V282" s="25">
        <v>17.817670113376</v>
      </c>
      <c r="W282" s="25">
        <v>4.22109821176623</v>
      </c>
      <c r="X282" s="25">
        <v>0.339258654883838</v>
      </c>
      <c r="Y282" s="25">
        <v>0.145627396523858</v>
      </c>
      <c r="Z282" s="25">
        <v>0.0282586051791018</v>
      </c>
      <c r="AA282" s="25">
        <v>0.16810296005455</v>
      </c>
      <c r="AB282" s="25">
        <v>0.364413030189147</v>
      </c>
      <c r="AC282" s="25">
        <v>0.146351026786637</v>
      </c>
      <c r="AD282" s="25">
        <v>0.168669115165341</v>
      </c>
      <c r="AE282" s="25">
        <v>0.363601130141159</v>
      </c>
      <c r="AF282" s="25">
        <v>0.144016906436235</v>
      </c>
      <c r="AG282" s="25">
        <v>0.171596380103959</v>
      </c>
      <c r="AH282" s="25">
        <v>0.346768909957196</v>
      </c>
      <c r="AI282" s="25">
        <v>10.0</v>
      </c>
      <c r="AJ282" s="25">
        <v>3.58298277969959</v>
      </c>
      <c r="AK282" s="25">
        <v>17.817670113376</v>
      </c>
      <c r="AL282" s="25">
        <v>4.22109821176623</v>
      </c>
      <c r="AM282" s="25">
        <v>0.339220451590545</v>
      </c>
      <c r="AN282" s="25">
        <v>3.58560015627247</v>
      </c>
      <c r="AO282" s="25">
        <v>17.0766745639982</v>
      </c>
      <c r="AP282" s="25">
        <v>4.13239332155087</v>
      </c>
      <c r="AQ282" s="25">
        <v>0.363601130141159</v>
      </c>
      <c r="AR282" s="25">
        <v>3.52841420768762</v>
      </c>
      <c r="AS282" s="25">
        <v>17.6745519282856</v>
      </c>
      <c r="AT282" s="25">
        <v>4.204111312547</v>
      </c>
      <c r="AU282" s="25">
        <v>0.346768909957196</v>
      </c>
      <c r="AV282" s="26">
        <f t="shared" ref="AV282:AW282" si="567">(AC282-AC$289)/AC$290</f>
        <v>1.825812092</v>
      </c>
      <c r="AW282" s="27">
        <f t="shared" si="567"/>
        <v>1.552018785</v>
      </c>
      <c r="AX282" s="27">
        <f t="shared" si="5"/>
        <v>0.7261142169</v>
      </c>
      <c r="AY282" s="28">
        <f t="shared" si="6"/>
        <v>0.6316928043</v>
      </c>
      <c r="AZ282" s="29">
        <f t="shared" si="7"/>
        <v>0.9847159828</v>
      </c>
      <c r="BA282" s="28">
        <f t="shared" si="8"/>
        <v>0.8295396196</v>
      </c>
      <c r="BB282" s="29">
        <f t="shared" si="9"/>
        <v>0.5673144269</v>
      </c>
      <c r="BC282" s="27">
        <f t="shared" si="10"/>
        <v>0.6853320732</v>
      </c>
      <c r="BD282" s="28">
        <f t="shared" si="11"/>
        <v>0.6447975367</v>
      </c>
      <c r="BE282" s="30">
        <f t="shared" ref="BE282:BF282" si="568">((S282-S$289)/S$290)</f>
        <v>-0.5103129022</v>
      </c>
      <c r="BF282" s="30">
        <f t="shared" si="568"/>
        <v>-0.08794977662</v>
      </c>
    </row>
    <row r="283">
      <c r="A283" s="21" t="s">
        <v>88</v>
      </c>
      <c r="B283" s="22">
        <f t="shared" si="3"/>
        <v>-0.09325874576</v>
      </c>
      <c r="C283" s="21" t="s">
        <v>68</v>
      </c>
      <c r="D283" s="21" t="s">
        <v>69</v>
      </c>
      <c r="E283" s="23">
        <v>239.0</v>
      </c>
      <c r="F283" s="24" t="s">
        <v>97</v>
      </c>
      <c r="G283" s="21" t="s">
        <v>71</v>
      </c>
      <c r="H283" s="24" t="s">
        <v>105</v>
      </c>
      <c r="I283" s="24" t="s">
        <v>95</v>
      </c>
      <c r="J283" s="24" t="s">
        <v>99</v>
      </c>
      <c r="K283" s="24" t="s">
        <v>101</v>
      </c>
      <c r="L283" s="21" t="s">
        <v>92</v>
      </c>
      <c r="M283" s="24" t="s">
        <v>85</v>
      </c>
      <c r="N283" s="21" t="s">
        <v>86</v>
      </c>
      <c r="O283" s="21" t="s">
        <v>91</v>
      </c>
      <c r="P283" s="21" t="s">
        <v>80</v>
      </c>
      <c r="Q283" s="24" t="s">
        <v>93</v>
      </c>
      <c r="R283" s="24" t="s">
        <v>81</v>
      </c>
      <c r="S283" s="25">
        <v>1736.36046433448</v>
      </c>
      <c r="T283" s="25">
        <v>573.339934587478</v>
      </c>
      <c r="U283" s="25">
        <v>2.06062050980849</v>
      </c>
      <c r="V283" s="25">
        <v>6.98090316869684</v>
      </c>
      <c r="W283" s="25">
        <v>2.64213988439235</v>
      </c>
      <c r="X283" s="25">
        <v>0.741424047925175</v>
      </c>
      <c r="Y283" s="25">
        <v>0.0649695815697418</v>
      </c>
      <c r="Z283" s="25">
        <v>0.00675500079745394</v>
      </c>
      <c r="AA283" s="25">
        <v>0.0821888118751813</v>
      </c>
      <c r="AB283" s="25">
        <v>0.848216838148059</v>
      </c>
      <c r="AC283" s="25">
        <v>0.0645493041610169</v>
      </c>
      <c r="AD283" s="25">
        <v>0.0818081527087812</v>
      </c>
      <c r="AE283" s="25">
        <v>0.850455684231881</v>
      </c>
      <c r="AF283" s="25">
        <v>0.0939724294659809</v>
      </c>
      <c r="AG283" s="25">
        <v>0.121662392845716</v>
      </c>
      <c r="AH283" s="25">
        <v>0.67221373651285</v>
      </c>
      <c r="AI283" s="25">
        <v>10.0</v>
      </c>
      <c r="AJ283" s="25">
        <v>2.06062050980846</v>
      </c>
      <c r="AK283" s="25">
        <v>6.98090316869684</v>
      </c>
      <c r="AL283" s="25">
        <v>2.64213988439235</v>
      </c>
      <c r="AM283" s="25">
        <v>0.741332757897058</v>
      </c>
      <c r="AN283" s="25">
        <v>1.58145795194488</v>
      </c>
      <c r="AO283" s="25">
        <v>4.01721745323634</v>
      </c>
      <c r="AP283" s="25">
        <v>2.00429974136513</v>
      </c>
      <c r="AQ283" s="25">
        <v>0.850455684231881</v>
      </c>
      <c r="AR283" s="25">
        <v>2.30232452191647</v>
      </c>
      <c r="AS283" s="25">
        <v>8.8847431342255</v>
      </c>
      <c r="AT283" s="25">
        <v>2.98072862472005</v>
      </c>
      <c r="AU283" s="25">
        <v>0.67221373651285</v>
      </c>
      <c r="AV283" s="26">
        <f t="shared" ref="AV283:AW283" si="569">(AC283-AC$289)/AC$290</f>
        <v>0.1468595477</v>
      </c>
      <c r="AW283" s="27">
        <f t="shared" si="569"/>
        <v>0.1484021891</v>
      </c>
      <c r="AX283" s="27">
        <f t="shared" si="5"/>
        <v>0.2068210137</v>
      </c>
      <c r="AY283" s="28">
        <f t="shared" si="6"/>
        <v>0.2245227323</v>
      </c>
      <c r="AZ283" s="29">
        <f t="shared" si="7"/>
        <v>0.203299683</v>
      </c>
      <c r="BA283" s="28">
        <f t="shared" si="8"/>
        <v>0.2034526583</v>
      </c>
      <c r="BB283" s="29">
        <f t="shared" si="9"/>
        <v>0.03506082911</v>
      </c>
      <c r="BC283" s="27">
        <f t="shared" si="10"/>
        <v>0.1969684703</v>
      </c>
      <c r="BD283" s="28">
        <f t="shared" si="11"/>
        <v>0.1188693355</v>
      </c>
      <c r="BE283" s="30">
        <f t="shared" ref="BE283:BF283" si="570">((S283-S$289)/S$290)</f>
        <v>-0.3830410659</v>
      </c>
      <c r="BF283" s="30">
        <f t="shared" si="570"/>
        <v>-0.07536918974</v>
      </c>
    </row>
    <row r="284">
      <c r="A284" s="21" t="s">
        <v>67</v>
      </c>
      <c r="B284" s="22">
        <f t="shared" si="3"/>
        <v>-0.1264953043</v>
      </c>
      <c r="C284" s="21" t="s">
        <v>68</v>
      </c>
      <c r="D284" s="21" t="s">
        <v>69</v>
      </c>
      <c r="E284" s="23">
        <v>264.0</v>
      </c>
      <c r="F284" s="24" t="s">
        <v>97</v>
      </c>
      <c r="G284" s="21" t="s">
        <v>71</v>
      </c>
      <c r="H284" s="24" t="s">
        <v>105</v>
      </c>
      <c r="I284" s="24" t="s">
        <v>95</v>
      </c>
      <c r="J284" s="24" t="s">
        <v>99</v>
      </c>
      <c r="K284" s="24" t="s">
        <v>101</v>
      </c>
      <c r="L284" s="21" t="s">
        <v>92</v>
      </c>
      <c r="M284" s="24" t="s">
        <v>85</v>
      </c>
      <c r="N284" s="21" t="s">
        <v>78</v>
      </c>
      <c r="O284" s="21" t="s">
        <v>91</v>
      </c>
      <c r="P284" s="21" t="s">
        <v>80</v>
      </c>
      <c r="Q284" s="24" t="s">
        <v>96</v>
      </c>
      <c r="R284" s="24" t="s">
        <v>81</v>
      </c>
      <c r="S284" s="25">
        <v>1802.67711162567</v>
      </c>
      <c r="T284" s="25">
        <v>575.764534473419</v>
      </c>
      <c r="U284" s="25">
        <v>2.05781051938626</v>
      </c>
      <c r="V284" s="25">
        <v>6.93960289219518</v>
      </c>
      <c r="W284" s="25">
        <v>2.63431260335503</v>
      </c>
      <c r="X284" s="25">
        <v>0.742927731436175</v>
      </c>
      <c r="Y284" s="25">
        <v>0.0754757044638459</v>
      </c>
      <c r="Z284" s="25">
        <v>0.00915314357408136</v>
      </c>
      <c r="AA284" s="25">
        <v>0.0956720626624166</v>
      </c>
      <c r="AB284" s="25">
        <v>0.794331175640647</v>
      </c>
      <c r="AC284" s="25">
        <v>0.0753005583559383</v>
      </c>
      <c r="AD284" s="25">
        <v>0.0953792248372145</v>
      </c>
      <c r="AE284" s="25">
        <v>0.796724838434845</v>
      </c>
      <c r="AF284" s="25">
        <v>0.0897266841704979</v>
      </c>
      <c r="AG284" s="25">
        <v>0.115128089406517</v>
      </c>
      <c r="AH284" s="25">
        <v>0.706478014295588</v>
      </c>
      <c r="AI284" s="25">
        <v>10.0</v>
      </c>
      <c r="AJ284" s="25">
        <v>2.05781051938621</v>
      </c>
      <c r="AK284" s="25">
        <v>6.93960289219519</v>
      </c>
      <c r="AL284" s="25">
        <v>2.63431260335503</v>
      </c>
      <c r="AM284" s="25">
        <v>0.742863079742614</v>
      </c>
      <c r="AN284" s="25">
        <v>1.84486367972054</v>
      </c>
      <c r="AO284" s="25">
        <v>5.46059221746141</v>
      </c>
      <c r="AP284" s="25">
        <v>2.33679100851176</v>
      </c>
      <c r="AQ284" s="25">
        <v>0.796724838434845</v>
      </c>
      <c r="AR284" s="25">
        <v>2.19830376217714</v>
      </c>
      <c r="AS284" s="25">
        <v>7.95599980147961</v>
      </c>
      <c r="AT284" s="25">
        <v>2.82063819045967</v>
      </c>
      <c r="AU284" s="25">
        <v>0.706478014295588</v>
      </c>
      <c r="AV284" s="26">
        <f t="shared" ref="AV284:AW284" si="571">(AC284-AC$289)/AC$290</f>
        <v>0.3675253846</v>
      </c>
      <c r="AW284" s="27">
        <f t="shared" si="571"/>
        <v>0.3677018782</v>
      </c>
      <c r="AX284" s="27">
        <f t="shared" si="5"/>
        <v>0.1627644702</v>
      </c>
      <c r="AY284" s="28">
        <f t="shared" si="6"/>
        <v>0.1712409307</v>
      </c>
      <c r="AZ284" s="29">
        <f t="shared" si="7"/>
        <v>0.2018573376</v>
      </c>
      <c r="BA284" s="28">
        <f t="shared" si="8"/>
        <v>0.2003489927</v>
      </c>
      <c r="BB284" s="29">
        <f t="shared" si="9"/>
        <v>0.09380206044</v>
      </c>
      <c r="BC284" s="27">
        <f t="shared" si="10"/>
        <v>0.1455513797</v>
      </c>
      <c r="BD284" s="28">
        <f t="shared" si="11"/>
        <v>0.1168678066</v>
      </c>
      <c r="BE284" s="30">
        <f t="shared" ref="BE284:BF284" si="572">((S284-S$289)/S$290)</f>
        <v>-0.3656912489</v>
      </c>
      <c r="BF284" s="30">
        <f t="shared" si="572"/>
        <v>-0.07052064439</v>
      </c>
    </row>
    <row r="285">
      <c r="A285" s="21" t="s">
        <v>67</v>
      </c>
      <c r="B285" s="22">
        <f t="shared" si="3"/>
        <v>-0.03790466612</v>
      </c>
      <c r="C285" s="21" t="s">
        <v>68</v>
      </c>
      <c r="D285" s="21" t="s">
        <v>69</v>
      </c>
      <c r="E285" s="23">
        <v>196.0</v>
      </c>
      <c r="F285" s="24" t="s">
        <v>97</v>
      </c>
      <c r="G285" s="21" t="s">
        <v>82</v>
      </c>
      <c r="H285" s="24" t="s">
        <v>98</v>
      </c>
      <c r="I285" s="24" t="s">
        <v>95</v>
      </c>
      <c r="J285" s="24" t="s">
        <v>74</v>
      </c>
      <c r="K285" s="24" t="s">
        <v>101</v>
      </c>
      <c r="L285" s="21" t="s">
        <v>92</v>
      </c>
      <c r="M285" s="24" t="s">
        <v>85</v>
      </c>
      <c r="N285" s="21" t="s">
        <v>86</v>
      </c>
      <c r="O285" s="21" t="s">
        <v>79</v>
      </c>
      <c r="P285" s="21" t="s">
        <v>80</v>
      </c>
      <c r="Q285" s="24" t="s">
        <v>94</v>
      </c>
      <c r="R285" s="24" t="s">
        <v>93</v>
      </c>
      <c r="S285" s="25">
        <v>1898.88370609283</v>
      </c>
      <c r="T285" s="25">
        <v>484.535608291626</v>
      </c>
      <c r="U285" s="25">
        <v>1.93489765330525</v>
      </c>
      <c r="V285" s="25">
        <v>6.01701205978826</v>
      </c>
      <c r="W285" s="25">
        <v>2.45295985694594</v>
      </c>
      <c r="X285" s="25">
        <v>0.777336230803178</v>
      </c>
      <c r="Y285" s="25">
        <v>0.0608963171575566</v>
      </c>
      <c r="Z285" s="25">
        <v>0.00567956952953438</v>
      </c>
      <c r="AA285" s="25">
        <v>0.0753629187965433</v>
      </c>
      <c r="AB285" s="25">
        <v>0.872891845594296</v>
      </c>
      <c r="AC285" s="25">
        <v>0.0606034518883149</v>
      </c>
      <c r="AD285" s="25">
        <v>0.0751385140853154</v>
      </c>
      <c r="AE285" s="25">
        <v>0.87425201964873</v>
      </c>
      <c r="AF285" s="25">
        <v>0.0932470596410067</v>
      </c>
      <c r="AG285" s="25">
        <v>0.117582067749362</v>
      </c>
      <c r="AH285" s="25">
        <v>0.693331448245474</v>
      </c>
      <c r="AI285" s="25">
        <v>10.0</v>
      </c>
      <c r="AJ285" s="25">
        <v>1.93489765330524</v>
      </c>
      <c r="AK285" s="25">
        <v>6.01701205978826</v>
      </c>
      <c r="AL285" s="25">
        <v>2.45295985694594</v>
      </c>
      <c r="AM285" s="25">
        <v>0.777280210968646</v>
      </c>
      <c r="AN285" s="25">
        <v>1.48478457126365</v>
      </c>
      <c r="AO285" s="25">
        <v>3.38888922844424</v>
      </c>
      <c r="AP285" s="25">
        <v>1.84089359509023</v>
      </c>
      <c r="AQ285" s="25">
        <v>0.87425201964873</v>
      </c>
      <c r="AR285" s="25">
        <v>2.28455296120461</v>
      </c>
      <c r="AS285" s="25">
        <v>8.29878197939343</v>
      </c>
      <c r="AT285" s="25">
        <v>2.88076065985937</v>
      </c>
      <c r="AU285" s="25">
        <v>0.693331448245474</v>
      </c>
      <c r="AV285" s="26">
        <f t="shared" ref="AV285:AW285" si="573">(AC285-AC$289)/AC$290</f>
        <v>0.06587227137</v>
      </c>
      <c r="AW285" s="27">
        <f t="shared" si="573"/>
        <v>0.0406251717</v>
      </c>
      <c r="AX285" s="27">
        <f t="shared" si="5"/>
        <v>0.1992941168</v>
      </c>
      <c r="AY285" s="28">
        <f t="shared" si="6"/>
        <v>0.19125108</v>
      </c>
      <c r="AZ285" s="29">
        <f t="shared" si="7"/>
        <v>0.1387671527</v>
      </c>
      <c r="BA285" s="28">
        <f t="shared" si="8"/>
        <v>0.1284391849</v>
      </c>
      <c r="BB285" s="29">
        <f t="shared" si="9"/>
        <v>0.009045492426</v>
      </c>
      <c r="BC285" s="27">
        <f t="shared" si="10"/>
        <v>0.165279161</v>
      </c>
      <c r="BD285" s="28">
        <f t="shared" si="11"/>
        <v>0.07185316853</v>
      </c>
      <c r="BE285" s="30">
        <f t="shared" ref="BE285:BF285" si="574">((S285-S$289)/S$290)</f>
        <v>-0.3405215989</v>
      </c>
      <c r="BF285" s="30">
        <f t="shared" si="574"/>
        <v>-0.2529538731</v>
      </c>
    </row>
    <row r="286">
      <c r="A286" s="21" t="s">
        <v>88</v>
      </c>
      <c r="B286" s="22">
        <f t="shared" si="3"/>
        <v>-0.08517989762</v>
      </c>
      <c r="C286" s="21" t="s">
        <v>68</v>
      </c>
      <c r="D286" s="21" t="s">
        <v>69</v>
      </c>
      <c r="E286" s="23">
        <v>152.0</v>
      </c>
      <c r="F286" s="24" t="s">
        <v>97</v>
      </c>
      <c r="G286" s="21" t="s">
        <v>82</v>
      </c>
      <c r="H286" s="24" t="s">
        <v>98</v>
      </c>
      <c r="I286" s="24" t="s">
        <v>95</v>
      </c>
      <c r="J286" s="24" t="s">
        <v>99</v>
      </c>
      <c r="K286" s="24" t="s">
        <v>101</v>
      </c>
      <c r="L286" s="21" t="s">
        <v>92</v>
      </c>
      <c r="M286" s="24" t="s">
        <v>77</v>
      </c>
      <c r="N286" s="21" t="s">
        <v>104</v>
      </c>
      <c r="O286" s="21" t="s">
        <v>91</v>
      </c>
      <c r="P286" s="21" t="s">
        <v>80</v>
      </c>
      <c r="Q286" s="24" t="s">
        <v>96</v>
      </c>
      <c r="S286" s="25">
        <v>2028.48995065689</v>
      </c>
      <c r="T286" s="25">
        <v>448.853033065795</v>
      </c>
      <c r="U286" s="25">
        <v>2.0518518994349</v>
      </c>
      <c r="V286" s="25">
        <v>6.77828472931178</v>
      </c>
      <c r="W286" s="25">
        <v>2.60351391955406</v>
      </c>
      <c r="X286" s="25">
        <v>0.749136866496355</v>
      </c>
      <c r="Y286" s="25">
        <v>0.0712092424880592</v>
      </c>
      <c r="Z286" s="25">
        <v>0.00798211737129561</v>
      </c>
      <c r="AA286" s="25">
        <v>0.0893426962392316</v>
      </c>
      <c r="AB286" s="25">
        <v>0.821361072870205</v>
      </c>
      <c r="AC286" s="25">
        <v>0.0713180115803705</v>
      </c>
      <c r="AD286" s="25">
        <v>0.0893439194412946</v>
      </c>
      <c r="AE286" s="25">
        <v>0.822210620090989</v>
      </c>
      <c r="AF286" s="25">
        <v>0.0897027472368156</v>
      </c>
      <c r="AG286" s="25">
        <v>0.113244975777118</v>
      </c>
      <c r="AH286" s="25">
        <v>0.715537552616882</v>
      </c>
      <c r="AI286" s="25">
        <v>10.0</v>
      </c>
      <c r="AJ286" s="25">
        <v>2.05185189943482</v>
      </c>
      <c r="AK286" s="25">
        <v>6.77828472931177</v>
      </c>
      <c r="AL286" s="25">
        <v>2.60351391955406</v>
      </c>
      <c r="AM286" s="25">
        <v>0.749101692018232</v>
      </c>
      <c r="AN286" s="25">
        <v>1.74729128371914</v>
      </c>
      <c r="AO286" s="25">
        <v>4.7913971486648</v>
      </c>
      <c r="AP286" s="25">
        <v>2.18892602631171</v>
      </c>
      <c r="AQ286" s="25">
        <v>0.822210620090989</v>
      </c>
      <c r="AR286" s="25">
        <v>2.19771730730193</v>
      </c>
      <c r="AS286" s="25">
        <v>7.69786082939081</v>
      </c>
      <c r="AT286" s="25">
        <v>2.7745019065394</v>
      </c>
      <c r="AU286" s="25">
        <v>0.715537552616882</v>
      </c>
      <c r="AV286" s="26">
        <f t="shared" ref="AV286:AW286" si="575">(AC286-AC$289)/AC$290</f>
        <v>0.2857849661</v>
      </c>
      <c r="AW286" s="27">
        <f t="shared" si="575"/>
        <v>0.2701752728</v>
      </c>
      <c r="AX286" s="27">
        <f t="shared" si="5"/>
        <v>0.1625160855</v>
      </c>
      <c r="AY286" s="28">
        <f t="shared" si="6"/>
        <v>0.1558857076</v>
      </c>
      <c r="AZ286" s="29">
        <f t="shared" si="7"/>
        <v>0.1987988259</v>
      </c>
      <c r="BA286" s="28">
        <f t="shared" si="8"/>
        <v>0.1881367297</v>
      </c>
      <c r="BB286" s="29">
        <f t="shared" si="9"/>
        <v>0.06593973716</v>
      </c>
      <c r="BC286" s="27">
        <f t="shared" si="10"/>
        <v>0.131956606</v>
      </c>
      <c r="BD286" s="28">
        <f t="shared" si="11"/>
        <v>0.10870824</v>
      </c>
      <c r="BE286" s="30">
        <f t="shared" ref="BE286:BF286" si="576">((S286-S$289)/S$290)</f>
        <v>-0.3066139044</v>
      </c>
      <c r="BF286" s="30">
        <f t="shared" si="576"/>
        <v>-0.3243093924</v>
      </c>
    </row>
    <row r="287">
      <c r="A287" s="21" t="s">
        <v>67</v>
      </c>
      <c r="B287" s="22">
        <f t="shared" si="3"/>
        <v>-0.1560054273</v>
      </c>
      <c r="C287" s="21" t="s">
        <v>68</v>
      </c>
      <c r="D287" s="21" t="s">
        <v>69</v>
      </c>
      <c r="E287" s="23">
        <v>281.0</v>
      </c>
      <c r="F287" s="24" t="s">
        <v>97</v>
      </c>
      <c r="G287" s="21" t="s">
        <v>71</v>
      </c>
      <c r="H287" s="24" t="s">
        <v>105</v>
      </c>
      <c r="I287" s="24" t="s">
        <v>95</v>
      </c>
      <c r="J287" s="24" t="s">
        <v>74</v>
      </c>
      <c r="K287" s="24" t="s">
        <v>101</v>
      </c>
      <c r="L287" s="21" t="s">
        <v>92</v>
      </c>
      <c r="M287" s="24" t="s">
        <v>85</v>
      </c>
      <c r="N287" s="21" t="s">
        <v>86</v>
      </c>
      <c r="O287" s="21" t="s">
        <v>79</v>
      </c>
      <c r="P287" s="21" t="s">
        <v>80</v>
      </c>
      <c r="Q287" s="24" t="s">
        <v>96</v>
      </c>
      <c r="R287" s="24" t="s">
        <v>81</v>
      </c>
      <c r="S287" s="25">
        <v>2112.16001296043</v>
      </c>
      <c r="T287" s="25">
        <v>484.469052791595</v>
      </c>
      <c r="U287" s="25">
        <v>2.25036914908314</v>
      </c>
      <c r="V287" s="25">
        <v>7.86121568223807</v>
      </c>
      <c r="W287" s="25">
        <v>2.80378595513959</v>
      </c>
      <c r="X287" s="25">
        <v>0.708784462676493</v>
      </c>
      <c r="Y287" s="25">
        <v>0.0759079662100264</v>
      </c>
      <c r="Z287" s="25">
        <v>0.00869138226339759</v>
      </c>
      <c r="AA287" s="25">
        <v>0.0932275831682748</v>
      </c>
      <c r="AB287" s="25">
        <v>0.804706835667644</v>
      </c>
      <c r="AC287" s="25">
        <v>0.0754751808924065</v>
      </c>
      <c r="AD287" s="25">
        <v>0.0928220348075365</v>
      </c>
      <c r="AE287" s="25">
        <v>0.807478646136444</v>
      </c>
      <c r="AF287" s="25">
        <v>0.0996443851214531</v>
      </c>
      <c r="AG287" s="25">
        <v>0.125171176580288</v>
      </c>
      <c r="AH287" s="25">
        <v>0.653034166496882</v>
      </c>
      <c r="AI287" s="25">
        <v>10.0</v>
      </c>
      <c r="AJ287" s="25">
        <v>2.25036914908308</v>
      </c>
      <c r="AK287" s="25">
        <v>7.86121568223807</v>
      </c>
      <c r="AL287" s="25">
        <v>2.80378595513959</v>
      </c>
      <c r="AM287" s="25">
        <v>0.708714054476634</v>
      </c>
      <c r="AN287" s="25">
        <v>1.84914193186396</v>
      </c>
      <c r="AO287" s="25">
        <v>5.17171207002337</v>
      </c>
      <c r="AP287" s="25">
        <v>2.27413985278464</v>
      </c>
      <c r="AQ287" s="25">
        <v>0.807478646136444</v>
      </c>
      <c r="AR287" s="25">
        <v>2.44128743547557</v>
      </c>
      <c r="AS287" s="25">
        <v>9.40461102375789</v>
      </c>
      <c r="AT287" s="25">
        <v>3.06669382621707</v>
      </c>
      <c r="AU287" s="25">
        <v>0.653034166496882</v>
      </c>
      <c r="AV287" s="26">
        <f t="shared" ref="AV287:AW287" si="577">(AC287-AC$289)/AC$290</f>
        <v>0.3711094528</v>
      </c>
      <c r="AW287" s="27">
        <f t="shared" si="577"/>
        <v>0.3263793524</v>
      </c>
      <c r="AX287" s="27">
        <f t="shared" si="5"/>
        <v>0.2656768196</v>
      </c>
      <c r="AY287" s="28">
        <f t="shared" si="6"/>
        <v>0.2531339409</v>
      </c>
      <c r="AZ287" s="29">
        <f t="shared" si="7"/>
        <v>0.3006961323</v>
      </c>
      <c r="BA287" s="28">
        <f t="shared" si="8"/>
        <v>0.267548395</v>
      </c>
      <c r="BB287" s="29">
        <f t="shared" si="9"/>
        <v>0.08204546334</v>
      </c>
      <c r="BC287" s="27">
        <f t="shared" si="10"/>
        <v>0.2257493977</v>
      </c>
      <c r="BD287" s="28">
        <f t="shared" si="11"/>
        <v>0.1615317851</v>
      </c>
      <c r="BE287" s="30">
        <f t="shared" ref="BE287:BF287" si="578">((S287-S$289)/S$290)</f>
        <v>-0.2847240724</v>
      </c>
      <c r="BF287" s="30">
        <f t="shared" si="578"/>
        <v>-0.2530869661</v>
      </c>
    </row>
    <row r="288">
      <c r="A288" s="21" t="s">
        <v>88</v>
      </c>
      <c r="B288" s="22">
        <f t="shared" si="3"/>
        <v>-0.1501759545</v>
      </c>
      <c r="C288" s="21" t="s">
        <v>68</v>
      </c>
      <c r="D288" s="21" t="s">
        <v>69</v>
      </c>
      <c r="E288" s="23">
        <v>235.0</v>
      </c>
      <c r="F288" s="24" t="s">
        <v>97</v>
      </c>
      <c r="G288" s="21" t="s">
        <v>71</v>
      </c>
      <c r="H288" s="24" t="s">
        <v>105</v>
      </c>
      <c r="I288" s="24" t="s">
        <v>95</v>
      </c>
      <c r="J288" s="24" t="s">
        <v>90</v>
      </c>
      <c r="K288" s="24" t="s">
        <v>101</v>
      </c>
      <c r="L288" s="21" t="s">
        <v>92</v>
      </c>
      <c r="M288" s="24" t="s">
        <v>85</v>
      </c>
      <c r="N288" s="21" t="s">
        <v>86</v>
      </c>
      <c r="O288" s="21" t="s">
        <v>79</v>
      </c>
      <c r="P288" s="21" t="s">
        <v>80</v>
      </c>
      <c r="Q288" s="24" t="s">
        <v>96</v>
      </c>
      <c r="R288" s="24" t="s">
        <v>93</v>
      </c>
      <c r="S288" s="25">
        <v>3056.19802069664</v>
      </c>
      <c r="T288" s="25">
        <v>549.269869804382</v>
      </c>
      <c r="U288" s="25">
        <v>2.33320741806705</v>
      </c>
      <c r="V288" s="25">
        <v>9.12793367592219</v>
      </c>
      <c r="W288" s="25">
        <v>3.02124703986982</v>
      </c>
      <c r="X288" s="25">
        <v>0.66198967466907</v>
      </c>
      <c r="Y288" s="25">
        <v>0.0525428379479561</v>
      </c>
      <c r="Z288" s="25">
        <v>0.00435414738272152</v>
      </c>
      <c r="AA288" s="25">
        <v>0.0659859635280225</v>
      </c>
      <c r="AB288" s="25">
        <v>0.902163408009082</v>
      </c>
      <c r="AC288" s="25">
        <v>0.0521840821195131</v>
      </c>
      <c r="AD288" s="25">
        <v>0.0656746815008521</v>
      </c>
      <c r="AE288" s="25">
        <v>0.903623158698005</v>
      </c>
      <c r="AF288" s="25">
        <v>0.11009558122457</v>
      </c>
      <c r="AG288" s="25">
        <v>0.141768239722294</v>
      </c>
      <c r="AH288" s="25">
        <v>0.554922196814659</v>
      </c>
      <c r="AI288" s="25">
        <v>10.0</v>
      </c>
      <c r="AJ288" s="25">
        <v>2.33320741806697</v>
      </c>
      <c r="AK288" s="25">
        <v>9.12793367592219</v>
      </c>
      <c r="AL288" s="25">
        <v>3.02124703986982</v>
      </c>
      <c r="AM288" s="25">
        <v>0.661777656416036</v>
      </c>
      <c r="AN288" s="25">
        <v>1.27851001192804</v>
      </c>
      <c r="AO288" s="25">
        <v>2.58897656509056</v>
      </c>
      <c r="AP288" s="25">
        <v>1.60902969677087</v>
      </c>
      <c r="AQ288" s="25">
        <v>0.903623158698005</v>
      </c>
      <c r="AR288" s="25">
        <v>2.69734174000186</v>
      </c>
      <c r="AS288" s="25">
        <v>12.0639648348233</v>
      </c>
      <c r="AT288" s="25">
        <v>3.47332187319623</v>
      </c>
      <c r="AU288" s="25">
        <v>0.554922196814659</v>
      </c>
      <c r="AV288" s="26">
        <f t="shared" ref="AV288:AW288" si="579">(AC288-AC$289)/AC$290</f>
        <v>-0.1069324305</v>
      </c>
      <c r="AW288" s="27">
        <f t="shared" si="579"/>
        <v>-0.1123042007</v>
      </c>
      <c r="AX288" s="27">
        <f t="shared" si="5"/>
        <v>0.3741250526</v>
      </c>
      <c r="AY288" s="28">
        <f t="shared" si="6"/>
        <v>0.3884691658</v>
      </c>
      <c r="AZ288" s="29">
        <f t="shared" si="7"/>
        <v>0.343216349</v>
      </c>
      <c r="BA288" s="28">
        <f t="shared" si="8"/>
        <v>0.3537758447</v>
      </c>
      <c r="BB288" s="29">
        <f t="shared" si="9"/>
        <v>-0.02306449669</v>
      </c>
      <c r="BC288" s="27">
        <f t="shared" si="10"/>
        <v>0.3729765499</v>
      </c>
      <c r="BD288" s="28">
        <f t="shared" si="11"/>
        <v>0.222920544</v>
      </c>
      <c r="BE288" s="30">
        <f t="shared" ref="BE288:BF288" si="580">((S288-S$289)/S$290)</f>
        <v>-0.03774405613</v>
      </c>
      <c r="BF288" s="30">
        <f t="shared" si="580"/>
        <v>-0.1235028225</v>
      </c>
    </row>
    <row r="289">
      <c r="A289" s="21" t="s">
        <v>67</v>
      </c>
      <c r="B289" s="22">
        <f t="shared" si="3"/>
        <v>0</v>
      </c>
      <c r="C289" s="21" t="s">
        <v>68</v>
      </c>
      <c r="D289" s="21" t="s">
        <v>69</v>
      </c>
      <c r="E289" s="23">
        <v>197.0</v>
      </c>
      <c r="F289" s="24" t="s">
        <v>97</v>
      </c>
      <c r="G289" s="21" t="s">
        <v>82</v>
      </c>
      <c r="H289" s="24" t="s">
        <v>98</v>
      </c>
      <c r="I289" s="24" t="s">
        <v>95</v>
      </c>
      <c r="J289" s="24" t="s">
        <v>90</v>
      </c>
      <c r="K289" s="24" t="s">
        <v>101</v>
      </c>
      <c r="L289" s="21" t="s">
        <v>92</v>
      </c>
      <c r="M289" s="24" t="s">
        <v>85</v>
      </c>
      <c r="N289" s="21" t="s">
        <v>78</v>
      </c>
      <c r="O289" s="21" t="s">
        <v>79</v>
      </c>
      <c r="P289" s="21" t="s">
        <v>80</v>
      </c>
      <c r="Q289" s="24" t="s">
        <v>94</v>
      </c>
      <c r="R289" s="24" t="s">
        <v>96</v>
      </c>
      <c r="S289" s="25">
        <v>3200.4680879116</v>
      </c>
      <c r="T289" s="25">
        <v>611.029615879058</v>
      </c>
      <c r="U289" s="25">
        <v>1.66455023713172</v>
      </c>
      <c r="V289" s="25">
        <v>4.53282409717576</v>
      </c>
      <c r="W289" s="25">
        <v>2.12904300031158</v>
      </c>
      <c r="X289" s="25">
        <v>0.832238547292109</v>
      </c>
      <c r="Y289" s="25">
        <v>0.0575031212463061</v>
      </c>
      <c r="Z289" s="25">
        <v>0.00529546000460352</v>
      </c>
      <c r="AA289" s="25">
        <v>0.07276991139615</v>
      </c>
      <c r="AB289" s="25">
        <v>0.8814881753953</v>
      </c>
      <c r="AC289" s="25">
        <v>0.0573940310560754</v>
      </c>
      <c r="AD289" s="25">
        <v>0.0726244788963423</v>
      </c>
      <c r="AE289" s="25">
        <v>0.882525968758053</v>
      </c>
      <c r="AF289" s="25">
        <v>0.0740410123140825</v>
      </c>
      <c r="AG289" s="25">
        <v>0.0941276695828247</v>
      </c>
      <c r="AH289" s="25">
        <v>0.803473251525997</v>
      </c>
      <c r="AI289" s="25">
        <v>10.0</v>
      </c>
      <c r="AJ289" s="25">
        <v>1.66455023713171</v>
      </c>
      <c r="AK289" s="25">
        <v>4.53282409717576</v>
      </c>
      <c r="AL289" s="25">
        <v>2.12904300031158</v>
      </c>
      <c r="AM289" s="25">
        <v>0.832217450022071</v>
      </c>
      <c r="AN289" s="25">
        <v>1.40615376087386</v>
      </c>
      <c r="AO289" s="25">
        <v>3.16590753971292</v>
      </c>
      <c r="AP289" s="25">
        <v>1.77929973296039</v>
      </c>
      <c r="AQ289" s="25">
        <v>0.882525968758053</v>
      </c>
      <c r="AR289" s="25">
        <v>1.81400480169503</v>
      </c>
      <c r="AS289" s="25">
        <v>5.31822591320133</v>
      </c>
      <c r="AT289" s="25">
        <v>2.3061279047792</v>
      </c>
      <c r="AU289" s="25">
        <v>0.803473251525997</v>
      </c>
      <c r="AV289" s="26">
        <f t="shared" ref="AV289:AW289" si="581">(AC289-AC$289)/AC$290</f>
        <v>0</v>
      </c>
      <c r="AW289" s="27">
        <f t="shared" si="581"/>
        <v>0</v>
      </c>
      <c r="AX289" s="27">
        <f t="shared" si="5"/>
        <v>0</v>
      </c>
      <c r="AY289" s="28">
        <f t="shared" si="6"/>
        <v>0</v>
      </c>
      <c r="AZ289" s="29">
        <f t="shared" si="7"/>
        <v>0</v>
      </c>
      <c r="BA289" s="28">
        <f t="shared" si="8"/>
        <v>0</v>
      </c>
      <c r="BB289" s="29">
        <f t="shared" si="9"/>
        <v>0</v>
      </c>
      <c r="BC289" s="27">
        <f t="shared" si="10"/>
        <v>0</v>
      </c>
      <c r="BD289" s="28">
        <f t="shared" si="11"/>
        <v>0</v>
      </c>
      <c r="BE289" s="30">
        <f t="shared" ref="BE289:BF289" si="582">((S289-S$289)/S$290)</f>
        <v>0</v>
      </c>
      <c r="BF289" s="30">
        <f t="shared" si="582"/>
        <v>0</v>
      </c>
    </row>
    <row r="290">
      <c r="A290" s="21" t="s">
        <v>88</v>
      </c>
      <c r="B290" s="22">
        <f t="shared" si="3"/>
        <v>-0.05579894568</v>
      </c>
      <c r="C290" s="21" t="s">
        <v>68</v>
      </c>
      <c r="D290" s="21" t="s">
        <v>69</v>
      </c>
      <c r="E290" s="23">
        <v>164.0</v>
      </c>
      <c r="F290" s="24" t="s">
        <v>97</v>
      </c>
      <c r="G290" s="21" t="s">
        <v>82</v>
      </c>
      <c r="H290" s="24" t="s">
        <v>98</v>
      </c>
      <c r="I290" s="24" t="s">
        <v>95</v>
      </c>
      <c r="J290" s="24" t="s">
        <v>90</v>
      </c>
      <c r="K290" s="24" t="s">
        <v>101</v>
      </c>
      <c r="L290" s="21" t="s">
        <v>92</v>
      </c>
      <c r="M290" s="24" t="s">
        <v>85</v>
      </c>
      <c r="N290" s="21" t="s">
        <v>78</v>
      </c>
      <c r="O290" s="21" t="s">
        <v>91</v>
      </c>
      <c r="P290" s="21" t="s">
        <v>80</v>
      </c>
      <c r="Q290" s="24" t="s">
        <v>96</v>
      </c>
      <c r="R290" s="24" t="s">
        <v>96</v>
      </c>
      <c r="S290" s="25">
        <v>3822.32547354698</v>
      </c>
      <c r="T290" s="25">
        <v>500.067486763</v>
      </c>
      <c r="U290" s="25">
        <v>1.94820900245905</v>
      </c>
      <c r="V290" s="25">
        <v>6.36021822940309</v>
      </c>
      <c r="W290" s="25">
        <v>2.52194730900609</v>
      </c>
      <c r="X290" s="25">
        <v>0.76465156475215</v>
      </c>
      <c r="Y290" s="25">
        <v>0.0489441802544848</v>
      </c>
      <c r="Z290" s="25">
        <v>0.00385207490880882</v>
      </c>
      <c r="AA290" s="25">
        <v>0.0620650860694547</v>
      </c>
      <c r="AB290" s="25">
        <v>0.913790978392802</v>
      </c>
      <c r="AC290" s="25">
        <v>0.0487218789532583</v>
      </c>
      <c r="AD290" s="25">
        <v>0.0618836815605174</v>
      </c>
      <c r="AE290" s="25">
        <v>0.91470411115771</v>
      </c>
      <c r="AF290" s="25">
        <v>0.0963703677613813</v>
      </c>
      <c r="AG290" s="25">
        <v>0.122636683523426</v>
      </c>
      <c r="AH290" s="25">
        <v>0.666398610846096</v>
      </c>
      <c r="AI290" s="25">
        <v>10.0</v>
      </c>
      <c r="AJ290" s="25">
        <v>1.94820900245906</v>
      </c>
      <c r="AK290" s="25">
        <v>6.36021822940309</v>
      </c>
      <c r="AL290" s="25">
        <v>2.52194730900609</v>
      </c>
      <c r="AM290" s="25">
        <v>0.764576429601526</v>
      </c>
      <c r="AN290" s="25">
        <v>1.19368603435479</v>
      </c>
      <c r="AO290" s="25">
        <v>2.29871142360097</v>
      </c>
      <c r="AP290" s="25">
        <v>1.51615019823267</v>
      </c>
      <c r="AQ290" s="25">
        <v>0.91470411115771</v>
      </c>
      <c r="AR290" s="25">
        <v>2.36107401015389</v>
      </c>
      <c r="AS290" s="25">
        <v>9.02761362641149</v>
      </c>
      <c r="AT290" s="25">
        <v>3.00459874632395</v>
      </c>
      <c r="AU290" s="25">
        <v>0.666398610846096</v>
      </c>
      <c r="AV290" s="26">
        <f t="shared" ref="AV290:AW290" si="583">(AC290-AC$289)/AC$290</f>
        <v>-0.1779929734</v>
      </c>
      <c r="AW290" s="27">
        <f t="shared" si="583"/>
        <v>-0.1735642913</v>
      </c>
      <c r="AX290" s="27">
        <f t="shared" si="5"/>
        <v>0.2317035409</v>
      </c>
      <c r="AY290" s="28">
        <f t="shared" si="6"/>
        <v>0.2324672612</v>
      </c>
      <c r="AZ290" s="29">
        <f t="shared" si="7"/>
        <v>0.1455997611</v>
      </c>
      <c r="BA290" s="28">
        <f t="shared" si="8"/>
        <v>0.1557940197</v>
      </c>
      <c r="BB290" s="29">
        <f t="shared" si="9"/>
        <v>-0.0351787447</v>
      </c>
      <c r="BC290" s="27">
        <f t="shared" si="10"/>
        <v>0.2056946675</v>
      </c>
      <c r="BD290" s="28">
        <f t="shared" si="11"/>
        <v>0.08846861844</v>
      </c>
      <c r="BE290" s="30">
        <f t="shared" ref="BE290:BF290" si="584">((S290-S$289)/S$290)</f>
        <v>0.1626908514</v>
      </c>
      <c r="BF290" s="30">
        <f t="shared" si="584"/>
        <v>-0.2218943084</v>
      </c>
    </row>
    <row r="291">
      <c r="E291" s="31"/>
      <c r="S291" s="32"/>
      <c r="T291" s="32"/>
      <c r="AV291" s="26"/>
    </row>
    <row r="292">
      <c r="E292" s="31"/>
      <c r="P292" s="33" t="s">
        <v>106</v>
      </c>
      <c r="Q292" s="34"/>
      <c r="R292" s="15"/>
      <c r="S292" s="35">
        <f t="shared" ref="S292:AU292" si="585">AVERAGE(S3:S290)</f>
        <v>474.2768936</v>
      </c>
      <c r="T292" s="35">
        <f t="shared" si="585"/>
        <v>341.8652208</v>
      </c>
      <c r="U292" s="35">
        <f t="shared" si="585"/>
        <v>2.034370711</v>
      </c>
      <c r="V292" s="35">
        <f t="shared" si="585"/>
        <v>7.111632885</v>
      </c>
      <c r="W292" s="35">
        <f t="shared" si="585"/>
        <v>2.577476941</v>
      </c>
      <c r="X292" s="35">
        <f t="shared" si="585"/>
        <v>0.7319594505</v>
      </c>
      <c r="Y292" s="35">
        <f t="shared" si="585"/>
        <v>0.07456718394</v>
      </c>
      <c r="Z292" s="35">
        <f t="shared" si="585"/>
        <v>0.009863706839</v>
      </c>
      <c r="AA292" s="35">
        <f t="shared" si="585"/>
        <v>0.09275018218</v>
      </c>
      <c r="AB292" s="35">
        <f t="shared" si="585"/>
        <v>0.7867097901</v>
      </c>
      <c r="AC292" s="35">
        <f t="shared" si="585"/>
        <v>0.07451545324</v>
      </c>
      <c r="AD292" s="35">
        <f t="shared" si="585"/>
        <v>0.09264141733</v>
      </c>
      <c r="AE292" s="35">
        <f t="shared" si="585"/>
        <v>0.7879768663</v>
      </c>
      <c r="AF292" s="35">
        <f t="shared" si="585"/>
        <v>0.0907889324</v>
      </c>
      <c r="AG292" s="35">
        <f t="shared" si="585"/>
        <v>0.114609867</v>
      </c>
      <c r="AH292" s="35">
        <f t="shared" si="585"/>
        <v>0.7012881236</v>
      </c>
      <c r="AI292" s="35">
        <f t="shared" si="585"/>
        <v>10</v>
      </c>
      <c r="AJ292" s="35">
        <f t="shared" si="585"/>
        <v>2.034370711</v>
      </c>
      <c r="AK292" s="35">
        <f t="shared" si="585"/>
        <v>7.111632885</v>
      </c>
      <c r="AL292" s="35">
        <f t="shared" si="585"/>
        <v>2.577476941</v>
      </c>
      <c r="AM292" s="35">
        <f t="shared" si="585"/>
        <v>0.7319034951</v>
      </c>
      <c r="AN292" s="35">
        <f t="shared" si="585"/>
        <v>1.778202211</v>
      </c>
      <c r="AO292" s="35">
        <f t="shared" si="585"/>
        <v>5.592292971</v>
      </c>
      <c r="AP292" s="35">
        <f t="shared" si="585"/>
        <v>2.210877272</v>
      </c>
      <c r="AQ292" s="35">
        <f t="shared" si="585"/>
        <v>0.7879768663</v>
      </c>
      <c r="AR292" s="35">
        <f t="shared" si="585"/>
        <v>2.168541549</v>
      </c>
      <c r="AS292" s="35">
        <f t="shared" si="585"/>
        <v>7.954123697</v>
      </c>
      <c r="AT292" s="35">
        <f t="shared" si="585"/>
        <v>2.737622223</v>
      </c>
      <c r="AU292" s="35">
        <f t="shared" si="585"/>
        <v>0.7012881236</v>
      </c>
      <c r="AV292" s="26"/>
    </row>
    <row r="293">
      <c r="E293" s="31"/>
      <c r="P293" s="33" t="s">
        <v>107</v>
      </c>
      <c r="Q293" s="34"/>
      <c r="R293" s="15"/>
      <c r="S293" s="35">
        <f t="shared" ref="S293:AU293" si="586">STDEV(S3:S290)</f>
        <v>468.7982177</v>
      </c>
      <c r="T293" s="35">
        <f t="shared" si="586"/>
        <v>155.6038586</v>
      </c>
      <c r="U293" s="35">
        <f t="shared" si="586"/>
        <v>0.5943703561</v>
      </c>
      <c r="V293" s="35">
        <f t="shared" si="586"/>
        <v>5.063992334</v>
      </c>
      <c r="W293" s="35">
        <f t="shared" si="586"/>
        <v>0.6854757641</v>
      </c>
      <c r="X293" s="35">
        <f t="shared" si="586"/>
        <v>0.1912822812</v>
      </c>
      <c r="Y293" s="35">
        <f t="shared" si="586"/>
        <v>0.03046820714</v>
      </c>
      <c r="Z293" s="35">
        <f t="shared" si="586"/>
        <v>0.0102085999</v>
      </c>
      <c r="AA293" s="35">
        <f t="shared" si="586"/>
        <v>0.03557393229</v>
      </c>
      <c r="AB293" s="35">
        <f t="shared" si="586"/>
        <v>0.2195103219</v>
      </c>
      <c r="AC293" s="35">
        <f t="shared" si="586"/>
        <v>0.0307155042</v>
      </c>
      <c r="AD293" s="35">
        <f t="shared" si="586"/>
        <v>0.03578815885</v>
      </c>
      <c r="AE293" s="35">
        <f t="shared" si="586"/>
        <v>0.2206637477</v>
      </c>
      <c r="AF293" s="35">
        <f t="shared" si="586"/>
        <v>0.02552290897</v>
      </c>
      <c r="AG293" s="35">
        <f t="shared" si="586"/>
        <v>0.02884457458</v>
      </c>
      <c r="AH293" s="35">
        <f t="shared" si="586"/>
        <v>0.1942418148</v>
      </c>
      <c r="AI293" s="35">
        <f t="shared" si="586"/>
        <v>0</v>
      </c>
      <c r="AJ293" s="35">
        <f t="shared" si="586"/>
        <v>0.5943703561</v>
      </c>
      <c r="AK293" s="35">
        <f t="shared" si="586"/>
        <v>5.063992334</v>
      </c>
      <c r="AL293" s="35">
        <f t="shared" si="586"/>
        <v>0.6854757641</v>
      </c>
      <c r="AM293" s="35">
        <f t="shared" si="586"/>
        <v>0.1912721936</v>
      </c>
      <c r="AN293" s="35">
        <f t="shared" si="586"/>
        <v>0.7215108186</v>
      </c>
      <c r="AO293" s="35">
        <f t="shared" si="586"/>
        <v>5.799261013</v>
      </c>
      <c r="AP293" s="35">
        <f t="shared" si="586"/>
        <v>0.8406953774</v>
      </c>
      <c r="AQ293" s="35">
        <f t="shared" si="586"/>
        <v>0.2206637477</v>
      </c>
      <c r="AR293" s="35">
        <f t="shared" si="586"/>
        <v>0.6011319289</v>
      </c>
      <c r="AS293" s="35">
        <f t="shared" si="586"/>
        <v>5.166622609</v>
      </c>
      <c r="AT293" s="35">
        <f t="shared" si="586"/>
        <v>0.679079874</v>
      </c>
      <c r="AU293" s="35">
        <f t="shared" si="586"/>
        <v>0.1942418148</v>
      </c>
      <c r="AV293" s="26"/>
    </row>
  </sheetData>
  <mergeCells count="8">
    <mergeCell ref="C1:D1"/>
    <mergeCell ref="F1:L1"/>
    <mergeCell ref="S1:T1"/>
    <mergeCell ref="U1:AU1"/>
    <mergeCell ref="AV1:AY1"/>
    <mergeCell ref="AZ1:BA1"/>
    <mergeCell ref="BB1:BD1"/>
    <mergeCell ref="BE1:BF1"/>
  </mergeCells>
  <drawing r:id="rId1"/>
</worksheet>
</file>