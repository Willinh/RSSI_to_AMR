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<sst xmlns="http://schemas.openxmlformats.org/spreadsheetml/2006/main" count="692" uniqueCount="228">
  <si>
    <t>Z-Score ERRO</t>
  </si>
  <si>
    <t>Agregadas no Horizonte</t>
  </si>
  <si>
    <t>Acurácia</t>
  </si>
  <si>
    <t>Custo</t>
  </si>
  <si>
    <t>Modelo</t>
  </si>
  <si>
    <t>Z-Score_Composite</t>
  </si>
  <si>
    <t>experiment_folder</t>
  </si>
  <si>
    <t>train_dataset</t>
  </si>
  <si>
    <t>exp_dataset</t>
  </si>
  <si>
    <t>start_training</t>
  </si>
  <si>
    <t>end_training</t>
  </si>
  <si>
    <t>start_pred</t>
  </si>
  <si>
    <t>end_pred</t>
  </si>
  <si>
    <t>group_msec</t>
  </si>
  <si>
    <t>seconds_ahead</t>
  </si>
  <si>
    <t>forecast_steps</t>
  </si>
  <si>
    <t>timesteps_orig</t>
  </si>
  <si>
    <t>Epochs</t>
  </si>
  <si>
    <t>batch_size</t>
  </si>
  <si>
    <t>units_range</t>
  </si>
  <si>
    <t>best_layers</t>
  </si>
  <si>
    <t>best_activation</t>
  </si>
  <si>
    <t>best_optimizer</t>
  </si>
  <si>
    <t>best_dropout</t>
  </si>
  <si>
    <t>best_units_l1</t>
  </si>
  <si>
    <t>best_units_l2</t>
  </si>
  <si>
    <t>train_time_s</t>
  </si>
  <si>
    <t>pred_time_s</t>
  </si>
  <si>
    <t>direct_mae</t>
  </si>
  <si>
    <t>direct_mse</t>
  </si>
  <si>
    <t>direct_rmse</t>
  </si>
  <si>
    <t>direct_r2</t>
  </si>
  <si>
    <t>multi_mae</t>
  </si>
  <si>
    <t>multi_mse</t>
  </si>
  <si>
    <t>multi_rmse</t>
  </si>
  <si>
    <t>multi_r2</t>
  </si>
  <si>
    <t>step1_mae</t>
  </si>
  <si>
    <t>step1_rmse</t>
  </si>
  <si>
    <t>step1_r2</t>
  </si>
  <si>
    <t>stepN_mae</t>
  </si>
  <si>
    <t>stepN_rmse</t>
  </si>
  <si>
    <t>stepN_r2</t>
  </si>
  <si>
    <t>tuner_trials</t>
  </si>
  <si>
    <t>multi_mae_den</t>
  </si>
  <si>
    <t>multi_mse_den</t>
  </si>
  <si>
    <t>multi_rmse_den</t>
  </si>
  <si>
    <t>multi_r2_den</t>
  </si>
  <si>
    <t>step1_mae_den</t>
  </si>
  <si>
    <t>step1_mse_den</t>
  </si>
  <si>
    <t>step1_rmse_den</t>
  </si>
  <si>
    <t>step1_r2_den</t>
  </si>
  <si>
    <t>stepN_mae_den</t>
  </si>
  <si>
    <t>stepN_mse_den</t>
  </si>
  <si>
    <t>stepN_rmse_den</t>
  </si>
  <si>
    <t>stepN_r2_den</t>
  </si>
  <si>
    <t>Z-MAE@1</t>
  </si>
  <si>
    <t>Z-RMSE@1</t>
  </si>
  <si>
    <t>Z-MAE@H</t>
  </si>
  <si>
    <t>Z-RMSE@H</t>
  </si>
  <si>
    <t>Z-MAE@multi</t>
  </si>
  <si>
    <t>Z-RMSE@multi</t>
  </si>
  <si>
    <t>Z-R²@1</t>
  </si>
  <si>
    <t>Z-R²@H</t>
  </si>
  <si>
    <t>Z-R²MedH</t>
  </si>
  <si>
    <t>Z-T@Tra</t>
  </si>
  <si>
    <t>Z-T@Pre</t>
  </si>
  <si>
    <t>LSTM</t>
  </si>
  <si>
    <t>experiments\lstm_training_report_2025-09-22_14-41-35</t>
  </si>
  <si>
    <t>rssi_odom_dataset_12apr25_isolado.parquet</t>
  </si>
  <si>
    <t>rssi_odom_dataset_11apr25_isolado.parquet</t>
  </si>
  <si>
    <t>2025-09-22_14-41-35</t>
  </si>
  <si>
    <t>2025-09-22_14-45-14</t>
  </si>
  <si>
    <t>2025-09-22_14-48-01</t>
  </si>
  <si>
    <t>100</t>
  </si>
  <si>
    <t>3.0</t>
  </si>
  <si>
    <t>30</t>
  </si>
  <si>
    <t>60</t>
  </si>
  <si>
    <t>1024</t>
  </si>
  <si>
    <t>64-256:64</t>
  </si>
  <si>
    <t>1</t>
  </si>
  <si>
    <t>tanh</t>
  </si>
  <si>
    <t>adam</t>
  </si>
  <si>
    <t>0.2</t>
  </si>
  <si>
    <t>128</t>
  </si>
  <si>
    <t>GRU</t>
  </si>
  <si>
    <t>experiments\gru_training_report_2025-09-22_10-30-20</t>
  </si>
  <si>
    <t>2025-09-22_10-30-20</t>
  </si>
  <si>
    <t>2025-09-22_10-36-37</t>
  </si>
  <si>
    <t>2025-09-22_10-39-37</t>
  </si>
  <si>
    <t>120</t>
  </si>
  <si>
    <t>256</t>
  </si>
  <si>
    <t>Nadam</t>
  </si>
  <si>
    <t>192</t>
  </si>
  <si>
    <t>experiments\gru_training_report_2025-09-22_10-18-18</t>
  </si>
  <si>
    <t>2025-09-22_10-18-18</t>
  </si>
  <si>
    <t>2025-09-22_10-20-27</t>
  </si>
  <si>
    <t>2025-09-22_10-23-13</t>
  </si>
  <si>
    <t>16-64:16</t>
  </si>
  <si>
    <t>64</t>
  </si>
  <si>
    <t>experiments\gru_training_report_2025-09-22_10-23-20</t>
  </si>
  <si>
    <t>2025-09-22_10-23-20</t>
  </si>
  <si>
    <t>2025-09-22_10-27-27</t>
  </si>
  <si>
    <t>2025-09-22_10-30-14</t>
  </si>
  <si>
    <t>48</t>
  </si>
  <si>
    <t>experiments\gru_training_report_2025-09-22_06-56-33</t>
  </si>
  <si>
    <t>2025-09-22_06-56-33</t>
  </si>
  <si>
    <t>2025-09-22_07-09-13</t>
  </si>
  <si>
    <t>2025-09-22_07-16-59</t>
  </si>
  <si>
    <t>40</t>
  </si>
  <si>
    <t>75</t>
  </si>
  <si>
    <t>2</t>
  </si>
  <si>
    <t>elu</t>
  </si>
  <si>
    <t>rmsprop</t>
  </si>
  <si>
    <t>experiments\lstm_training_report_2025-09-22_14-58-54</t>
  </si>
  <si>
    <t>2025-09-22_14-58-54</t>
  </si>
  <si>
    <t>2025-09-22_15-01-55</t>
  </si>
  <si>
    <t>2025-09-22_15-04-51</t>
  </si>
  <si>
    <t>experiments\gru_training_report_2025-09-22_07-53-38</t>
  </si>
  <si>
    <t>2025-09-22_07-53-38</t>
  </si>
  <si>
    <t>2025-09-22_08-00-57</t>
  </si>
  <si>
    <t>2025-09-22_08-08-43</t>
  </si>
  <si>
    <t>experiments\lstm_training_report_2025-09-22_14-48-08</t>
  </si>
  <si>
    <t>2025-09-22_14-48-08</t>
  </si>
  <si>
    <t>2025-09-22_14-55-54</t>
  </si>
  <si>
    <t>2025-09-22_14-58-47</t>
  </si>
  <si>
    <t>experiments\gru_training_report_2025-09-22_10-57-51</t>
  </si>
  <si>
    <t>2025-09-22_10-57-51</t>
  </si>
  <si>
    <t>2025-09-22_11-02-00</t>
  </si>
  <si>
    <t>2025-09-22_11-04-59</t>
  </si>
  <si>
    <t>10.0</t>
  </si>
  <si>
    <t>relu</t>
  </si>
  <si>
    <t>experiments\lstm_training_report_2025-09-22_11-54-11</t>
  </si>
  <si>
    <t>2025-09-22_11-54-11</t>
  </si>
  <si>
    <t>2025-09-22_12-13-25</t>
  </si>
  <si>
    <t>2025-09-22_12-20-28</t>
  </si>
  <si>
    <t>experiments\gru_training_report_2025-09-22_08-24-24</t>
  </si>
  <si>
    <t>2025-09-22_08-24-24</t>
  </si>
  <si>
    <t>2025-09-22_08-27-39</t>
  </si>
  <si>
    <t>2025-09-22_08-34-26</t>
  </si>
  <si>
    <t>250</t>
  </si>
  <si>
    <t>16</t>
  </si>
  <si>
    <t>experiments\lstm_training_report_2025-09-22_11-42-13</t>
  </si>
  <si>
    <t>2025-09-22_11-42-13</t>
  </si>
  <si>
    <t>2025-09-22_11-47-05</t>
  </si>
  <si>
    <t>2025-09-22_11-54-01</t>
  </si>
  <si>
    <t>experiments\gru_training_report_2025-09-22_10-39-43</t>
  </si>
  <si>
    <t>2025-09-22_10-39-43</t>
  </si>
  <si>
    <t>2025-09-22_10-54-47</t>
  </si>
  <si>
    <t>2025-09-22_10-57-43</t>
  </si>
  <si>
    <t>experiments\gru_training_report_2025-09-22_08-50-11</t>
  </si>
  <si>
    <t>2025-09-22_08-50-11</t>
  </si>
  <si>
    <t>2025-09-22_09-06-48</t>
  </si>
  <si>
    <t>2025-09-22_09-13-55</t>
  </si>
  <si>
    <t>experiments\lstm_training_report_2025-09-22_15-04-57</t>
  </si>
  <si>
    <t>2025-09-22_15-04-57</t>
  </si>
  <si>
    <t>2025-09-22_15-16-46</t>
  </si>
  <si>
    <t>2025-09-22_15-19-44</t>
  </si>
  <si>
    <t>experiments\lstm_training_report_2025-09-22_15-20-01</t>
  </si>
  <si>
    <t>2025-09-22_15-20-01</t>
  </si>
  <si>
    <t>2025-09-22_15-21-19</t>
  </si>
  <si>
    <t>2025-09-22_15-24-03</t>
  </si>
  <si>
    <t>experiments\gru_training_report_2025-09-22_08-08-54</t>
  </si>
  <si>
    <t>2025-09-22_08-08-54</t>
  </si>
  <si>
    <t>2025-09-22_08-16-59</t>
  </si>
  <si>
    <t>2025-09-22_08-24-10</t>
  </si>
  <si>
    <t>experiments\lstm_training_report_2025-09-22_11-31-11</t>
  </si>
  <si>
    <t>2025-09-22_11-31-11</t>
  </si>
  <si>
    <t>2025-09-22_11-34-59</t>
  </si>
  <si>
    <t>2025-09-22_11-42-05</t>
  </si>
  <si>
    <t>experiments\lstm_training_report_2025-09-22_15-42-28</t>
  </si>
  <si>
    <t>2025-09-22_15-42-28</t>
  </si>
  <si>
    <t>2025-09-22_16-06-11</t>
  </si>
  <si>
    <t>2025-09-22_16-09-29</t>
  </si>
  <si>
    <t>experiments\lstm_training_report_2025-09-22_13-20-15</t>
  </si>
  <si>
    <t>2025-09-22_13-20-15</t>
  </si>
  <si>
    <t>2025-09-22_13-32-45</t>
  </si>
  <si>
    <t>2025-09-22_13-39-41</t>
  </si>
  <si>
    <t>experiments\lstm_training_report_2025-09-22_14-09-09</t>
  </si>
  <si>
    <t>2025-09-22_14-09-09</t>
  </si>
  <si>
    <t>2025-09-22_14-15-03</t>
  </si>
  <si>
    <t>2025-09-22_14-21-51</t>
  </si>
  <si>
    <t>experiments\gru_training_report_2025-09-22_07-17-07</t>
  </si>
  <si>
    <t>2025-09-22_07-17-07</t>
  </si>
  <si>
    <t>2025-09-22_07-45-48</t>
  </si>
  <si>
    <t>2025-09-22_07-53-27</t>
  </si>
  <si>
    <t>experiments\lstm_training_report_2025-09-22_12-20-37</t>
  </si>
  <si>
    <t>2025-09-22_12-20-37</t>
  </si>
  <si>
    <t>2025-09-22_13-11-45</t>
  </si>
  <si>
    <t>2025-09-22_13-20-05</t>
  </si>
  <si>
    <t>experiments\gru_training_report_2025-09-22_11-05-16</t>
  </si>
  <si>
    <t>2025-09-22_11-05-16</t>
  </si>
  <si>
    <t>2025-09-22_11-11-36</t>
  </si>
  <si>
    <t>2025-09-22_11-14-28</t>
  </si>
  <si>
    <t>experiments\lstm_training_report_2025-09-22_15-24-12</t>
  </si>
  <si>
    <t>2025-09-22_15-24-12</t>
  </si>
  <si>
    <t>2025-09-22_15-27-52</t>
  </si>
  <si>
    <t>2025-09-22_15-30-34</t>
  </si>
  <si>
    <t>experiments\gru_training_report_2025-09-22_11-20-26</t>
  </si>
  <si>
    <t>2025-09-22_11-20-26</t>
  </si>
  <si>
    <t>2025-09-22_11-28-17</t>
  </si>
  <si>
    <t>2025-09-22_11-31-03</t>
  </si>
  <si>
    <t>32</t>
  </si>
  <si>
    <t>experiments\gru_training_report_2025-09-22_08-34-42</t>
  </si>
  <si>
    <t>2025-09-22_08-34-42</t>
  </si>
  <si>
    <t>2025-09-22_08-42-49</t>
  </si>
  <si>
    <t>2025-09-22_08-49-55</t>
  </si>
  <si>
    <t>experiments\lstm_training_report_2025-09-22_13-39-57</t>
  </si>
  <si>
    <t>2025-09-22_13-39-57</t>
  </si>
  <si>
    <t>2025-09-22_14-01-43</t>
  </si>
  <si>
    <t>2025-09-22_14-08-53</t>
  </si>
  <si>
    <t>experiments\gru_training_report_2025-09-22_09-14-11</t>
  </si>
  <si>
    <t>2025-09-22_09-14-11</t>
  </si>
  <si>
    <t>2025-09-22_10-09-50</t>
  </si>
  <si>
    <t>2025-09-22_10-18-01</t>
  </si>
  <si>
    <t>experiments\lstm_training_report_2025-09-22_14-22-06</t>
  </si>
  <si>
    <t>2025-09-22_14-22-06</t>
  </si>
  <si>
    <t>2025-09-22_14-34-32</t>
  </si>
  <si>
    <t>2025-09-22_14-41-19</t>
  </si>
  <si>
    <t>experiments\lstm_training_report_2025-09-22_15-30-43</t>
  </si>
  <si>
    <t>2025-09-22_15-30-43</t>
  </si>
  <si>
    <t>2025-09-22_15-39-17</t>
  </si>
  <si>
    <t>2025-09-22_15-42-20</t>
  </si>
  <si>
    <t>experiments\gru_training_report_2025-09-22_11-14-37</t>
  </si>
  <si>
    <t>2025-09-22_11-14-37</t>
  </si>
  <si>
    <t>2025-09-22_11-17-16</t>
  </si>
  <si>
    <t>2025-09-22_11-20-17</t>
  </si>
  <si>
    <t>Médias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</si>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</sst>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4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6" fillId="2" fontId="3" numFmtId="0" xfId="0" applyAlignment="1" applyBorder="1" applyFill="1" applyFont="1">
      <alignment horizontal="center" vertical="bottom"/>
    </xf>
    <xf borderId="6" fillId="0" fontId="1" numFmtId="164" xfId="0" applyAlignment="1" applyBorder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3" t="s">
        <v>0</v>
      </c>
      <c r="BA1" s="4"/>
      <c r="BB1" s="4"/>
      <c r="BC1" s="5"/>
      <c r="BD1" s="3" t="s">
        <v>1</v>
      </c>
      <c r="BE1" s="5"/>
      <c r="BF1" s="3" t="s">
        <v>2</v>
      </c>
      <c r="BG1" s="4"/>
      <c r="BH1" s="5"/>
      <c r="BI1" s="6" t="s">
        <v>3</v>
      </c>
    </row>
    <row r="2">
      <c r="A2" s="7" t="s">
        <v>4</v>
      </c>
      <c r="B2" s="8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41</v>
      </c>
      <c r="AM2" s="7" t="s">
        <v>42</v>
      </c>
      <c r="AN2" s="7" t="s">
        <v>43</v>
      </c>
      <c r="AO2" s="7" t="s">
        <v>44</v>
      </c>
      <c r="AP2" s="7" t="s">
        <v>45</v>
      </c>
      <c r="AQ2" s="7" t="s">
        <v>46</v>
      </c>
      <c r="AR2" s="7" t="s">
        <v>47</v>
      </c>
      <c r="AS2" s="7" t="s">
        <v>48</v>
      </c>
      <c r="AT2" s="7" t="s">
        <v>49</v>
      </c>
      <c r="AU2" s="7" t="s">
        <v>50</v>
      </c>
      <c r="AV2" s="7" t="s">
        <v>51</v>
      </c>
      <c r="AW2" s="7" t="s">
        <v>52</v>
      </c>
      <c r="AX2" s="7" t="s">
        <v>53</v>
      </c>
      <c r="AY2" s="7" t="s">
        <v>54</v>
      </c>
      <c r="AZ2" s="9" t="s">
        <v>55</v>
      </c>
      <c r="BA2" s="10" t="s">
        <v>56</v>
      </c>
      <c r="BB2" s="10" t="s">
        <v>57</v>
      </c>
      <c r="BC2" s="11" t="s">
        <v>58</v>
      </c>
      <c r="BD2" s="9" t="s">
        <v>59</v>
      </c>
      <c r="BE2" s="11" t="s">
        <v>60</v>
      </c>
      <c r="BF2" s="9" t="s">
        <v>61</v>
      </c>
      <c r="BG2" s="10" t="s">
        <v>62</v>
      </c>
      <c r="BH2" s="11" t="s">
        <v>63</v>
      </c>
      <c r="BI2" s="1" t="s">
        <v>64</v>
      </c>
      <c r="BJ2" s="1" t="s">
        <v>65</v>
      </c>
    </row>
    <row r="3">
      <c r="A3" s="1" t="s">
        <v>66</v>
      </c>
      <c r="B3" s="12">
        <f t="shared" ref="B3:B34" si="3">(((1*AZ3)+(1*BA3)+(1*BB3)+(1*BC3)+(1*BD3)+(1*BE3)+(1*BF3)+(3*BG3)+(2*BH3)+(3*BI3)+(2*BJ3))/17)*-1</f>
        <v>1.035972614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71</v>
      </c>
      <c r="I3" s="1" t="s">
        <v>72</v>
      </c>
      <c r="J3" s="13" t="s">
        <v>73</v>
      </c>
      <c r="K3" s="1" t="s">
        <v>74</v>
      </c>
      <c r="L3" s="13" t="s">
        <v>75</v>
      </c>
      <c r="M3" s="13" t="s">
        <v>76</v>
      </c>
      <c r="N3" s="14">
        <v>20.0</v>
      </c>
      <c r="O3" s="13" t="s">
        <v>77</v>
      </c>
      <c r="P3" s="1" t="s">
        <v>78</v>
      </c>
      <c r="Q3" s="13" t="s">
        <v>79</v>
      </c>
      <c r="R3" s="1" t="s">
        <v>80</v>
      </c>
      <c r="S3" s="1" t="s">
        <v>81</v>
      </c>
      <c r="T3" s="1" t="s">
        <v>82</v>
      </c>
      <c r="U3" s="13" t="s">
        <v>83</v>
      </c>
      <c r="V3" s="1"/>
      <c r="W3" s="15">
        <v>218.89393544197</v>
      </c>
      <c r="X3" s="15">
        <v>166.977711200714</v>
      </c>
      <c r="Y3" s="15">
        <v>1.35632294712949</v>
      </c>
      <c r="Z3" s="15">
        <v>3.24724210959422</v>
      </c>
      <c r="AA3" s="15">
        <v>1.8020105742182</v>
      </c>
      <c r="AB3" s="15">
        <v>0.875307630420859</v>
      </c>
      <c r="AC3" s="15">
        <v>0.0460217587078995</v>
      </c>
      <c r="AD3" s="15">
        <v>0.003638726269537</v>
      </c>
      <c r="AE3" s="15">
        <v>0.0603218556539585</v>
      </c>
      <c r="AF3" s="15">
        <v>0.923461274893948</v>
      </c>
      <c r="AG3" s="15">
        <v>0.0459219010246912</v>
      </c>
      <c r="AH3" s="15">
        <v>0.0601946975545709</v>
      </c>
      <c r="AI3" s="15">
        <v>0.924154316520774</v>
      </c>
      <c r="AJ3" s="15">
        <v>0.060098787653246</v>
      </c>
      <c r="AK3" s="15">
        <v>0.0800237262873955</v>
      </c>
      <c r="AL3" s="15">
        <v>0.866519886403743</v>
      </c>
      <c r="AM3" s="15">
        <v>10.0</v>
      </c>
      <c r="AN3" s="15">
        <v>1.35632294712949</v>
      </c>
      <c r="AO3" s="15">
        <v>3.24724210959422</v>
      </c>
      <c r="AP3" s="15">
        <v>1.8020105742182</v>
      </c>
      <c r="AQ3" s="15">
        <v>0.875285189368965</v>
      </c>
      <c r="AR3" s="15">
        <v>1.07087321972853</v>
      </c>
      <c r="AS3" s="15">
        <v>1.97039307647526</v>
      </c>
      <c r="AT3" s="15">
        <v>1.40370690547395</v>
      </c>
      <c r="AU3" s="15">
        <v>0.924154316520774</v>
      </c>
      <c r="AV3" s="15">
        <v>1.40147033985833</v>
      </c>
      <c r="AW3" s="15">
        <v>3.48236220047317</v>
      </c>
      <c r="AX3" s="15">
        <v>1.86610883939634</v>
      </c>
      <c r="AY3" s="15">
        <v>0.866519886403743</v>
      </c>
      <c r="AZ3" s="12">
        <f t="shared" ref="AZ3:BA3" si="1">(AG3-AG$36)/AG$37</f>
        <v>-0.8677438174</v>
      </c>
      <c r="BA3" s="12">
        <f t="shared" si="1"/>
        <v>-0.8507987739</v>
      </c>
      <c r="BB3" s="12">
        <f t="shared" ref="BB3:BB34" si="5">(AV3-AV$36)/AV$37</f>
        <v>-1.450045286</v>
      </c>
      <c r="BC3" s="12">
        <f t="shared" ref="BC3:BC34" si="6">(AX3-AX$36)/AX$37</f>
        <v>-1.442120265</v>
      </c>
      <c r="BD3" s="12">
        <f t="shared" ref="BD3:BD34" si="7">(AN3-AN$36)/AN$37</f>
        <v>-1.298634081</v>
      </c>
      <c r="BE3" s="12">
        <f t="shared" ref="BE3:BE34" si="8">(AP3-AP$36)/AP$37</f>
        <v>-1.309263317</v>
      </c>
      <c r="BF3" s="12">
        <f t="shared" ref="BF3:BF34" si="9">-((AU3-AU$36)/AU$37)</f>
        <v>-0.7495848817</v>
      </c>
      <c r="BG3" s="12">
        <f t="shared" ref="BG3:BG34" si="10">-((AY3-AY$36)/AY$37)</f>
        <v>-1.165111364</v>
      </c>
      <c r="BH3" s="12">
        <f t="shared" ref="BH3:BH34" si="11">-((AQ3-AQ$36)/AQ$37)</f>
        <v>-1.069473383</v>
      </c>
      <c r="BI3" s="12">
        <f t="shared" ref="BI3:BJ3" si="2">((W3-W$36)/W$37)</f>
        <v>-0.6532765437</v>
      </c>
      <c r="BJ3" s="12">
        <f t="shared" si="2"/>
        <v>-1.024616762</v>
      </c>
    </row>
    <row r="4">
      <c r="A4" s="1" t="s">
        <v>84</v>
      </c>
      <c r="B4" s="12">
        <f t="shared" si="3"/>
        <v>0.8599625999</v>
      </c>
      <c r="C4" s="1" t="s">
        <v>85</v>
      </c>
      <c r="D4" s="1" t="s">
        <v>68</v>
      </c>
      <c r="E4" s="1" t="s">
        <v>69</v>
      </c>
      <c r="F4" s="1" t="s">
        <v>86</v>
      </c>
      <c r="G4" s="1" t="s">
        <v>87</v>
      </c>
      <c r="H4" s="1" t="s">
        <v>87</v>
      </c>
      <c r="I4" s="1" t="s">
        <v>88</v>
      </c>
      <c r="J4" s="13" t="s">
        <v>73</v>
      </c>
      <c r="K4" s="1" t="s">
        <v>74</v>
      </c>
      <c r="L4" s="13" t="s">
        <v>75</v>
      </c>
      <c r="M4" s="13" t="s">
        <v>89</v>
      </c>
      <c r="N4" s="14">
        <v>20.0</v>
      </c>
      <c r="O4" s="13" t="s">
        <v>90</v>
      </c>
      <c r="P4" s="1" t="s">
        <v>78</v>
      </c>
      <c r="Q4" s="13" t="s">
        <v>79</v>
      </c>
      <c r="R4" s="1" t="s">
        <v>80</v>
      </c>
      <c r="S4" s="1" t="s">
        <v>91</v>
      </c>
      <c r="T4" s="1" t="s">
        <v>82</v>
      </c>
      <c r="U4" s="13" t="s">
        <v>92</v>
      </c>
      <c r="V4" s="1"/>
      <c r="W4" s="15">
        <v>377.022311210632</v>
      </c>
      <c r="X4" s="15">
        <v>179.162210702896</v>
      </c>
      <c r="Y4" s="15">
        <v>1.47479557565341</v>
      </c>
      <c r="Z4" s="15">
        <v>3.68223829325961</v>
      </c>
      <c r="AA4" s="15">
        <v>1.91891591615151</v>
      </c>
      <c r="AB4" s="15">
        <v>0.859586959003407</v>
      </c>
      <c r="AC4" s="15">
        <v>0.0473249326747795</v>
      </c>
      <c r="AD4" s="15">
        <v>0.00367242968057736</v>
      </c>
      <c r="AE4" s="15">
        <v>0.0606005749195283</v>
      </c>
      <c r="AF4" s="15">
        <v>0.923131947085324</v>
      </c>
      <c r="AG4" s="15">
        <v>0.0471698024075215</v>
      </c>
      <c r="AH4" s="15">
        <v>0.0604453547748354</v>
      </c>
      <c r="AI4" s="15">
        <v>0.923909868565282</v>
      </c>
      <c r="AJ4" s="15">
        <v>0.0724240337471738</v>
      </c>
      <c r="AK4" s="15">
        <v>0.0928134033671882</v>
      </c>
      <c r="AL4" s="15">
        <v>0.821917506906944</v>
      </c>
      <c r="AM4" s="15">
        <v>10.0</v>
      </c>
      <c r="AN4" s="15">
        <v>1.47479557565341</v>
      </c>
      <c r="AO4" s="15">
        <v>3.68223829325961</v>
      </c>
      <c r="AP4" s="15">
        <v>1.91891591615151</v>
      </c>
      <c r="AQ4" s="15">
        <v>0.85954084812663</v>
      </c>
      <c r="AR4" s="15">
        <v>1.09997358669762</v>
      </c>
      <c r="AS4" s="15">
        <v>1.9868371017432</v>
      </c>
      <c r="AT4" s="15">
        <v>1.40955209259651</v>
      </c>
      <c r="AU4" s="15">
        <v>0.923909868565282</v>
      </c>
      <c r="AV4" s="15">
        <v>1.6888882314098</v>
      </c>
      <c r="AW4" s="15">
        <v>4.68444123869022</v>
      </c>
      <c r="AX4" s="15">
        <v>2.16435700352096</v>
      </c>
      <c r="AY4" s="15">
        <v>0.821917506906944</v>
      </c>
      <c r="AZ4" s="12">
        <f t="shared" ref="AZ4:BA4" si="4">(AG4-AG$36)/AG$37</f>
        <v>-0.8203574619</v>
      </c>
      <c r="BA4" s="12">
        <f t="shared" si="4"/>
        <v>-0.8425037146</v>
      </c>
      <c r="BB4" s="12">
        <f t="shared" si="5"/>
        <v>-0.9979214123</v>
      </c>
      <c r="BC4" s="12">
        <f t="shared" si="6"/>
        <v>-1.053462312</v>
      </c>
      <c r="BD4" s="12">
        <f t="shared" si="7"/>
        <v>-1.092551378</v>
      </c>
      <c r="BE4" s="12">
        <f t="shared" si="8"/>
        <v>-1.136268841</v>
      </c>
      <c r="BF4" s="12">
        <f t="shared" si="9"/>
        <v>-0.7477933175</v>
      </c>
      <c r="BG4" s="12">
        <f t="shared" si="10"/>
        <v>-0.9277819704</v>
      </c>
      <c r="BH4" s="12">
        <f t="shared" si="11"/>
        <v>-0.9671052935</v>
      </c>
      <c r="BI4" s="12">
        <f t="shared" ref="BI4:BJ4" si="12">((W4-W$36)/W$37)</f>
        <v>-0.4472132345</v>
      </c>
      <c r="BJ4" s="12">
        <f t="shared" si="12"/>
        <v>-0.9346547795</v>
      </c>
    </row>
    <row r="5">
      <c r="A5" s="1" t="s">
        <v>84</v>
      </c>
      <c r="B5" s="12">
        <f t="shared" si="3"/>
        <v>0.8394271506</v>
      </c>
      <c r="C5" s="1" t="s">
        <v>93</v>
      </c>
      <c r="D5" s="1" t="s">
        <v>68</v>
      </c>
      <c r="E5" s="1" t="s">
        <v>69</v>
      </c>
      <c r="F5" s="1" t="s">
        <v>94</v>
      </c>
      <c r="G5" s="1" t="s">
        <v>95</v>
      </c>
      <c r="H5" s="1" t="s">
        <v>95</v>
      </c>
      <c r="I5" s="1" t="s">
        <v>96</v>
      </c>
      <c r="J5" s="13" t="s">
        <v>73</v>
      </c>
      <c r="K5" s="1" t="s">
        <v>74</v>
      </c>
      <c r="L5" s="13" t="s">
        <v>75</v>
      </c>
      <c r="M5" s="13" t="s">
        <v>76</v>
      </c>
      <c r="N5" s="14">
        <v>20.0</v>
      </c>
      <c r="O5" s="13" t="s">
        <v>90</v>
      </c>
      <c r="P5" s="1" t="s">
        <v>97</v>
      </c>
      <c r="Q5" s="13" t="s">
        <v>79</v>
      </c>
      <c r="R5" s="1" t="s">
        <v>80</v>
      </c>
      <c r="S5" s="1" t="s">
        <v>81</v>
      </c>
      <c r="T5" s="1" t="s">
        <v>82</v>
      </c>
      <c r="U5" s="13" t="s">
        <v>98</v>
      </c>
      <c r="V5" s="1"/>
      <c r="W5" s="15">
        <v>129.909317016601</v>
      </c>
      <c r="X5" s="15">
        <v>165.220059394836</v>
      </c>
      <c r="Y5" s="15">
        <v>1.55280398678682</v>
      </c>
      <c r="Z5" s="15">
        <v>4.07103972854558</v>
      </c>
      <c r="AA5" s="15">
        <v>2.01768177088102</v>
      </c>
      <c r="AB5" s="15">
        <v>0.843657639567344</v>
      </c>
      <c r="AC5" s="15">
        <v>0.060304307205408</v>
      </c>
      <c r="AD5" s="15">
        <v>0.00577574670126734</v>
      </c>
      <c r="AE5" s="15">
        <v>0.0759983335426991</v>
      </c>
      <c r="AF5" s="15">
        <v>0.878510155393817</v>
      </c>
      <c r="AG5" s="15">
        <v>0.0602710395973338</v>
      </c>
      <c r="AH5" s="15">
        <v>0.0758948569776341</v>
      </c>
      <c r="AI5" s="15">
        <v>0.879430047539825</v>
      </c>
      <c r="AJ5" s="15">
        <v>0.070193358919852</v>
      </c>
      <c r="AK5" s="15">
        <v>0.0901403946277564</v>
      </c>
      <c r="AL5" s="15">
        <v>0.830637234346895</v>
      </c>
      <c r="AM5" s="15">
        <v>10.0</v>
      </c>
      <c r="AN5" s="15">
        <v>1.55280398678682</v>
      </c>
      <c r="AO5" s="15">
        <v>4.07103972854558</v>
      </c>
      <c r="AP5" s="15">
        <v>2.01768177088102</v>
      </c>
      <c r="AQ5" s="15">
        <v>0.843646105931895</v>
      </c>
      <c r="AR5" s="15">
        <v>1.40548715949895</v>
      </c>
      <c r="AS5" s="15">
        <v>3.13228371952835</v>
      </c>
      <c r="AT5" s="15">
        <v>1.769825900909</v>
      </c>
      <c r="AU5" s="15">
        <v>0.879430047539825</v>
      </c>
      <c r="AV5" s="15">
        <v>1.63687013370045</v>
      </c>
      <c r="AW5" s="15">
        <v>4.41850458010478</v>
      </c>
      <c r="AX5" s="15">
        <v>2.10202392472226</v>
      </c>
      <c r="AY5" s="15">
        <v>0.830637234346895</v>
      </c>
      <c r="AZ5" s="12">
        <f t="shared" ref="AZ5:BA5" si="13">(AG5-AG$36)/AG$37</f>
        <v>-0.3228663203</v>
      </c>
      <c r="BA5" s="12">
        <f t="shared" si="13"/>
        <v>-0.3312296431</v>
      </c>
      <c r="BB5" s="12">
        <f t="shared" si="5"/>
        <v>-1.079748691</v>
      </c>
      <c r="BC5" s="12">
        <f t="shared" si="6"/>
        <v>-1.134690798</v>
      </c>
      <c r="BD5" s="12">
        <f t="shared" si="7"/>
        <v>-0.9568560318</v>
      </c>
      <c r="BE5" s="12">
        <f t="shared" si="8"/>
        <v>-0.9901168615</v>
      </c>
      <c r="BF5" s="12">
        <f t="shared" si="9"/>
        <v>-0.4217997738</v>
      </c>
      <c r="BG5" s="12">
        <f t="shared" si="10"/>
        <v>-0.974179666</v>
      </c>
      <c r="BH5" s="12">
        <f t="shared" si="11"/>
        <v>-0.8637593124</v>
      </c>
      <c r="BI5" s="12">
        <f t="shared" ref="BI5:BJ5" si="14">((W5-W$36)/W$37)</f>
        <v>-0.7692359018</v>
      </c>
      <c r="BJ5" s="12">
        <f t="shared" si="14"/>
        <v>-1.037594056</v>
      </c>
    </row>
    <row r="6">
      <c r="A6" s="1" t="s">
        <v>84</v>
      </c>
      <c r="B6" s="12">
        <f t="shared" si="3"/>
        <v>0.8284756124</v>
      </c>
      <c r="C6" s="1" t="s">
        <v>99</v>
      </c>
      <c r="D6" s="1" t="s">
        <v>68</v>
      </c>
      <c r="E6" s="1" t="s">
        <v>69</v>
      </c>
      <c r="F6" s="1" t="s">
        <v>100</v>
      </c>
      <c r="G6" s="1" t="s">
        <v>101</v>
      </c>
      <c r="H6" s="1" t="s">
        <v>101</v>
      </c>
      <c r="I6" s="1" t="s">
        <v>102</v>
      </c>
      <c r="J6" s="13" t="s">
        <v>73</v>
      </c>
      <c r="K6" s="1" t="s">
        <v>74</v>
      </c>
      <c r="L6" s="13" t="s">
        <v>75</v>
      </c>
      <c r="M6" s="13" t="s">
        <v>76</v>
      </c>
      <c r="N6" s="14">
        <v>150.0</v>
      </c>
      <c r="O6" s="13" t="s">
        <v>77</v>
      </c>
      <c r="P6" s="1" t="s">
        <v>97</v>
      </c>
      <c r="Q6" s="13" t="s">
        <v>79</v>
      </c>
      <c r="R6" s="1" t="s">
        <v>80</v>
      </c>
      <c r="S6" s="1" t="s">
        <v>91</v>
      </c>
      <c r="T6" s="1" t="s">
        <v>82</v>
      </c>
      <c r="U6" s="13" t="s">
        <v>103</v>
      </c>
      <c r="V6" s="1"/>
      <c r="W6" s="15">
        <v>247.16165113449</v>
      </c>
      <c r="X6" s="15">
        <v>166.867327690124</v>
      </c>
      <c r="Y6" s="15">
        <v>1.57170794078677</v>
      </c>
      <c r="Z6" s="15">
        <v>4.15042703842185</v>
      </c>
      <c r="AA6" s="15">
        <v>2.03725968850852</v>
      </c>
      <c r="AB6" s="15">
        <v>0.840626397956574</v>
      </c>
      <c r="AC6" s="15">
        <v>0.0497712338076072</v>
      </c>
      <c r="AD6" s="15">
        <v>0.00408469636967637</v>
      </c>
      <c r="AE6" s="15">
        <v>0.0639116293774175</v>
      </c>
      <c r="AF6" s="15">
        <v>0.914080524496247</v>
      </c>
      <c r="AG6" s="15">
        <v>0.0496547856932379</v>
      </c>
      <c r="AH6" s="15">
        <v>0.063768550541354</v>
      </c>
      <c r="AI6" s="15">
        <v>0.914880809042186</v>
      </c>
      <c r="AJ6" s="15">
        <v>0.0746807284141372</v>
      </c>
      <c r="AK6" s="15">
        <v>0.0955816747223364</v>
      </c>
      <c r="AL6" s="15">
        <v>0.809573099658516</v>
      </c>
      <c r="AM6" s="15">
        <v>10.0</v>
      </c>
      <c r="AN6" s="15">
        <v>1.57170794078677</v>
      </c>
      <c r="AO6" s="15">
        <v>4.15042703842186</v>
      </c>
      <c r="AP6" s="15">
        <v>2.03725968850852</v>
      </c>
      <c r="AQ6" s="15">
        <v>0.840597126834072</v>
      </c>
      <c r="AR6" s="15">
        <v>1.15792201637426</v>
      </c>
      <c r="AS6" s="15">
        <v>2.21130929071778</v>
      </c>
      <c r="AT6" s="15">
        <v>1.48704717165185</v>
      </c>
      <c r="AU6" s="15">
        <v>0.914880809042186</v>
      </c>
      <c r="AV6" s="15">
        <v>1.74151309732413</v>
      </c>
      <c r="AW6" s="15">
        <v>4.96804671374697</v>
      </c>
      <c r="AX6" s="15">
        <v>2.22891155359448</v>
      </c>
      <c r="AY6" s="15">
        <v>0.809573099658516</v>
      </c>
      <c r="AZ6" s="12">
        <f t="shared" ref="AZ6:BA6" si="15">(AG6-AG$36)/AG$37</f>
        <v>-0.7259955972</v>
      </c>
      <c r="BA6" s="12">
        <f t="shared" si="15"/>
        <v>-0.7325284023</v>
      </c>
      <c r="BB6" s="12">
        <f t="shared" si="5"/>
        <v>-0.9151396548</v>
      </c>
      <c r="BC6" s="12">
        <f t="shared" si="6"/>
        <v>-0.9693389469</v>
      </c>
      <c r="BD6" s="12">
        <f t="shared" si="7"/>
        <v>-0.9239726729</v>
      </c>
      <c r="BE6" s="12">
        <f t="shared" si="8"/>
        <v>-0.9611458023</v>
      </c>
      <c r="BF6" s="12">
        <f t="shared" si="9"/>
        <v>-0.6816191504</v>
      </c>
      <c r="BG6" s="12">
        <f t="shared" si="10"/>
        <v>-0.8620973429</v>
      </c>
      <c r="BH6" s="12">
        <f t="shared" si="11"/>
        <v>-0.8439351635</v>
      </c>
      <c r="BI6" s="12">
        <f t="shared" ref="BI6:BJ6" si="16">((W6-W$36)/W$37)</f>
        <v>-0.616439771</v>
      </c>
      <c r="BJ6" s="12">
        <f t="shared" si="16"/>
        <v>-1.025431758</v>
      </c>
    </row>
    <row r="7">
      <c r="A7" s="1" t="s">
        <v>84</v>
      </c>
      <c r="B7" s="12">
        <f t="shared" si="3"/>
        <v>0.6235455857</v>
      </c>
      <c r="C7" s="1" t="s">
        <v>104</v>
      </c>
      <c r="D7" s="1" t="s">
        <v>68</v>
      </c>
      <c r="E7" s="1" t="s">
        <v>69</v>
      </c>
      <c r="F7" s="1" t="s">
        <v>105</v>
      </c>
      <c r="G7" s="1" t="s">
        <v>106</v>
      </c>
      <c r="H7" s="1" t="s">
        <v>106</v>
      </c>
      <c r="I7" s="1" t="s">
        <v>107</v>
      </c>
      <c r="J7" s="13" t="s">
        <v>108</v>
      </c>
      <c r="K7" s="1" t="s">
        <v>74</v>
      </c>
      <c r="L7" s="13" t="s">
        <v>109</v>
      </c>
      <c r="M7" s="13" t="s">
        <v>76</v>
      </c>
      <c r="N7" s="14">
        <v>20.0</v>
      </c>
      <c r="O7" s="13" t="s">
        <v>77</v>
      </c>
      <c r="P7" s="1" t="s">
        <v>78</v>
      </c>
      <c r="Q7" s="13" t="s">
        <v>110</v>
      </c>
      <c r="R7" s="1" t="s">
        <v>111</v>
      </c>
      <c r="S7" s="1" t="s">
        <v>112</v>
      </c>
      <c r="T7" s="1" t="s">
        <v>82</v>
      </c>
      <c r="U7" s="13" t="s">
        <v>92</v>
      </c>
      <c r="V7" s="13" t="s">
        <v>90</v>
      </c>
      <c r="W7" s="15">
        <v>759.774735212326</v>
      </c>
      <c r="X7" s="15">
        <v>465.382558584213</v>
      </c>
      <c r="Y7" s="15">
        <v>1.40466462282112</v>
      </c>
      <c r="Z7" s="15">
        <v>3.435129418956</v>
      </c>
      <c r="AA7" s="15">
        <v>1.85341021335159</v>
      </c>
      <c r="AB7" s="15">
        <v>0.872761008761448</v>
      </c>
      <c r="AC7" s="15">
        <v>0.0410480467081777</v>
      </c>
      <c r="AD7" s="15">
        <v>0.00271694390525276</v>
      </c>
      <c r="AE7" s="15">
        <v>0.0521243120362539</v>
      </c>
      <c r="AF7" s="15">
        <v>0.939129364236375</v>
      </c>
      <c r="AG7" s="15">
        <v>0.0410319312885553</v>
      </c>
      <c r="AH7" s="15">
        <v>0.0520619094431876</v>
      </c>
      <c r="AI7" s="15">
        <v>0.939560328420206</v>
      </c>
      <c r="AJ7" s="15">
        <v>0.0641237426368237</v>
      </c>
      <c r="AK7" s="15">
        <v>0.0837715444207474</v>
      </c>
      <c r="AL7" s="15">
        <v>0.844272088225246</v>
      </c>
      <c r="AM7" s="15">
        <v>10.0</v>
      </c>
      <c r="AN7" s="15">
        <v>1.40466462282114</v>
      </c>
      <c r="AO7" s="15">
        <v>3.435129418956</v>
      </c>
      <c r="AP7" s="15">
        <v>1.85341021335159</v>
      </c>
      <c r="AQ7" s="15">
        <v>0.872728508057441</v>
      </c>
      <c r="AR7" s="15">
        <v>1.00528231656959</v>
      </c>
      <c r="AS7" s="15">
        <v>1.62694305952611</v>
      </c>
      <c r="AT7" s="15">
        <v>1.27551678135809</v>
      </c>
      <c r="AU7" s="15">
        <v>0.939560328420206</v>
      </c>
      <c r="AV7" s="15">
        <v>1.5710316946022</v>
      </c>
      <c r="AW7" s="15">
        <v>4.21235741069601</v>
      </c>
      <c r="AX7" s="15">
        <v>2.05240283830831</v>
      </c>
      <c r="AY7" s="15">
        <v>0.844272088225246</v>
      </c>
      <c r="AZ7" s="12">
        <f t="shared" ref="AZ7:BA7" si="17">(AG7-AG$36)/AG$37</f>
        <v>-1.05342984</v>
      </c>
      <c r="BA7" s="12">
        <f t="shared" si="17"/>
        <v>-1.119939076</v>
      </c>
      <c r="BB7" s="12">
        <f t="shared" si="5"/>
        <v>-1.183316113</v>
      </c>
      <c r="BC7" s="12">
        <f t="shared" si="6"/>
        <v>-1.199353828</v>
      </c>
      <c r="BD7" s="12">
        <f t="shared" si="7"/>
        <v>-1.214543913</v>
      </c>
      <c r="BE7" s="12">
        <f t="shared" si="8"/>
        <v>-1.233203032</v>
      </c>
      <c r="BF7" s="12">
        <f t="shared" si="9"/>
        <v>-0.8624958669</v>
      </c>
      <c r="BG7" s="12">
        <f t="shared" si="10"/>
        <v>-1.046730764</v>
      </c>
      <c r="BH7" s="12">
        <f t="shared" si="11"/>
        <v>-1.052850104</v>
      </c>
      <c r="BI7" s="12">
        <f t="shared" ref="BI7:BJ7" si="18">((W7-W$36)/W$37)</f>
        <v>0.05156651164</v>
      </c>
      <c r="BJ7" s="12">
        <f t="shared" si="18"/>
        <v>1.178599838</v>
      </c>
    </row>
    <row r="8">
      <c r="A8" s="1" t="s">
        <v>66</v>
      </c>
      <c r="B8" s="12">
        <f t="shared" si="3"/>
        <v>0.5988616314</v>
      </c>
      <c r="C8" s="1" t="s">
        <v>113</v>
      </c>
      <c r="D8" s="1" t="s">
        <v>68</v>
      </c>
      <c r="E8" s="1" t="s">
        <v>69</v>
      </c>
      <c r="F8" s="1" t="s">
        <v>114</v>
      </c>
      <c r="G8" s="1" t="s">
        <v>115</v>
      </c>
      <c r="H8" s="1" t="s">
        <v>115</v>
      </c>
      <c r="I8" s="1" t="s">
        <v>116</v>
      </c>
      <c r="J8" s="13" t="s">
        <v>73</v>
      </c>
      <c r="K8" s="1" t="s">
        <v>74</v>
      </c>
      <c r="L8" s="13" t="s">
        <v>75</v>
      </c>
      <c r="M8" s="13" t="s">
        <v>89</v>
      </c>
      <c r="N8" s="14">
        <v>20.0</v>
      </c>
      <c r="O8" s="13" t="s">
        <v>77</v>
      </c>
      <c r="P8" s="1" t="s">
        <v>97</v>
      </c>
      <c r="Q8" s="13" t="s">
        <v>110</v>
      </c>
      <c r="R8" s="1" t="s">
        <v>111</v>
      </c>
      <c r="S8" s="1" t="s">
        <v>81</v>
      </c>
      <c r="T8" s="1" t="s">
        <v>82</v>
      </c>
      <c r="U8" s="13" t="s">
        <v>98</v>
      </c>
      <c r="V8" s="13" t="s">
        <v>103</v>
      </c>
      <c r="W8" s="15">
        <v>180.497941732406</v>
      </c>
      <c r="X8" s="15">
        <v>176.4144718647</v>
      </c>
      <c r="Y8" s="15">
        <v>1.4872975965098</v>
      </c>
      <c r="Z8" s="15">
        <v>3.75574826620639</v>
      </c>
      <c r="AA8" s="15">
        <v>1.93797530072144</v>
      </c>
      <c r="AB8" s="15">
        <v>0.856779222326288</v>
      </c>
      <c r="AC8" s="15">
        <v>0.0590307737202428</v>
      </c>
      <c r="AD8" s="15">
        <v>0.0056542840890702</v>
      </c>
      <c r="AE8" s="15">
        <v>0.0751949738285093</v>
      </c>
      <c r="AF8" s="15">
        <v>0.881649521881403</v>
      </c>
      <c r="AG8" s="15">
        <v>0.0590880974979725</v>
      </c>
      <c r="AH8" s="15">
        <v>0.0751681676963383</v>
      </c>
      <c r="AI8" s="15">
        <v>0.882328740937604</v>
      </c>
      <c r="AJ8" s="15">
        <v>0.0997148238428574</v>
      </c>
      <c r="AK8" s="15">
        <v>0.121635311204348</v>
      </c>
      <c r="AL8" s="15">
        <v>0.694142473448383</v>
      </c>
      <c r="AM8" s="15">
        <v>10.0</v>
      </c>
      <c r="AN8" s="15">
        <v>1.4872975965098</v>
      </c>
      <c r="AO8" s="15">
        <v>3.75574826620638</v>
      </c>
      <c r="AP8" s="15">
        <v>1.93797530072144</v>
      </c>
      <c r="AQ8" s="15">
        <v>0.856736806771338</v>
      </c>
      <c r="AR8" s="15">
        <v>1.37790160693189</v>
      </c>
      <c r="AS8" s="15">
        <v>3.07258798093403</v>
      </c>
      <c r="AT8" s="15">
        <v>1.75287991058544</v>
      </c>
      <c r="AU8" s="15">
        <v>0.882328740937603</v>
      </c>
      <c r="AV8" s="15">
        <v>2.32529429489108</v>
      </c>
      <c r="AW8" s="15">
        <v>8.04555004625578</v>
      </c>
      <c r="AX8" s="15">
        <v>2.8364678821125</v>
      </c>
      <c r="AY8" s="15">
        <v>0.694142473448383</v>
      </c>
      <c r="AZ8" s="12">
        <f t="shared" ref="AZ8:BA8" si="19">(AG8-AG$36)/AG$37</f>
        <v>-0.3677859876</v>
      </c>
      <c r="BA8" s="12">
        <f t="shared" si="19"/>
        <v>-0.3552781453</v>
      </c>
      <c r="BB8" s="12">
        <f t="shared" si="5"/>
        <v>0.003179712055</v>
      </c>
      <c r="BC8" s="12">
        <f t="shared" si="6"/>
        <v>-0.177610355</v>
      </c>
      <c r="BD8" s="12">
        <f t="shared" si="7"/>
        <v>-1.070804158</v>
      </c>
      <c r="BE8" s="12">
        <f t="shared" si="8"/>
        <v>-1.108065098</v>
      </c>
      <c r="BF8" s="12">
        <f t="shared" si="9"/>
        <v>-0.4430443586</v>
      </c>
      <c r="BG8" s="12">
        <f t="shared" si="10"/>
        <v>-0.2478906388</v>
      </c>
      <c r="BH8" s="12">
        <f t="shared" si="11"/>
        <v>-0.9488737046</v>
      </c>
      <c r="BI8" s="12">
        <f t="shared" ref="BI8:BJ8" si="20">((W8-W$36)/W$37)</f>
        <v>-0.7033118741</v>
      </c>
      <c r="BJ8" s="12">
        <f t="shared" si="20"/>
        <v>-0.9549421973</v>
      </c>
    </row>
    <row r="9">
      <c r="A9" s="1" t="s">
        <v>84</v>
      </c>
      <c r="B9" s="12">
        <f t="shared" si="3"/>
        <v>0.587509136</v>
      </c>
      <c r="C9" s="1" t="s">
        <v>117</v>
      </c>
      <c r="D9" s="1" t="s">
        <v>68</v>
      </c>
      <c r="E9" s="1" t="s">
        <v>69</v>
      </c>
      <c r="F9" s="1" t="s">
        <v>118</v>
      </c>
      <c r="G9" s="1" t="s">
        <v>119</v>
      </c>
      <c r="H9" s="1" t="s">
        <v>119</v>
      </c>
      <c r="I9" s="1" t="s">
        <v>120</v>
      </c>
      <c r="J9" s="13" t="s">
        <v>108</v>
      </c>
      <c r="K9" s="1" t="s">
        <v>74</v>
      </c>
      <c r="L9" s="13" t="s">
        <v>109</v>
      </c>
      <c r="M9" s="13" t="s">
        <v>89</v>
      </c>
      <c r="N9" s="14">
        <v>20.0</v>
      </c>
      <c r="O9" s="13" t="s">
        <v>77</v>
      </c>
      <c r="P9" s="1" t="s">
        <v>97</v>
      </c>
      <c r="Q9" s="13" t="s">
        <v>110</v>
      </c>
      <c r="R9" s="1" t="s">
        <v>80</v>
      </c>
      <c r="S9" s="1" t="s">
        <v>91</v>
      </c>
      <c r="T9" s="1" t="s">
        <v>82</v>
      </c>
      <c r="U9" s="13" t="s">
        <v>98</v>
      </c>
      <c r="V9" s="13" t="s">
        <v>103</v>
      </c>
      <c r="W9" s="15">
        <v>439.740293741226</v>
      </c>
      <c r="X9" s="15">
        <v>465.660078287124</v>
      </c>
      <c r="Y9" s="15">
        <v>1.5589926250512</v>
      </c>
      <c r="Z9" s="15">
        <v>4.10358441805968</v>
      </c>
      <c r="AA9" s="15">
        <v>2.025730588716</v>
      </c>
      <c r="AB9" s="15">
        <v>0.848133627657178</v>
      </c>
      <c r="AC9" s="15">
        <v>0.0484962771775119</v>
      </c>
      <c r="AD9" s="15">
        <v>0.00381474020366679</v>
      </c>
      <c r="AE9" s="15">
        <v>0.0617635831511319</v>
      </c>
      <c r="AF9" s="15">
        <v>0.914626525073093</v>
      </c>
      <c r="AG9" s="15">
        <v>0.0484757956343274</v>
      </c>
      <c r="AH9" s="15">
        <v>0.0616875064934141</v>
      </c>
      <c r="AI9" s="15">
        <v>0.91524404039572</v>
      </c>
      <c r="AJ9" s="15">
        <v>0.0658978524354219</v>
      </c>
      <c r="AK9" s="15">
        <v>0.0856137341105</v>
      </c>
      <c r="AL9" s="15">
        <v>0.837417448510431</v>
      </c>
      <c r="AM9" s="15">
        <v>10.0</v>
      </c>
      <c r="AN9" s="15">
        <v>1.5589926250512</v>
      </c>
      <c r="AO9" s="15">
        <v>4.10358441805968</v>
      </c>
      <c r="AP9" s="15">
        <v>2.025730588716</v>
      </c>
      <c r="AQ9" s="15">
        <v>0.848105762996465</v>
      </c>
      <c r="AR9" s="15">
        <v>1.18765699304104</v>
      </c>
      <c r="AS9" s="15">
        <v>2.28416041153935</v>
      </c>
      <c r="AT9" s="15">
        <v>1.51134390908864</v>
      </c>
      <c r="AU9" s="15">
        <v>0.91524404039572</v>
      </c>
      <c r="AV9" s="15">
        <v>1.61449738466785</v>
      </c>
      <c r="AW9" s="15">
        <v>4.39965930887311</v>
      </c>
      <c r="AX9" s="15">
        <v>2.09753648570724</v>
      </c>
      <c r="AY9" s="15">
        <v>0.837417448510431</v>
      </c>
      <c r="AZ9" s="12">
        <f t="shared" ref="AZ9:BA9" si="21">(AG9-AG$36)/AG$37</f>
        <v>-0.7707651943</v>
      </c>
      <c r="BA9" s="12">
        <f t="shared" si="21"/>
        <v>-0.8013968907</v>
      </c>
      <c r="BB9" s="12">
        <f t="shared" si="5"/>
        <v>-1.114942234</v>
      </c>
      <c r="BC9" s="12">
        <f t="shared" si="6"/>
        <v>-1.140538542</v>
      </c>
      <c r="BD9" s="12">
        <f t="shared" si="7"/>
        <v>-0.9460909181</v>
      </c>
      <c r="BE9" s="12">
        <f t="shared" si="8"/>
        <v>-0.978206362</v>
      </c>
      <c r="BF9" s="12">
        <f t="shared" si="9"/>
        <v>-0.6842812806</v>
      </c>
      <c r="BG9" s="12">
        <f t="shared" si="10"/>
        <v>-1.010257206</v>
      </c>
      <c r="BH9" s="12">
        <f t="shared" si="11"/>
        <v>-0.8927555445</v>
      </c>
      <c r="BI9" s="12">
        <f t="shared" ref="BI9:BJ9" si="22">((W9-W$36)/W$37)</f>
        <v>-0.3654829633</v>
      </c>
      <c r="BJ9" s="12">
        <f t="shared" si="22"/>
        <v>1.180648853</v>
      </c>
    </row>
    <row r="10">
      <c r="A10" s="1" t="s">
        <v>66</v>
      </c>
      <c r="B10" s="12">
        <f t="shared" si="3"/>
        <v>0.4777010734</v>
      </c>
      <c r="C10" s="1" t="s">
        <v>121</v>
      </c>
      <c r="D10" s="1" t="s">
        <v>68</v>
      </c>
      <c r="E10" s="1" t="s">
        <v>69</v>
      </c>
      <c r="F10" s="1" t="s">
        <v>122</v>
      </c>
      <c r="G10" s="1" t="s">
        <v>123</v>
      </c>
      <c r="H10" s="1" t="s">
        <v>123</v>
      </c>
      <c r="I10" s="1" t="s">
        <v>124</v>
      </c>
      <c r="J10" s="13" t="s">
        <v>73</v>
      </c>
      <c r="K10" s="1" t="s">
        <v>74</v>
      </c>
      <c r="L10" s="13" t="s">
        <v>75</v>
      </c>
      <c r="M10" s="13" t="s">
        <v>76</v>
      </c>
      <c r="N10" s="14">
        <v>150.0</v>
      </c>
      <c r="O10" s="13" t="s">
        <v>90</v>
      </c>
      <c r="P10" s="1" t="s">
        <v>78</v>
      </c>
      <c r="Q10" s="13" t="s">
        <v>79</v>
      </c>
      <c r="R10" s="1" t="s">
        <v>111</v>
      </c>
      <c r="S10" s="1" t="s">
        <v>112</v>
      </c>
      <c r="T10" s="1" t="s">
        <v>82</v>
      </c>
      <c r="U10" s="13" t="s">
        <v>92</v>
      </c>
      <c r="V10" s="1"/>
      <c r="W10" s="15">
        <v>465.670427322387</v>
      </c>
      <c r="X10" s="15">
        <v>172.765131711959</v>
      </c>
      <c r="Y10" s="15">
        <v>1.82454360663543</v>
      </c>
      <c r="Z10" s="15">
        <v>5.57813053221568</v>
      </c>
      <c r="AA10" s="15">
        <v>2.36180662464472</v>
      </c>
      <c r="AB10" s="15">
        <v>0.785849951634208</v>
      </c>
      <c r="AC10" s="15">
        <v>0.0483173003267251</v>
      </c>
      <c r="AD10" s="15">
        <v>0.00365614784422037</v>
      </c>
      <c r="AE10" s="15">
        <v>0.0604660883820044</v>
      </c>
      <c r="AF10" s="15">
        <v>0.923094821081039</v>
      </c>
      <c r="AG10" s="15">
        <v>0.0480921394122614</v>
      </c>
      <c r="AH10" s="15">
        <v>0.0602888029334747</v>
      </c>
      <c r="AI10" s="15">
        <v>0.923916984454426</v>
      </c>
      <c r="AJ10" s="15">
        <v>0.0966828361748651</v>
      </c>
      <c r="AK10" s="15">
        <v>0.122955885505641</v>
      </c>
      <c r="AL10" s="15">
        <v>0.684878764445308</v>
      </c>
      <c r="AM10" s="15">
        <v>10.0</v>
      </c>
      <c r="AN10" s="15">
        <v>1.82454360663543</v>
      </c>
      <c r="AO10" s="15">
        <v>5.57813053221568</v>
      </c>
      <c r="AP10" s="15">
        <v>2.36180662464472</v>
      </c>
      <c r="AQ10" s="15">
        <v>0.785764205586936</v>
      </c>
      <c r="AR10" s="15">
        <v>1.1214819732387</v>
      </c>
      <c r="AS10" s="15">
        <v>1.97655872017318</v>
      </c>
      <c r="AT10" s="15">
        <v>1.40590139062922</v>
      </c>
      <c r="AU10" s="15">
        <v>0.923916984454426</v>
      </c>
      <c r="AV10" s="15">
        <v>2.25459002691109</v>
      </c>
      <c r="AW10" s="15">
        <v>8.22119677378545</v>
      </c>
      <c r="AX10" s="15">
        <v>2.86726294116627</v>
      </c>
      <c r="AY10" s="15">
        <v>0.684878764445308</v>
      </c>
      <c r="AZ10" s="12">
        <f t="shared" ref="AZ10:BA10" si="23">(AG10-AG$36)/AG$37</f>
        <v>-0.7853337094</v>
      </c>
      <c r="BA10" s="12">
        <f t="shared" si="23"/>
        <v>-0.8476845221</v>
      </c>
      <c r="BB10" s="12">
        <f t="shared" si="5"/>
        <v>-0.1080419218</v>
      </c>
      <c r="BC10" s="12">
        <f t="shared" si="6"/>
        <v>-0.1374802014</v>
      </c>
      <c r="BD10" s="12">
        <f t="shared" si="7"/>
        <v>-0.4841659571</v>
      </c>
      <c r="BE10" s="12">
        <f t="shared" si="8"/>
        <v>-0.4808869371</v>
      </c>
      <c r="BF10" s="12">
        <f t="shared" si="9"/>
        <v>-0.74784547</v>
      </c>
      <c r="BG10" s="12">
        <f t="shared" si="10"/>
        <v>-0.1985984157</v>
      </c>
      <c r="BH10" s="12">
        <f t="shared" si="11"/>
        <v>-0.4874171417</v>
      </c>
      <c r="BI10" s="12">
        <f t="shared" ref="BI10:BJ10" si="24">((W10-W$36)/W$37)</f>
        <v>-0.3316923858</v>
      </c>
      <c r="BJ10" s="12">
        <f t="shared" si="24"/>
        <v>-0.9818864205</v>
      </c>
    </row>
    <row r="11">
      <c r="A11" s="1" t="s">
        <v>84</v>
      </c>
      <c r="B11" s="12">
        <f t="shared" si="3"/>
        <v>0.4498898012</v>
      </c>
      <c r="C11" s="1" t="s">
        <v>125</v>
      </c>
      <c r="D11" s="1" t="s">
        <v>68</v>
      </c>
      <c r="E11" s="1" t="s">
        <v>69</v>
      </c>
      <c r="F11" s="1" t="s">
        <v>126</v>
      </c>
      <c r="G11" s="1" t="s">
        <v>127</v>
      </c>
      <c r="H11" s="1" t="s">
        <v>127</v>
      </c>
      <c r="I11" s="1" t="s">
        <v>128</v>
      </c>
      <c r="J11" s="13" t="s">
        <v>73</v>
      </c>
      <c r="K11" s="1" t="s">
        <v>129</v>
      </c>
      <c r="L11" s="13" t="s">
        <v>73</v>
      </c>
      <c r="M11" s="13" t="s">
        <v>76</v>
      </c>
      <c r="N11" s="14">
        <v>20.0</v>
      </c>
      <c r="O11" s="13" t="s">
        <v>77</v>
      </c>
      <c r="P11" s="1" t="s">
        <v>78</v>
      </c>
      <c r="Q11" s="13" t="s">
        <v>110</v>
      </c>
      <c r="R11" s="1" t="s">
        <v>130</v>
      </c>
      <c r="S11" s="1" t="s">
        <v>91</v>
      </c>
      <c r="T11" s="1" t="s">
        <v>82</v>
      </c>
      <c r="U11" s="13" t="s">
        <v>98</v>
      </c>
      <c r="V11" s="13" t="s">
        <v>92</v>
      </c>
      <c r="W11" s="15">
        <v>249.12476325035</v>
      </c>
      <c r="X11" s="15">
        <v>178.692143678665</v>
      </c>
      <c r="Y11" s="15">
        <v>2.05220237403132</v>
      </c>
      <c r="Z11" s="15">
        <v>6.7404251870492</v>
      </c>
      <c r="AA11" s="15">
        <v>2.59623288382402</v>
      </c>
      <c r="AB11" s="15">
        <v>0.741022388544214</v>
      </c>
      <c r="AC11" s="15">
        <v>0.0530995494184025</v>
      </c>
      <c r="AD11" s="15">
        <v>0.00464347744138451</v>
      </c>
      <c r="AE11" s="15">
        <v>0.0681430659816867</v>
      </c>
      <c r="AF11" s="15">
        <v>0.900852098706236</v>
      </c>
      <c r="AG11" s="15">
        <v>0.0527862257484584</v>
      </c>
      <c r="AH11" s="15">
        <v>0.0677852361860527</v>
      </c>
      <c r="AI11" s="15">
        <v>0.902940119995542</v>
      </c>
      <c r="AJ11" s="15">
        <v>0.092942790589634</v>
      </c>
      <c r="AK11" s="15">
        <v>0.118489502041377</v>
      </c>
      <c r="AL11" s="15">
        <v>0.71014294473145</v>
      </c>
      <c r="AM11" s="15">
        <v>10.0</v>
      </c>
      <c r="AN11" s="15">
        <v>2.05220237403132</v>
      </c>
      <c r="AO11" s="15">
        <v>6.7404251870492</v>
      </c>
      <c r="AP11" s="15">
        <v>2.59623288382402</v>
      </c>
      <c r="AQ11" s="15">
        <v>0.740771909492662</v>
      </c>
      <c r="AR11" s="15">
        <v>1.23094545877308</v>
      </c>
      <c r="AS11" s="15">
        <v>2.49865690595221</v>
      </c>
      <c r="AT11" s="15">
        <v>1.5807140493942</v>
      </c>
      <c r="AU11" s="15">
        <v>0.902940119995542</v>
      </c>
      <c r="AV11" s="15">
        <v>2.16737424166662</v>
      </c>
      <c r="AW11" s="15">
        <v>7.63477333589322</v>
      </c>
      <c r="AX11" s="15">
        <v>2.76310936010379</v>
      </c>
      <c r="AY11" s="15">
        <v>0.71014294473145</v>
      </c>
      <c r="AZ11" s="12">
        <f t="shared" ref="AZ11:BA11" si="25">(AG11-AG$36)/AG$37</f>
        <v>-0.607085935</v>
      </c>
      <c r="BA11" s="12">
        <f t="shared" si="25"/>
        <v>-0.5996032636</v>
      </c>
      <c r="BB11" s="12">
        <f t="shared" si="5"/>
        <v>-0.2452370645</v>
      </c>
      <c r="BC11" s="12">
        <f t="shared" si="6"/>
        <v>-0.2732064941</v>
      </c>
      <c r="BD11" s="12">
        <f t="shared" si="7"/>
        <v>-0.08815436406</v>
      </c>
      <c r="BE11" s="12">
        <f t="shared" si="8"/>
        <v>-0.1339870694</v>
      </c>
      <c r="BF11" s="12">
        <f t="shared" si="9"/>
        <v>-0.5941055892</v>
      </c>
      <c r="BG11" s="12">
        <f t="shared" si="10"/>
        <v>-0.3330291939</v>
      </c>
      <c r="BH11" s="12">
        <f t="shared" si="11"/>
        <v>-0.1948818539</v>
      </c>
      <c r="BI11" s="12">
        <f t="shared" ref="BI11:BJ11" si="26">((W11-W$36)/W$37)</f>
        <v>-0.6138815624</v>
      </c>
      <c r="BJ11" s="12">
        <f t="shared" si="26"/>
        <v>-0.9381254318</v>
      </c>
    </row>
    <row r="12">
      <c r="A12" s="1" t="s">
        <v>66</v>
      </c>
      <c r="B12" s="12">
        <f t="shared" si="3"/>
        <v>0.3940636805</v>
      </c>
      <c r="C12" s="1" t="s">
        <v>131</v>
      </c>
      <c r="D12" s="1" t="s">
        <v>68</v>
      </c>
      <c r="E12" s="1" t="s">
        <v>69</v>
      </c>
      <c r="F12" s="1" t="s">
        <v>132</v>
      </c>
      <c r="G12" s="1" t="s">
        <v>133</v>
      </c>
      <c r="H12" s="1" t="s">
        <v>133</v>
      </c>
      <c r="I12" s="1" t="s">
        <v>134</v>
      </c>
      <c r="J12" s="13" t="s">
        <v>108</v>
      </c>
      <c r="K12" s="1" t="s">
        <v>74</v>
      </c>
      <c r="L12" s="13" t="s">
        <v>109</v>
      </c>
      <c r="M12" s="13" t="s">
        <v>89</v>
      </c>
      <c r="N12" s="14">
        <v>20.0</v>
      </c>
      <c r="O12" s="13" t="s">
        <v>90</v>
      </c>
      <c r="P12" s="1" t="s">
        <v>78</v>
      </c>
      <c r="Q12" s="13" t="s">
        <v>79</v>
      </c>
      <c r="R12" s="1" t="s">
        <v>80</v>
      </c>
      <c r="S12" s="1" t="s">
        <v>81</v>
      </c>
      <c r="T12" s="1" t="s">
        <v>82</v>
      </c>
      <c r="U12" s="13" t="s">
        <v>98</v>
      </c>
      <c r="V12" s="1"/>
      <c r="W12" s="15">
        <v>1154.38261532783</v>
      </c>
      <c r="X12" s="15">
        <v>422.571947574615</v>
      </c>
      <c r="Y12" s="15">
        <v>1.66117665159976</v>
      </c>
      <c r="Z12" s="15">
        <v>4.4337636226849</v>
      </c>
      <c r="AA12" s="15">
        <v>2.10565040371969</v>
      </c>
      <c r="AB12" s="15">
        <v>0.835907107525363</v>
      </c>
      <c r="AC12" s="15">
        <v>0.0537534542893788</v>
      </c>
      <c r="AD12" s="15">
        <v>0.00438471570356108</v>
      </c>
      <c r="AE12" s="15">
        <v>0.0662171858625922</v>
      </c>
      <c r="AF12" s="15">
        <v>0.901870534769376</v>
      </c>
      <c r="AG12" s="15">
        <v>0.0534913600496273</v>
      </c>
      <c r="AH12" s="15">
        <v>0.0660206702309385</v>
      </c>
      <c r="AI12" s="15">
        <v>0.902918680241469</v>
      </c>
      <c r="AJ12" s="15">
        <v>0.0684661049531939</v>
      </c>
      <c r="AK12" s="15">
        <v>0.0872553841553519</v>
      </c>
      <c r="AL12" s="15">
        <v>0.831122603297791</v>
      </c>
      <c r="AM12" s="15">
        <v>10.0</v>
      </c>
      <c r="AN12" s="15">
        <v>1.66117665159977</v>
      </c>
      <c r="AO12" s="15">
        <v>4.4337636226849</v>
      </c>
      <c r="AP12" s="15">
        <v>2.10565040371969</v>
      </c>
      <c r="AQ12" s="15">
        <v>0.835884174928174</v>
      </c>
      <c r="AR12" s="15">
        <v>1.31053832121579</v>
      </c>
      <c r="AS12" s="15">
        <v>2.61632702086983</v>
      </c>
      <c r="AT12" s="15">
        <v>1.61750642065799</v>
      </c>
      <c r="AU12" s="15">
        <v>0.902918680241469</v>
      </c>
      <c r="AV12" s="15">
        <v>1.67741957135318</v>
      </c>
      <c r="AW12" s="15">
        <v>4.57000461397485</v>
      </c>
      <c r="AX12" s="15">
        <v>2.13775691180612</v>
      </c>
      <c r="AY12" s="15">
        <v>0.831122603297791</v>
      </c>
      <c r="AZ12" s="12">
        <f t="shared" ref="AZ12:BA12" si="27">(AG12-AG$36)/AG$37</f>
        <v>-0.5803099853</v>
      </c>
      <c r="BA12" s="12">
        <f t="shared" si="27"/>
        <v>-0.6579984667</v>
      </c>
      <c r="BB12" s="12">
        <f t="shared" si="5"/>
        <v>-1.015962234</v>
      </c>
      <c r="BC12" s="12">
        <f t="shared" si="6"/>
        <v>-1.088125852</v>
      </c>
      <c r="BD12" s="12">
        <f t="shared" si="7"/>
        <v>-0.7683421778</v>
      </c>
      <c r="BE12" s="12">
        <f t="shared" si="8"/>
        <v>-0.8599424211</v>
      </c>
      <c r="BF12" s="12">
        <f t="shared" si="9"/>
        <v>-0.5939484568</v>
      </c>
      <c r="BG12" s="12">
        <f t="shared" si="10"/>
        <v>-0.9767623156</v>
      </c>
      <c r="BH12" s="12">
        <f t="shared" si="11"/>
        <v>-0.8132920343</v>
      </c>
      <c r="BI12" s="12">
        <f t="shared" ref="BI12:BJ12" si="28">((W12-W$36)/W$37)</f>
        <v>0.5657955692</v>
      </c>
      <c r="BJ12" s="12">
        <f t="shared" si="28"/>
        <v>0.8625156669</v>
      </c>
    </row>
    <row r="13">
      <c r="A13" s="1" t="s">
        <v>84</v>
      </c>
      <c r="B13" s="12">
        <f t="shared" si="3"/>
        <v>0.3414704431</v>
      </c>
      <c r="C13" s="1" t="s">
        <v>135</v>
      </c>
      <c r="D13" s="1" t="s">
        <v>68</v>
      </c>
      <c r="E13" s="1" t="s">
        <v>69</v>
      </c>
      <c r="F13" s="1" t="s">
        <v>136</v>
      </c>
      <c r="G13" s="1" t="s">
        <v>137</v>
      </c>
      <c r="H13" s="1" t="s">
        <v>137</v>
      </c>
      <c r="I13" s="1" t="s">
        <v>138</v>
      </c>
      <c r="J13" s="13" t="s">
        <v>108</v>
      </c>
      <c r="K13" s="1" t="s">
        <v>129</v>
      </c>
      <c r="L13" s="13" t="s">
        <v>139</v>
      </c>
      <c r="M13" s="13" t="s">
        <v>76</v>
      </c>
      <c r="N13" s="14">
        <v>20.0</v>
      </c>
      <c r="O13" s="13" t="s">
        <v>90</v>
      </c>
      <c r="P13" s="1" t="s">
        <v>97</v>
      </c>
      <c r="Q13" s="13" t="s">
        <v>79</v>
      </c>
      <c r="R13" s="1" t="s">
        <v>111</v>
      </c>
      <c r="S13" s="1" t="s">
        <v>91</v>
      </c>
      <c r="T13" s="1" t="s">
        <v>82</v>
      </c>
      <c r="U13" s="13" t="s">
        <v>140</v>
      </c>
      <c r="V13" s="1"/>
      <c r="W13" s="15">
        <v>194.473452568054</v>
      </c>
      <c r="X13" s="15">
        <v>407.446476459503</v>
      </c>
      <c r="Y13" s="15">
        <v>1.89162088087554</v>
      </c>
      <c r="Z13" s="15">
        <v>5.98021562768867</v>
      </c>
      <c r="AA13" s="15">
        <v>2.44544794008964</v>
      </c>
      <c r="AB13" s="15">
        <v>0.777933542835368</v>
      </c>
      <c r="AC13" s="15">
        <v>0.0666032425521062</v>
      </c>
      <c r="AD13" s="15">
        <v>0.0069729602576278</v>
      </c>
      <c r="AE13" s="15">
        <v>0.0835042529313795</v>
      </c>
      <c r="AF13" s="15">
        <v>0.841614022283121</v>
      </c>
      <c r="AG13" s="15">
        <v>0.0665819033737691</v>
      </c>
      <c r="AH13" s="15">
        <v>0.083220104154869</v>
      </c>
      <c r="AI13" s="15">
        <v>0.844231092655733</v>
      </c>
      <c r="AJ13" s="15">
        <v>0.0769354723531266</v>
      </c>
      <c r="AK13" s="15">
        <v>0.101502633290916</v>
      </c>
      <c r="AL13" s="15">
        <v>0.772696651053668</v>
      </c>
      <c r="AM13" s="15">
        <v>10.0</v>
      </c>
      <c r="AN13" s="15">
        <v>1.8916208808755</v>
      </c>
      <c r="AO13" s="15">
        <v>5.98021562768867</v>
      </c>
      <c r="AP13" s="15">
        <v>2.44544794008964</v>
      </c>
      <c r="AQ13" s="15">
        <v>0.777738376569397</v>
      </c>
      <c r="AR13" s="15">
        <v>1.63125663265737</v>
      </c>
      <c r="AS13" s="15">
        <v>4.15708283776223</v>
      </c>
      <c r="AT13" s="15">
        <v>2.03889255179429</v>
      </c>
      <c r="AU13" s="15">
        <v>0.844231092655733</v>
      </c>
      <c r="AV13" s="15">
        <v>1.88491907265162</v>
      </c>
      <c r="AW13" s="15">
        <v>6.18424643513533</v>
      </c>
      <c r="AX13" s="15">
        <v>2.48681451562743</v>
      </c>
      <c r="AY13" s="15">
        <v>0.772696651053668</v>
      </c>
      <c r="AZ13" s="12">
        <f t="shared" ref="AZ13:BA13" si="29">(AG13-AG$36)/AG$37</f>
        <v>-0.08322492016</v>
      </c>
      <c r="BA13" s="12">
        <f t="shared" si="29"/>
        <v>-0.08881348627</v>
      </c>
      <c r="BB13" s="12">
        <f t="shared" si="5"/>
        <v>-0.689554307</v>
      </c>
      <c r="BC13" s="12">
        <f t="shared" si="6"/>
        <v>-0.6332562836</v>
      </c>
      <c r="BD13" s="12">
        <f t="shared" si="7"/>
        <v>-0.367485284</v>
      </c>
      <c r="BE13" s="12">
        <f t="shared" si="8"/>
        <v>-0.3571159851</v>
      </c>
      <c r="BF13" s="12">
        <f t="shared" si="9"/>
        <v>-0.1638258931</v>
      </c>
      <c r="BG13" s="12">
        <f t="shared" si="10"/>
        <v>-0.6658776506</v>
      </c>
      <c r="BH13" s="12">
        <f t="shared" si="11"/>
        <v>-0.4352340258</v>
      </c>
      <c r="BI13" s="12">
        <f t="shared" ref="BI13:BJ13" si="30">((W13-W$36)/W$37)</f>
        <v>-0.685099836</v>
      </c>
      <c r="BJ13" s="12">
        <f t="shared" si="30"/>
        <v>0.7508395687</v>
      </c>
    </row>
    <row r="14">
      <c r="A14" s="1" t="s">
        <v>66</v>
      </c>
      <c r="B14" s="12">
        <f t="shared" si="3"/>
        <v>0.31703484</v>
      </c>
      <c r="C14" s="1" t="s">
        <v>141</v>
      </c>
      <c r="D14" s="1" t="s">
        <v>68</v>
      </c>
      <c r="E14" s="1" t="s">
        <v>69</v>
      </c>
      <c r="F14" s="1" t="s">
        <v>142</v>
      </c>
      <c r="G14" s="1" t="s">
        <v>143</v>
      </c>
      <c r="H14" s="1" t="s">
        <v>143</v>
      </c>
      <c r="I14" s="1" t="s">
        <v>144</v>
      </c>
      <c r="J14" s="13" t="s">
        <v>108</v>
      </c>
      <c r="K14" s="1" t="s">
        <v>74</v>
      </c>
      <c r="L14" s="13" t="s">
        <v>109</v>
      </c>
      <c r="M14" s="13" t="s">
        <v>76</v>
      </c>
      <c r="N14" s="14">
        <v>150.0</v>
      </c>
      <c r="O14" s="13" t="s">
        <v>77</v>
      </c>
      <c r="P14" s="1" t="s">
        <v>97</v>
      </c>
      <c r="Q14" s="13" t="s">
        <v>79</v>
      </c>
      <c r="R14" s="1" t="s">
        <v>111</v>
      </c>
      <c r="S14" s="1" t="s">
        <v>112</v>
      </c>
      <c r="T14" s="1" t="s">
        <v>82</v>
      </c>
      <c r="U14" s="13" t="s">
        <v>140</v>
      </c>
      <c r="V14" s="1"/>
      <c r="W14" s="15">
        <v>292.106032609939</v>
      </c>
      <c r="X14" s="15">
        <v>415.575386762619</v>
      </c>
      <c r="Y14" s="15">
        <v>1.82704337263948</v>
      </c>
      <c r="Z14" s="15">
        <v>5.38853946499464</v>
      </c>
      <c r="AA14" s="15">
        <v>2.32132278345658</v>
      </c>
      <c r="AB14" s="15">
        <v>0.800385174051907</v>
      </c>
      <c r="AC14" s="15">
        <v>0.064572024893641</v>
      </c>
      <c r="AD14" s="15">
        <v>0.00668876195426165</v>
      </c>
      <c r="AE14" s="15">
        <v>0.0817848516185097</v>
      </c>
      <c r="AF14" s="15">
        <v>0.850144424461507</v>
      </c>
      <c r="AG14" s="15">
        <v>0.0644669401660231</v>
      </c>
      <c r="AH14" s="15">
        <v>0.0816250733210368</v>
      </c>
      <c r="AI14" s="15">
        <v>0.851430699113005</v>
      </c>
      <c r="AJ14" s="15">
        <v>0.0837440384775956</v>
      </c>
      <c r="AK14" s="15">
        <v>0.10536287538448</v>
      </c>
      <c r="AL14" s="15">
        <v>0.753652225146556</v>
      </c>
      <c r="AM14" s="15">
        <v>10.0</v>
      </c>
      <c r="AN14" s="15">
        <v>1.82704337263945</v>
      </c>
      <c r="AO14" s="15">
        <v>5.38853946499465</v>
      </c>
      <c r="AP14" s="15">
        <v>2.32132278345658</v>
      </c>
      <c r="AQ14" s="15">
        <v>0.800354696007448</v>
      </c>
      <c r="AR14" s="15">
        <v>1.57944003406758</v>
      </c>
      <c r="AS14" s="15">
        <v>3.99925721994744</v>
      </c>
      <c r="AT14" s="15">
        <v>1.9998142963654</v>
      </c>
      <c r="AU14" s="15">
        <v>0.851430699113005</v>
      </c>
      <c r="AV14" s="15">
        <v>2.05172894270111</v>
      </c>
      <c r="AW14" s="15">
        <v>6.6635766394487</v>
      </c>
      <c r="AX14" s="15">
        <v>2.58139044691978</v>
      </c>
      <c r="AY14" s="15">
        <v>0.753652225146556</v>
      </c>
      <c r="AZ14" s="12">
        <f t="shared" ref="AZ14:BA14" si="31">(AG14-AG$36)/AG$37</f>
        <v>-0.1635360729</v>
      </c>
      <c r="BA14" s="12">
        <f t="shared" si="31"/>
        <v>-0.1415982231</v>
      </c>
      <c r="BB14" s="12">
        <f t="shared" si="5"/>
        <v>-0.4271533683</v>
      </c>
      <c r="BC14" s="12">
        <f t="shared" si="6"/>
        <v>-0.5100109722</v>
      </c>
      <c r="BD14" s="12">
        <f t="shared" si="7"/>
        <v>-0.4798176233</v>
      </c>
      <c r="BE14" s="12">
        <f t="shared" si="8"/>
        <v>-0.5407942154</v>
      </c>
      <c r="BF14" s="12">
        <f t="shared" si="9"/>
        <v>-0.2165919603</v>
      </c>
      <c r="BG14" s="12">
        <f t="shared" si="10"/>
        <v>-0.5645422039</v>
      </c>
      <c r="BH14" s="12">
        <f t="shared" si="11"/>
        <v>-0.5822830117</v>
      </c>
      <c r="BI14" s="12">
        <f t="shared" ref="BI14:BJ14" si="32">((W14-W$36)/W$37)</f>
        <v>-0.5578709788</v>
      </c>
      <c r="BJ14" s="12">
        <f t="shared" si="32"/>
        <v>0.8108578635</v>
      </c>
    </row>
    <row r="15">
      <c r="A15" s="1" t="s">
        <v>84</v>
      </c>
      <c r="B15" s="12">
        <f t="shared" si="3"/>
        <v>0.3133901573</v>
      </c>
      <c r="C15" s="1" t="s">
        <v>145</v>
      </c>
      <c r="D15" s="1" t="s">
        <v>68</v>
      </c>
      <c r="E15" s="1" t="s">
        <v>69</v>
      </c>
      <c r="F15" s="1" t="s">
        <v>146</v>
      </c>
      <c r="G15" s="1" t="s">
        <v>147</v>
      </c>
      <c r="H15" s="1" t="s">
        <v>147</v>
      </c>
      <c r="I15" s="1" t="s">
        <v>148</v>
      </c>
      <c r="J15" s="13" t="s">
        <v>73</v>
      </c>
      <c r="K15" s="1" t="s">
        <v>74</v>
      </c>
      <c r="L15" s="13" t="s">
        <v>75</v>
      </c>
      <c r="M15" s="13" t="s">
        <v>89</v>
      </c>
      <c r="N15" s="14">
        <v>150.0</v>
      </c>
      <c r="O15" s="13" t="s">
        <v>77</v>
      </c>
      <c r="P15" s="1" t="s">
        <v>78</v>
      </c>
      <c r="Q15" s="13" t="s">
        <v>79</v>
      </c>
      <c r="R15" s="1" t="s">
        <v>130</v>
      </c>
      <c r="S15" s="1" t="s">
        <v>81</v>
      </c>
      <c r="T15" s="1" t="s">
        <v>82</v>
      </c>
      <c r="U15" s="13" t="s">
        <v>92</v>
      </c>
      <c r="V15" s="1"/>
      <c r="W15" s="15">
        <v>904.142293453216</v>
      </c>
      <c r="X15" s="15">
        <v>176.659787416458</v>
      </c>
      <c r="Y15" s="15">
        <v>1.93583251240042</v>
      </c>
      <c r="Z15" s="15">
        <v>5.90400534033677</v>
      </c>
      <c r="AA15" s="15">
        <v>2.42981590667621</v>
      </c>
      <c r="AB15" s="15">
        <v>0.774884436556127</v>
      </c>
      <c r="AC15" s="15">
        <v>0.0615678167221039</v>
      </c>
      <c r="AD15" s="15">
        <v>0.00579604375603109</v>
      </c>
      <c r="AE15" s="15">
        <v>0.0761317526136834</v>
      </c>
      <c r="AF15" s="15">
        <v>0.878682333799152</v>
      </c>
      <c r="AG15" s="15">
        <v>0.0616351814014468</v>
      </c>
      <c r="AH15" s="15">
        <v>0.0761157433866215</v>
      </c>
      <c r="AI15" s="15">
        <v>0.879343295581374</v>
      </c>
      <c r="AJ15" s="15">
        <v>0.0934759906935505</v>
      </c>
      <c r="AK15" s="15">
        <v>0.117292556675154</v>
      </c>
      <c r="AL15" s="15">
        <v>0.715592701823038</v>
      </c>
      <c r="AM15" s="15">
        <v>10.0</v>
      </c>
      <c r="AN15" s="15">
        <v>1.93583251240042</v>
      </c>
      <c r="AO15" s="15">
        <v>5.90400534033677</v>
      </c>
      <c r="AP15" s="15">
        <v>2.42981590667621</v>
      </c>
      <c r="AQ15" s="15">
        <v>0.774791440228748</v>
      </c>
      <c r="AR15" s="15">
        <v>1.4372981885143</v>
      </c>
      <c r="AS15" s="15">
        <v>3.15054281538023</v>
      </c>
      <c r="AT15" s="15">
        <v>1.77497684925191</v>
      </c>
      <c r="AU15" s="15">
        <v>0.879343295581374</v>
      </c>
      <c r="AV15" s="15">
        <v>2.17980817186767</v>
      </c>
      <c r="AW15" s="15">
        <v>7.48130404636937</v>
      </c>
      <c r="AX15" s="15">
        <v>2.73519725913312</v>
      </c>
      <c r="AY15" s="15">
        <v>0.715592701823038</v>
      </c>
      <c r="AZ15" s="12">
        <f t="shared" ref="AZ15:BA15" si="33">(AG15-AG$36)/AG$37</f>
        <v>-0.2710659863</v>
      </c>
      <c r="BA15" s="12">
        <f t="shared" si="33"/>
        <v>-0.3239197963</v>
      </c>
      <c r="BB15" s="12">
        <f t="shared" si="5"/>
        <v>-0.2256778204</v>
      </c>
      <c r="BC15" s="12">
        <f t="shared" si="6"/>
        <v>-0.3095797609</v>
      </c>
      <c r="BD15" s="12">
        <f t="shared" si="7"/>
        <v>-0.2905793127</v>
      </c>
      <c r="BE15" s="12">
        <f t="shared" si="8"/>
        <v>-0.3802479941</v>
      </c>
      <c r="BF15" s="12">
        <f t="shared" si="9"/>
        <v>-0.4211639668</v>
      </c>
      <c r="BG15" s="12">
        <f t="shared" si="10"/>
        <v>-0.3620273675</v>
      </c>
      <c r="BH15" s="12">
        <f t="shared" si="11"/>
        <v>-0.4160733484</v>
      </c>
      <c r="BI15" s="12">
        <f t="shared" ref="BI15:BJ15" si="34">((W15-W$36)/W$37)</f>
        <v>0.2396975581</v>
      </c>
      <c r="BJ15" s="12">
        <f t="shared" si="34"/>
        <v>-0.9531309556</v>
      </c>
    </row>
    <row r="16">
      <c r="A16" s="1" t="s">
        <v>84</v>
      </c>
      <c r="B16" s="12">
        <f t="shared" si="3"/>
        <v>0.3107017109</v>
      </c>
      <c r="C16" s="1" t="s">
        <v>149</v>
      </c>
      <c r="D16" s="1" t="s">
        <v>68</v>
      </c>
      <c r="E16" s="1" t="s">
        <v>69</v>
      </c>
      <c r="F16" s="1" t="s">
        <v>150</v>
      </c>
      <c r="G16" s="1" t="s">
        <v>151</v>
      </c>
      <c r="H16" s="1" t="s">
        <v>151</v>
      </c>
      <c r="I16" s="1" t="s">
        <v>152</v>
      </c>
      <c r="J16" s="13" t="s">
        <v>108</v>
      </c>
      <c r="K16" s="1" t="s">
        <v>129</v>
      </c>
      <c r="L16" s="13" t="s">
        <v>139</v>
      </c>
      <c r="M16" s="13" t="s">
        <v>89</v>
      </c>
      <c r="N16" s="14">
        <v>20.0</v>
      </c>
      <c r="O16" s="13" t="s">
        <v>90</v>
      </c>
      <c r="P16" s="1" t="s">
        <v>78</v>
      </c>
      <c r="Q16" s="13" t="s">
        <v>79</v>
      </c>
      <c r="R16" s="1" t="s">
        <v>80</v>
      </c>
      <c r="S16" s="1" t="s">
        <v>91</v>
      </c>
      <c r="T16" s="1" t="s">
        <v>82</v>
      </c>
      <c r="U16" s="13" t="s">
        <v>83</v>
      </c>
      <c r="V16" s="1"/>
      <c r="W16" s="15">
        <v>996.917415142059</v>
      </c>
      <c r="X16" s="15">
        <v>426.296114683151</v>
      </c>
      <c r="Y16" s="15">
        <v>1.717597214069</v>
      </c>
      <c r="Z16" s="15">
        <v>5.037100292262</v>
      </c>
      <c r="AA16" s="15">
        <v>2.24434852290414</v>
      </c>
      <c r="AB16" s="15">
        <v>0.813319472917432</v>
      </c>
      <c r="AC16" s="15">
        <v>0.0523137069651024</v>
      </c>
      <c r="AD16" s="15">
        <v>0.00458872594780253</v>
      </c>
      <c r="AE16" s="15">
        <v>0.0677401354279907</v>
      </c>
      <c r="AF16" s="15">
        <v>0.895844997194656</v>
      </c>
      <c r="AG16" s="15">
        <v>0.0518929680846147</v>
      </c>
      <c r="AH16" s="15">
        <v>0.0672369523429711</v>
      </c>
      <c r="AI16" s="15">
        <v>0.898418591415632</v>
      </c>
      <c r="AJ16" s="15">
        <v>0.0752196162253762</v>
      </c>
      <c r="AK16" s="15">
        <v>0.0988646935005107</v>
      </c>
      <c r="AL16" s="15">
        <v>0.785060202036385</v>
      </c>
      <c r="AM16" s="15">
        <v>10.0</v>
      </c>
      <c r="AN16" s="15">
        <v>1.71759721406898</v>
      </c>
      <c r="AO16" s="15">
        <v>5.037100292262</v>
      </c>
      <c r="AP16" s="15">
        <v>2.24434852290414</v>
      </c>
      <c r="AQ16" s="15">
        <v>0.813151399199093</v>
      </c>
      <c r="AR16" s="15">
        <v>1.27137771807307</v>
      </c>
      <c r="AS16" s="15">
        <v>2.71361485816268</v>
      </c>
      <c r="AT16" s="15">
        <v>1.64730533240279</v>
      </c>
      <c r="AU16" s="15">
        <v>0.898418591415632</v>
      </c>
      <c r="AV16" s="15">
        <v>1.84288059752174</v>
      </c>
      <c r="AW16" s="15">
        <v>5.86698012947518</v>
      </c>
      <c r="AX16" s="15">
        <v>2.42218499076251</v>
      </c>
      <c r="AY16" s="15">
        <v>0.785060202036385</v>
      </c>
      <c r="AZ16" s="12">
        <f t="shared" ref="AZ16:BA16" si="35">(AG16-AG$36)/AG$37</f>
        <v>-0.6410054625</v>
      </c>
      <c r="BA16" s="12">
        <f t="shared" si="35"/>
        <v>-0.6177477519</v>
      </c>
      <c r="BB16" s="12">
        <f t="shared" si="5"/>
        <v>-0.7556830999</v>
      </c>
      <c r="BC16" s="12">
        <f t="shared" si="6"/>
        <v>-0.7174773514</v>
      </c>
      <c r="BD16" s="12">
        <f t="shared" si="7"/>
        <v>-0.6701988158</v>
      </c>
      <c r="BE16" s="12">
        <f t="shared" si="8"/>
        <v>-0.6546993764</v>
      </c>
      <c r="BF16" s="12">
        <f t="shared" si="9"/>
        <v>-0.5609672112</v>
      </c>
      <c r="BG16" s="12">
        <f t="shared" si="10"/>
        <v>-0.731664142</v>
      </c>
      <c r="BH16" s="12">
        <f t="shared" si="11"/>
        <v>-0.6654858615</v>
      </c>
      <c r="BI16" s="12">
        <f t="shared" ref="BI16:BJ16" si="36">((W16-W$36)/W$37)</f>
        <v>0.3605964701</v>
      </c>
      <c r="BJ16" s="12">
        <f t="shared" si="36"/>
        <v>0.8900123609</v>
      </c>
    </row>
    <row r="17">
      <c r="A17" s="1" t="s">
        <v>66</v>
      </c>
      <c r="B17" s="12">
        <f t="shared" si="3"/>
        <v>0.2384396771</v>
      </c>
      <c r="C17" s="1" t="s">
        <v>153</v>
      </c>
      <c r="D17" s="1" t="s">
        <v>68</v>
      </c>
      <c r="E17" s="1" t="s">
        <v>69</v>
      </c>
      <c r="F17" s="1" t="s">
        <v>154</v>
      </c>
      <c r="G17" s="1" t="s">
        <v>155</v>
      </c>
      <c r="H17" s="1" t="s">
        <v>155</v>
      </c>
      <c r="I17" s="1" t="s">
        <v>156</v>
      </c>
      <c r="J17" s="13" t="s">
        <v>73</v>
      </c>
      <c r="K17" s="1" t="s">
        <v>74</v>
      </c>
      <c r="L17" s="13" t="s">
        <v>75</v>
      </c>
      <c r="M17" s="13" t="s">
        <v>89</v>
      </c>
      <c r="N17" s="14">
        <v>150.0</v>
      </c>
      <c r="O17" s="13" t="s">
        <v>90</v>
      </c>
      <c r="P17" s="1" t="s">
        <v>97</v>
      </c>
      <c r="Q17" s="13" t="s">
        <v>110</v>
      </c>
      <c r="R17" s="1" t="s">
        <v>80</v>
      </c>
      <c r="S17" s="1" t="s">
        <v>91</v>
      </c>
      <c r="T17" s="1" t="s">
        <v>82</v>
      </c>
      <c r="U17" s="13" t="s">
        <v>98</v>
      </c>
      <c r="V17" s="13" t="s">
        <v>98</v>
      </c>
      <c r="W17" s="15">
        <v>708.620740175247</v>
      </c>
      <c r="X17" s="15">
        <v>178.238870382308</v>
      </c>
      <c r="Y17" s="15">
        <v>2.06211516164134</v>
      </c>
      <c r="Z17" s="15">
        <v>6.83384858578939</v>
      </c>
      <c r="AA17" s="15">
        <v>2.61416307559214</v>
      </c>
      <c r="AB17" s="15">
        <v>0.739427814756824</v>
      </c>
      <c r="AC17" s="15">
        <v>0.0662777910260171</v>
      </c>
      <c r="AD17" s="15">
        <v>0.0067950112416392</v>
      </c>
      <c r="AE17" s="15">
        <v>0.0824318581716996</v>
      </c>
      <c r="AF17" s="15">
        <v>0.857772829132559</v>
      </c>
      <c r="AG17" s="15">
        <v>0.0659600512880123</v>
      </c>
      <c r="AH17" s="15">
        <v>0.0821841088511626</v>
      </c>
      <c r="AI17" s="15">
        <v>0.859337551451631</v>
      </c>
      <c r="AJ17" s="15">
        <v>0.0957801842351639</v>
      </c>
      <c r="AK17" s="15">
        <v>0.121553495401564</v>
      </c>
      <c r="AL17" s="15">
        <v>0.694553794188387</v>
      </c>
      <c r="AM17" s="15">
        <v>10.0</v>
      </c>
      <c r="AN17" s="15">
        <v>2.06211516164134</v>
      </c>
      <c r="AO17" s="15">
        <v>6.83384858578939</v>
      </c>
      <c r="AP17" s="15">
        <v>2.61416307559214</v>
      </c>
      <c r="AQ17" s="15">
        <v>0.739322526152619</v>
      </c>
      <c r="AR17" s="15">
        <v>1.53815175156353</v>
      </c>
      <c r="AS17" s="15">
        <v>3.67292533641791</v>
      </c>
      <c r="AT17" s="15">
        <v>1.91648776057086</v>
      </c>
      <c r="AU17" s="15">
        <v>0.85933755145163</v>
      </c>
      <c r="AV17" s="15">
        <v>2.23354068515056</v>
      </c>
      <c r="AW17" s="15">
        <v>8.03473029747904</v>
      </c>
      <c r="AX17" s="15">
        <v>2.83455998304481</v>
      </c>
      <c r="AY17" s="15">
        <v>0.694553794188387</v>
      </c>
      <c r="AZ17" s="12">
        <f t="shared" ref="AZ17:BA17" si="37">(AG17-AG$36)/AG$37</f>
        <v>-0.1068384079</v>
      </c>
      <c r="BA17" s="12">
        <f t="shared" si="37"/>
        <v>-0.1230979266</v>
      </c>
      <c r="BB17" s="12">
        <f t="shared" si="5"/>
        <v>-0.1411536737</v>
      </c>
      <c r="BC17" s="12">
        <f t="shared" si="6"/>
        <v>-0.1800966071</v>
      </c>
      <c r="BD17" s="12">
        <f t="shared" si="7"/>
        <v>-0.07091110628</v>
      </c>
      <c r="BE17" s="12">
        <f t="shared" si="8"/>
        <v>-0.107454286</v>
      </c>
      <c r="BF17" s="12">
        <f t="shared" si="9"/>
        <v>-0.2745414474</v>
      </c>
      <c r="BG17" s="12">
        <f t="shared" si="10"/>
        <v>-0.2500792776</v>
      </c>
      <c r="BH17" s="12">
        <f t="shared" si="11"/>
        <v>-0.1854581123</v>
      </c>
      <c r="BI17" s="12">
        <f t="shared" ref="BI17:BJ17" si="38">((W17-W$36)/W$37)</f>
        <v>-0.01509427234</v>
      </c>
      <c r="BJ17" s="12">
        <f t="shared" si="38"/>
        <v>-0.9414720907</v>
      </c>
    </row>
    <row r="18">
      <c r="A18" s="1" t="s">
        <v>66</v>
      </c>
      <c r="B18" s="12">
        <f t="shared" si="3"/>
        <v>0.1735444896</v>
      </c>
      <c r="C18" s="1" t="s">
        <v>157</v>
      </c>
      <c r="D18" s="1" t="s">
        <v>68</v>
      </c>
      <c r="E18" s="1" t="s">
        <v>69</v>
      </c>
      <c r="F18" s="1" t="s">
        <v>158</v>
      </c>
      <c r="G18" s="1" t="s">
        <v>159</v>
      </c>
      <c r="H18" s="1" t="s">
        <v>159</v>
      </c>
      <c r="I18" s="1" t="s">
        <v>160</v>
      </c>
      <c r="J18" s="13" t="s">
        <v>73</v>
      </c>
      <c r="K18" s="1" t="s">
        <v>129</v>
      </c>
      <c r="L18" s="13" t="s">
        <v>73</v>
      </c>
      <c r="M18" s="13" t="s">
        <v>76</v>
      </c>
      <c r="N18" s="14">
        <v>20.0</v>
      </c>
      <c r="O18" s="13" t="s">
        <v>90</v>
      </c>
      <c r="P18" s="1" t="s">
        <v>97</v>
      </c>
      <c r="Q18" s="13" t="s">
        <v>110</v>
      </c>
      <c r="R18" s="1" t="s">
        <v>80</v>
      </c>
      <c r="S18" s="1" t="s">
        <v>91</v>
      </c>
      <c r="T18" s="1" t="s">
        <v>82</v>
      </c>
      <c r="U18" s="13" t="s">
        <v>103</v>
      </c>
      <c r="V18" s="13" t="s">
        <v>140</v>
      </c>
      <c r="W18" s="15">
        <v>78.3854303359985</v>
      </c>
      <c r="X18" s="15">
        <v>164.147175312042</v>
      </c>
      <c r="Y18" s="15">
        <v>2.04569469010359</v>
      </c>
      <c r="Z18" s="15">
        <v>7.32961986869531</v>
      </c>
      <c r="AA18" s="15">
        <v>2.70732707087549</v>
      </c>
      <c r="AB18" s="15">
        <v>0.718329822997733</v>
      </c>
      <c r="AC18" s="15">
        <v>0.0810463007493768</v>
      </c>
      <c r="AD18" s="15">
        <v>0.0108049566344382</v>
      </c>
      <c r="AE18" s="15">
        <v>0.103946893337118</v>
      </c>
      <c r="AF18" s="15">
        <v>0.769291702738356</v>
      </c>
      <c r="AG18" s="15">
        <v>0.0805379187310101</v>
      </c>
      <c r="AH18" s="15">
        <v>0.103277391027616</v>
      </c>
      <c r="AI18" s="15">
        <v>0.774690222077437</v>
      </c>
      <c r="AJ18" s="15">
        <v>0.101989475417448</v>
      </c>
      <c r="AK18" s="15">
        <v>0.132903701006789</v>
      </c>
      <c r="AL18" s="15">
        <v>0.63533147772598</v>
      </c>
      <c r="AM18" s="15">
        <v>10.0</v>
      </c>
      <c r="AN18" s="15">
        <v>2.04569469010359</v>
      </c>
      <c r="AO18" s="15">
        <v>7.32961986869531</v>
      </c>
      <c r="AP18" s="15">
        <v>2.70732707087549</v>
      </c>
      <c r="AQ18" s="15">
        <v>0.718112239216422</v>
      </c>
      <c r="AR18" s="15">
        <v>1.87809952151899</v>
      </c>
      <c r="AS18" s="15">
        <v>5.80025271573505</v>
      </c>
      <c r="AT18" s="15">
        <v>2.40837138243566</v>
      </c>
      <c r="AU18" s="15">
        <v>0.774690222077437</v>
      </c>
      <c r="AV18" s="15">
        <v>2.37833790591522</v>
      </c>
      <c r="AW18" s="15">
        <v>9.60529150383372</v>
      </c>
      <c r="AX18" s="15">
        <v>3.09924047208888</v>
      </c>
      <c r="AY18" s="15">
        <v>0.63533147772598</v>
      </c>
      <c r="AZ18" s="12">
        <f t="shared" ref="AZ18:BA18" si="39">(AG18-AG$36)/AG$37</f>
        <v>0.4467245732</v>
      </c>
      <c r="BA18" s="12">
        <f t="shared" si="39"/>
        <v>0.5749471054</v>
      </c>
      <c r="BB18" s="12">
        <f t="shared" si="5"/>
        <v>0.08662017827</v>
      </c>
      <c r="BC18" s="12">
        <f t="shared" si="6"/>
        <v>0.1648180964</v>
      </c>
      <c r="BD18" s="12">
        <f t="shared" si="7"/>
        <v>-0.09947445645</v>
      </c>
      <c r="BE18" s="12">
        <f t="shared" si="8"/>
        <v>0.03040816062</v>
      </c>
      <c r="BF18" s="12">
        <f t="shared" si="9"/>
        <v>0.3458406099</v>
      </c>
      <c r="BG18" s="12">
        <f t="shared" si="10"/>
        <v>0.06504284374</v>
      </c>
      <c r="BH18" s="12">
        <f t="shared" si="11"/>
        <v>-0.04755100521</v>
      </c>
      <c r="BI18" s="12">
        <f t="shared" ref="BI18:BJ18" si="40">((W18-W$36)/W$37)</f>
        <v>-0.8363787062</v>
      </c>
      <c r="BJ18" s="12">
        <f t="shared" si="40"/>
        <v>-1.045515496</v>
      </c>
    </row>
    <row r="19">
      <c r="A19" s="1" t="s">
        <v>84</v>
      </c>
      <c r="B19" s="12">
        <f t="shared" si="3"/>
        <v>0.1450541935</v>
      </c>
      <c r="C19" s="1" t="s">
        <v>161</v>
      </c>
      <c r="D19" s="1" t="s">
        <v>68</v>
      </c>
      <c r="E19" s="1" t="s">
        <v>69</v>
      </c>
      <c r="F19" s="1" t="s">
        <v>162</v>
      </c>
      <c r="G19" s="1" t="s">
        <v>163</v>
      </c>
      <c r="H19" s="1" t="s">
        <v>163</v>
      </c>
      <c r="I19" s="1" t="s">
        <v>164</v>
      </c>
      <c r="J19" s="13" t="s">
        <v>108</v>
      </c>
      <c r="K19" s="1" t="s">
        <v>74</v>
      </c>
      <c r="L19" s="13" t="s">
        <v>109</v>
      </c>
      <c r="M19" s="13" t="s">
        <v>89</v>
      </c>
      <c r="N19" s="14">
        <v>150.0</v>
      </c>
      <c r="O19" s="13" t="s">
        <v>90</v>
      </c>
      <c r="P19" s="1" t="s">
        <v>97</v>
      </c>
      <c r="Q19" s="13" t="s">
        <v>79</v>
      </c>
      <c r="R19" s="1" t="s">
        <v>130</v>
      </c>
      <c r="S19" s="1" t="s">
        <v>81</v>
      </c>
      <c r="T19" s="1" t="s">
        <v>82</v>
      </c>
      <c r="U19" s="13" t="s">
        <v>140</v>
      </c>
      <c r="V19" s="1"/>
      <c r="W19" s="15">
        <v>485.000253200531</v>
      </c>
      <c r="X19" s="15">
        <v>431.422343730926</v>
      </c>
      <c r="Y19" s="15">
        <v>1.98113404481468</v>
      </c>
      <c r="Z19" s="15">
        <v>6.3341949627075</v>
      </c>
      <c r="AA19" s="15">
        <v>2.51678266099945</v>
      </c>
      <c r="AB19" s="15">
        <v>0.76556942044884</v>
      </c>
      <c r="AC19" s="15">
        <v>0.0683691281840303</v>
      </c>
      <c r="AD19" s="15">
        <v>0.00722539048551046</v>
      </c>
      <c r="AE19" s="15">
        <v>0.085002296942556</v>
      </c>
      <c r="AF19" s="15">
        <v>0.838296539077837</v>
      </c>
      <c r="AG19" s="15">
        <v>0.0685663080321903</v>
      </c>
      <c r="AH19" s="15">
        <v>0.0851094244641138</v>
      </c>
      <c r="AI19" s="15">
        <v>0.83866406094221</v>
      </c>
      <c r="AJ19" s="15">
        <v>0.0863292323468714</v>
      </c>
      <c r="AK19" s="15">
        <v>0.109648250744429</v>
      </c>
      <c r="AL19" s="15">
        <v>0.733319984929179</v>
      </c>
      <c r="AM19" s="15">
        <v>10.0</v>
      </c>
      <c r="AN19" s="15">
        <v>1.9811340448146</v>
      </c>
      <c r="AO19" s="15">
        <v>6.3341949627075</v>
      </c>
      <c r="AP19" s="15">
        <v>2.51678266099945</v>
      </c>
      <c r="AQ19" s="15">
        <v>0.765539681197294</v>
      </c>
      <c r="AR19" s="15">
        <v>1.67987454678869</v>
      </c>
      <c r="AS19" s="15">
        <v>4.34797938310077</v>
      </c>
      <c r="AT19" s="15">
        <v>2.08518089937078</v>
      </c>
      <c r="AU19" s="15">
        <v>0.83866406094221</v>
      </c>
      <c r="AV19" s="15">
        <v>2.11506619249841</v>
      </c>
      <c r="AW19" s="15">
        <v>7.2166490195108</v>
      </c>
      <c r="AX19" s="15">
        <v>2.68638214323852</v>
      </c>
      <c r="AY19" s="15">
        <v>0.733319984929179</v>
      </c>
      <c r="AZ19" s="12">
        <f t="shared" ref="AZ19:BA19" si="41">(AG19-AG$36)/AG$37</f>
        <v>-0.007871445938</v>
      </c>
      <c r="BA19" s="12">
        <f t="shared" si="41"/>
        <v>-0.02628975741</v>
      </c>
      <c r="BB19" s="12">
        <f t="shared" si="5"/>
        <v>-0.3275204521</v>
      </c>
      <c r="BC19" s="12">
        <f t="shared" si="6"/>
        <v>-0.3731925012</v>
      </c>
      <c r="BD19" s="12">
        <f t="shared" si="7"/>
        <v>-0.2117774628</v>
      </c>
      <c r="BE19" s="12">
        <f t="shared" si="8"/>
        <v>-0.251556116</v>
      </c>
      <c r="BF19" s="12">
        <f t="shared" si="9"/>
        <v>-0.1230250006</v>
      </c>
      <c r="BG19" s="12">
        <f t="shared" si="10"/>
        <v>-0.4563542934</v>
      </c>
      <c r="BH19" s="12">
        <f t="shared" si="11"/>
        <v>-0.3559193615</v>
      </c>
      <c r="BI19" s="12">
        <f t="shared" ref="BI19:BJ19" si="42">((W19-W$36)/W$37)</f>
        <v>-0.306502929</v>
      </c>
      <c r="BJ19" s="12">
        <f t="shared" si="42"/>
        <v>0.9278609181</v>
      </c>
    </row>
    <row r="20">
      <c r="A20" s="1" t="s">
        <v>66</v>
      </c>
      <c r="B20" s="12">
        <f t="shared" si="3"/>
        <v>0.09372102026</v>
      </c>
      <c r="C20" s="1" t="s">
        <v>165</v>
      </c>
      <c r="D20" s="1" t="s">
        <v>68</v>
      </c>
      <c r="E20" s="1" t="s">
        <v>69</v>
      </c>
      <c r="F20" s="1" t="s">
        <v>166</v>
      </c>
      <c r="G20" s="1" t="s">
        <v>167</v>
      </c>
      <c r="H20" s="1" t="s">
        <v>167</v>
      </c>
      <c r="I20" s="1" t="s">
        <v>168</v>
      </c>
      <c r="J20" s="13" t="s">
        <v>108</v>
      </c>
      <c r="K20" s="1" t="s">
        <v>74</v>
      </c>
      <c r="L20" s="13" t="s">
        <v>109</v>
      </c>
      <c r="M20" s="13" t="s">
        <v>76</v>
      </c>
      <c r="N20" s="14">
        <v>20.0</v>
      </c>
      <c r="O20" s="13" t="s">
        <v>90</v>
      </c>
      <c r="P20" s="1" t="s">
        <v>97</v>
      </c>
      <c r="Q20" s="13" t="s">
        <v>110</v>
      </c>
      <c r="R20" s="1" t="s">
        <v>111</v>
      </c>
      <c r="S20" s="1" t="s">
        <v>81</v>
      </c>
      <c r="T20" s="1" t="s">
        <v>82</v>
      </c>
      <c r="U20" s="13" t="s">
        <v>140</v>
      </c>
      <c r="V20" s="13" t="s">
        <v>103</v>
      </c>
      <c r="W20" s="15">
        <v>227.979334115982</v>
      </c>
      <c r="X20" s="15">
        <v>425.73728442192</v>
      </c>
      <c r="Y20" s="15">
        <v>2.07295582416179</v>
      </c>
      <c r="Z20" s="15">
        <v>6.75267935731356</v>
      </c>
      <c r="AA20" s="15">
        <v>2.59859180274885</v>
      </c>
      <c r="AB20" s="15">
        <v>0.74983726885322</v>
      </c>
      <c r="AC20" s="15">
        <v>0.0754732762384296</v>
      </c>
      <c r="AD20" s="15">
        <v>0.00902630891411504</v>
      </c>
      <c r="AE20" s="15">
        <v>0.095006888771894</v>
      </c>
      <c r="AF20" s="15">
        <v>0.797773829213474</v>
      </c>
      <c r="AG20" s="15">
        <v>0.0753398224476389</v>
      </c>
      <c r="AH20" s="15">
        <v>0.0948162916493265</v>
      </c>
      <c r="AI20" s="15">
        <v>0.799530714602915</v>
      </c>
      <c r="AJ20" s="15">
        <v>0.0911470011604847</v>
      </c>
      <c r="AK20" s="15">
        <v>0.113463815204741</v>
      </c>
      <c r="AL20" s="15">
        <v>0.714314511568062</v>
      </c>
      <c r="AM20" s="15">
        <v>10.0</v>
      </c>
      <c r="AN20" s="15">
        <v>2.0729558241617</v>
      </c>
      <c r="AO20" s="15">
        <v>6.75267935731356</v>
      </c>
      <c r="AP20" s="15">
        <v>2.59859180274885</v>
      </c>
      <c r="AQ20" s="15">
        <v>0.749813334055923</v>
      </c>
      <c r="AR20" s="15">
        <v>1.84582564996722</v>
      </c>
      <c r="AS20" s="15">
        <v>5.39632502956859</v>
      </c>
      <c r="AT20" s="15">
        <v>2.32299914540849</v>
      </c>
      <c r="AU20" s="15">
        <v>0.799530714602915</v>
      </c>
      <c r="AV20" s="15">
        <v>2.23310152843181</v>
      </c>
      <c r="AW20" s="15">
        <v>7.72764092582971</v>
      </c>
      <c r="AX20" s="15">
        <v>2.77986347251617</v>
      </c>
      <c r="AY20" s="15">
        <v>0.714314511568062</v>
      </c>
      <c r="AZ20" s="12">
        <f t="shared" ref="AZ20:BA20" si="43">(AG20-AG$36)/AG$37</f>
        <v>0.2493381115</v>
      </c>
      <c r="BA20" s="12">
        <f t="shared" si="43"/>
        <v>0.29494192</v>
      </c>
      <c r="BB20" s="12">
        <f t="shared" si="5"/>
        <v>-0.141844491</v>
      </c>
      <c r="BC20" s="12">
        <f t="shared" si="6"/>
        <v>-0.2513736052</v>
      </c>
      <c r="BD20" s="12">
        <f t="shared" si="7"/>
        <v>-0.05205381348</v>
      </c>
      <c r="BE20" s="12">
        <f t="shared" si="8"/>
        <v>-0.1304963825</v>
      </c>
      <c r="BF20" s="12">
        <f t="shared" si="9"/>
        <v>0.1637841177</v>
      </c>
      <c r="BG20" s="12">
        <f t="shared" si="10"/>
        <v>-0.3552261134</v>
      </c>
      <c r="BH20" s="12">
        <f t="shared" si="11"/>
        <v>-0.2536682677</v>
      </c>
      <c r="BI20" s="12">
        <f t="shared" ref="BI20:BJ20" si="44">((W20-W$36)/W$37)</f>
        <v>-0.6414370032</v>
      </c>
      <c r="BJ20" s="12">
        <f t="shared" si="44"/>
        <v>0.8858863418</v>
      </c>
    </row>
    <row r="21">
      <c r="A21" s="1" t="s">
        <v>66</v>
      </c>
      <c r="B21" s="12">
        <f t="shared" si="3"/>
        <v>0.06251917004</v>
      </c>
      <c r="C21" s="1" t="s">
        <v>169</v>
      </c>
      <c r="D21" s="1" t="s">
        <v>68</v>
      </c>
      <c r="E21" s="1" t="s">
        <v>69</v>
      </c>
      <c r="F21" s="1" t="s">
        <v>170</v>
      </c>
      <c r="G21" s="1" t="s">
        <v>171</v>
      </c>
      <c r="H21" s="1" t="s">
        <v>171</v>
      </c>
      <c r="I21" s="1" t="s">
        <v>172</v>
      </c>
      <c r="J21" s="13" t="s">
        <v>73</v>
      </c>
      <c r="K21" s="1" t="s">
        <v>129</v>
      </c>
      <c r="L21" s="13" t="s">
        <v>73</v>
      </c>
      <c r="M21" s="13" t="s">
        <v>89</v>
      </c>
      <c r="N21" s="14">
        <v>150.0</v>
      </c>
      <c r="O21" s="13" t="s">
        <v>77</v>
      </c>
      <c r="P21" s="1" t="s">
        <v>78</v>
      </c>
      <c r="Q21" s="13" t="s">
        <v>110</v>
      </c>
      <c r="R21" s="1" t="s">
        <v>80</v>
      </c>
      <c r="S21" s="1" t="s">
        <v>81</v>
      </c>
      <c r="T21" s="1" t="s">
        <v>82</v>
      </c>
      <c r="U21" s="13" t="s">
        <v>92</v>
      </c>
      <c r="V21" s="13" t="s">
        <v>90</v>
      </c>
      <c r="W21" s="15">
        <v>1423.15570974349</v>
      </c>
      <c r="X21" s="15">
        <v>197.473453521728</v>
      </c>
      <c r="Y21" s="15">
        <v>1.97881624396164</v>
      </c>
      <c r="Z21" s="15">
        <v>6.64776052101398</v>
      </c>
      <c r="AA21" s="15">
        <v>2.57832513873134</v>
      </c>
      <c r="AB21" s="15">
        <v>0.745705162982565</v>
      </c>
      <c r="AC21" s="15">
        <v>0.0657229555347509</v>
      </c>
      <c r="AD21" s="15">
        <v>0.00709394170794325</v>
      </c>
      <c r="AE21" s="15">
        <v>0.084225540710305</v>
      </c>
      <c r="AF21" s="15">
        <v>0.849164619834951</v>
      </c>
      <c r="AG21" s="15">
        <v>0.065057935778275</v>
      </c>
      <c r="AH21" s="15">
        <v>0.0835556163702286</v>
      </c>
      <c r="AI21" s="15">
        <v>0.853220151359582</v>
      </c>
      <c r="AJ21" s="15">
        <v>0.0945384913596027</v>
      </c>
      <c r="AK21" s="15">
        <v>0.123057499721637</v>
      </c>
      <c r="AL21" s="15">
        <v>0.68606593843065</v>
      </c>
      <c r="AM21" s="15">
        <v>10.0</v>
      </c>
      <c r="AN21" s="15">
        <v>1.97881624396164</v>
      </c>
      <c r="AO21" s="15">
        <v>6.64776052101398</v>
      </c>
      <c r="AP21" s="15">
        <v>2.57832513873134</v>
      </c>
      <c r="AQ21" s="15">
        <v>0.74551151277057</v>
      </c>
      <c r="AR21" s="15">
        <v>1.51711491905173</v>
      </c>
      <c r="AS21" s="15">
        <v>3.79653749967592</v>
      </c>
      <c r="AT21" s="15">
        <v>1.94847055396686</v>
      </c>
      <c r="AU21" s="15">
        <v>0.853220151359582</v>
      </c>
      <c r="AV21" s="15">
        <v>2.20458509712185</v>
      </c>
      <c r="AW21" s="15">
        <v>8.23479084708121</v>
      </c>
      <c r="AX21" s="15">
        <v>2.86963252823096</v>
      </c>
      <c r="AY21" s="15">
        <v>0.68606593843065</v>
      </c>
      <c r="AZ21" s="12">
        <f t="shared" ref="AZ21:BA21" si="45">(AG21-AG$36)/AG$37</f>
        <v>-0.1410942929</v>
      </c>
      <c r="BA21" s="12">
        <f t="shared" si="45"/>
        <v>-0.07771030029</v>
      </c>
      <c r="BB21" s="12">
        <f t="shared" si="5"/>
        <v>-0.1867023782</v>
      </c>
      <c r="BC21" s="12">
        <f t="shared" si="6"/>
        <v>-0.1343923069</v>
      </c>
      <c r="BD21" s="12">
        <f t="shared" si="7"/>
        <v>-0.2158092689</v>
      </c>
      <c r="BE21" s="12">
        <f t="shared" si="8"/>
        <v>-0.1604866365</v>
      </c>
      <c r="BF21" s="12">
        <f t="shared" si="9"/>
        <v>-0.2297068934</v>
      </c>
      <c r="BG21" s="12">
        <f t="shared" si="10"/>
        <v>-0.204915372</v>
      </c>
      <c r="BH21" s="12">
        <f t="shared" si="11"/>
        <v>-0.2256982675</v>
      </c>
      <c r="BI21" s="12">
        <f t="shared" ref="BI21:BJ21" si="46">((W21-W$36)/W$37)</f>
        <v>0.9160443655</v>
      </c>
      <c r="BJ21" s="12">
        <f t="shared" si="46"/>
        <v>-0.7994571294</v>
      </c>
    </row>
    <row r="22">
      <c r="A22" s="1" t="s">
        <v>66</v>
      </c>
      <c r="B22" s="12">
        <f t="shared" si="3"/>
        <v>0.006920502348</v>
      </c>
      <c r="C22" s="1" t="s">
        <v>173</v>
      </c>
      <c r="D22" s="1" t="s">
        <v>68</v>
      </c>
      <c r="E22" s="1" t="s">
        <v>69</v>
      </c>
      <c r="F22" s="1" t="s">
        <v>174</v>
      </c>
      <c r="G22" s="1" t="s">
        <v>175</v>
      </c>
      <c r="H22" s="1" t="s">
        <v>175</v>
      </c>
      <c r="I22" s="1" t="s">
        <v>176</v>
      </c>
      <c r="J22" s="13" t="s">
        <v>108</v>
      </c>
      <c r="K22" s="1" t="s">
        <v>129</v>
      </c>
      <c r="L22" s="13" t="s">
        <v>139</v>
      </c>
      <c r="M22" s="13" t="s">
        <v>76</v>
      </c>
      <c r="N22" s="14">
        <v>20.0</v>
      </c>
      <c r="O22" s="13" t="s">
        <v>77</v>
      </c>
      <c r="P22" s="1" t="s">
        <v>78</v>
      </c>
      <c r="Q22" s="13" t="s">
        <v>79</v>
      </c>
      <c r="R22" s="1" t="s">
        <v>80</v>
      </c>
      <c r="S22" s="1" t="s">
        <v>81</v>
      </c>
      <c r="T22" s="1" t="s">
        <v>82</v>
      </c>
      <c r="U22" s="13" t="s">
        <v>90</v>
      </c>
      <c r="V22" s="1"/>
      <c r="W22" s="15">
        <v>749.205843687057</v>
      </c>
      <c r="X22" s="15">
        <v>416.313429355621</v>
      </c>
      <c r="Y22" s="15">
        <v>2.13875495833566</v>
      </c>
      <c r="Z22" s="15">
        <v>7.20986923223144</v>
      </c>
      <c r="AA22" s="15">
        <v>2.68511996607813</v>
      </c>
      <c r="AB22" s="15">
        <v>0.732205316456469</v>
      </c>
      <c r="AC22" s="15">
        <v>0.0697727343433666</v>
      </c>
      <c r="AD22" s="15">
        <v>0.00745792813905505</v>
      </c>
      <c r="AE22" s="15">
        <v>0.0863592967725829</v>
      </c>
      <c r="AF22" s="15">
        <v>0.830598311706381</v>
      </c>
      <c r="AG22" s="15">
        <v>0.0689232672825333</v>
      </c>
      <c r="AH22" s="15">
        <v>0.08559173647368</v>
      </c>
      <c r="AI22" s="15">
        <v>0.835226283175164</v>
      </c>
      <c r="AJ22" s="15">
        <v>0.0888373480956608</v>
      </c>
      <c r="AK22" s="15">
        <v>0.113726226259709</v>
      </c>
      <c r="AL22" s="15">
        <v>0.714653550955342</v>
      </c>
      <c r="AM22" s="15">
        <v>10.0</v>
      </c>
      <c r="AN22" s="15">
        <v>2.13875495833559</v>
      </c>
      <c r="AO22" s="15">
        <v>7.20986923223144</v>
      </c>
      <c r="AP22" s="15">
        <v>2.68511996607813</v>
      </c>
      <c r="AQ22" s="15">
        <v>0.732036879597021</v>
      </c>
      <c r="AR22" s="15">
        <v>1.68862004842208</v>
      </c>
      <c r="AS22" s="15">
        <v>4.39739869788607</v>
      </c>
      <c r="AT22" s="15">
        <v>2.09699754360516</v>
      </c>
      <c r="AU22" s="15">
        <v>0.835226283175164</v>
      </c>
      <c r="AV22" s="15">
        <v>2.17651502834361</v>
      </c>
      <c r="AW22" s="15">
        <v>7.7634261371996</v>
      </c>
      <c r="AX22" s="15">
        <v>2.78629254336288</v>
      </c>
      <c r="AY22" s="15">
        <v>0.714653550955342</v>
      </c>
      <c r="AZ22" s="12">
        <f t="shared" ref="AZ22:BA22" si="47">(AG22-AG$36)/AG$37</f>
        <v>0.005683309416</v>
      </c>
      <c r="BA22" s="12">
        <f t="shared" si="47"/>
        <v>-0.01032849072</v>
      </c>
      <c r="BB22" s="12">
        <f t="shared" si="5"/>
        <v>-0.2308581131</v>
      </c>
      <c r="BC22" s="12">
        <f t="shared" si="6"/>
        <v>-0.2429956508</v>
      </c>
      <c r="BD22" s="12">
        <f t="shared" si="7"/>
        <v>0.06240353971</v>
      </c>
      <c r="BE22" s="12">
        <f t="shared" si="8"/>
        <v>-0.002453523658</v>
      </c>
      <c r="BF22" s="12">
        <f t="shared" si="9"/>
        <v>-0.09782945507</v>
      </c>
      <c r="BG22" s="12">
        <f t="shared" si="10"/>
        <v>-0.357030143</v>
      </c>
      <c r="BH22" s="12">
        <f t="shared" si="11"/>
        <v>-0.1380875867</v>
      </c>
      <c r="BI22" s="12">
        <f t="shared" ref="BI22:BJ22" si="48">((W22-W$36)/W$37)</f>
        <v>0.03779377318</v>
      </c>
      <c r="BJ22" s="12">
        <f t="shared" si="48"/>
        <v>0.8163070635</v>
      </c>
    </row>
    <row r="23">
      <c r="A23" s="1" t="s">
        <v>66</v>
      </c>
      <c r="B23" s="12">
        <f t="shared" si="3"/>
        <v>-0.01653391935</v>
      </c>
      <c r="C23" s="1" t="s">
        <v>177</v>
      </c>
      <c r="D23" s="1" t="s">
        <v>68</v>
      </c>
      <c r="E23" s="1" t="s">
        <v>69</v>
      </c>
      <c r="F23" s="1" t="s">
        <v>178</v>
      </c>
      <c r="G23" s="1" t="s">
        <v>179</v>
      </c>
      <c r="H23" s="1" t="s">
        <v>179</v>
      </c>
      <c r="I23" s="1" t="s">
        <v>180</v>
      </c>
      <c r="J23" s="13" t="s">
        <v>108</v>
      </c>
      <c r="K23" s="1" t="s">
        <v>129</v>
      </c>
      <c r="L23" s="13" t="s">
        <v>139</v>
      </c>
      <c r="M23" s="13" t="s">
        <v>89</v>
      </c>
      <c r="N23" s="14">
        <v>20.0</v>
      </c>
      <c r="O23" s="13" t="s">
        <v>77</v>
      </c>
      <c r="P23" s="1" t="s">
        <v>97</v>
      </c>
      <c r="Q23" s="13" t="s">
        <v>79</v>
      </c>
      <c r="R23" s="1" t="s">
        <v>80</v>
      </c>
      <c r="S23" s="1" t="s">
        <v>91</v>
      </c>
      <c r="T23" s="1" t="s">
        <v>82</v>
      </c>
      <c r="U23" s="13" t="s">
        <v>103</v>
      </c>
      <c r="V23" s="1"/>
      <c r="W23" s="15">
        <v>353.311714410781</v>
      </c>
      <c r="X23" s="15">
        <v>408.070708513259</v>
      </c>
      <c r="Y23" s="15">
        <v>2.1487068194497</v>
      </c>
      <c r="Z23" s="15">
        <v>7.50082040311643</v>
      </c>
      <c r="AA23" s="15">
        <v>2.73876256786097</v>
      </c>
      <c r="AB23" s="15">
        <v>0.721973229320156</v>
      </c>
      <c r="AC23" s="15">
        <v>0.0729847493133338</v>
      </c>
      <c r="AD23" s="15">
        <v>0.00831591124899518</v>
      </c>
      <c r="AE23" s="15">
        <v>0.0911916183045086</v>
      </c>
      <c r="AF23" s="15">
        <v>0.811245262994434</v>
      </c>
      <c r="AG23" s="15">
        <v>0.0726859153746441</v>
      </c>
      <c r="AH23" s="15">
        <v>0.0906793672943221</v>
      </c>
      <c r="AI23" s="15">
        <v>0.815236937005545</v>
      </c>
      <c r="AJ23" s="15">
        <v>0.0944484801822747</v>
      </c>
      <c r="AK23" s="15">
        <v>0.123943876950086</v>
      </c>
      <c r="AL23" s="15">
        <v>0.662180635088795</v>
      </c>
      <c r="AM23" s="15">
        <v>10.0</v>
      </c>
      <c r="AN23" s="15">
        <v>2.14870681944964</v>
      </c>
      <c r="AO23" s="15">
        <v>7.50082040311643</v>
      </c>
      <c r="AP23" s="15">
        <v>2.73876256786097</v>
      </c>
      <c r="AQ23" s="15">
        <v>0.721760990279623</v>
      </c>
      <c r="AR23" s="15">
        <v>1.78080492667882</v>
      </c>
      <c r="AS23" s="15">
        <v>4.93570427865239</v>
      </c>
      <c r="AT23" s="15">
        <v>2.22164449871089</v>
      </c>
      <c r="AU23" s="15">
        <v>0.815236937005545</v>
      </c>
      <c r="AV23" s="15">
        <v>2.31398776446565</v>
      </c>
      <c r="AW23" s="15">
        <v>9.22109130120928</v>
      </c>
      <c r="AX23" s="15">
        <v>3.03662498527712</v>
      </c>
      <c r="AY23" s="15">
        <v>0.662180635088795</v>
      </c>
      <c r="AZ23" s="12">
        <f t="shared" ref="AZ23:BA23" si="49">(AG23-AG$36)/AG$37</f>
        <v>0.1485617313</v>
      </c>
      <c r="BA23" s="12">
        <f t="shared" si="49"/>
        <v>0.1580376929</v>
      </c>
      <c r="BB23" s="12">
        <f t="shared" si="5"/>
        <v>-0.01460607122</v>
      </c>
      <c r="BC23" s="12">
        <f t="shared" si="6"/>
        <v>0.08322159432</v>
      </c>
      <c r="BD23" s="12">
        <f t="shared" si="7"/>
        <v>0.07971476571</v>
      </c>
      <c r="BE23" s="12">
        <f t="shared" si="8"/>
        <v>0.07692585785</v>
      </c>
      <c r="BF23" s="12">
        <f t="shared" si="9"/>
        <v>0.04867288341</v>
      </c>
      <c r="BG23" s="12">
        <f t="shared" si="10"/>
        <v>-0.07782160214</v>
      </c>
      <c r="BH23" s="12">
        <f t="shared" si="11"/>
        <v>-0.07127480984</v>
      </c>
      <c r="BI23" s="12">
        <f t="shared" ref="BI23:BJ23" si="50">((W23-W$36)/W$37)</f>
        <v>-0.4781114462</v>
      </c>
      <c r="BJ23" s="12">
        <f t="shared" si="50"/>
        <v>0.7554484698</v>
      </c>
    </row>
    <row r="24">
      <c r="A24" s="1" t="s">
        <v>84</v>
      </c>
      <c r="B24" s="12">
        <f t="shared" si="3"/>
        <v>-0.1641907013</v>
      </c>
      <c r="C24" s="1" t="s">
        <v>181</v>
      </c>
      <c r="D24" s="1" t="s">
        <v>68</v>
      </c>
      <c r="E24" s="1" t="s">
        <v>69</v>
      </c>
      <c r="F24" s="1" t="s">
        <v>182</v>
      </c>
      <c r="G24" s="1" t="s">
        <v>183</v>
      </c>
      <c r="H24" s="1" t="s">
        <v>183</v>
      </c>
      <c r="I24" s="1" t="s">
        <v>184</v>
      </c>
      <c r="J24" s="13" t="s">
        <v>108</v>
      </c>
      <c r="K24" s="1" t="s">
        <v>74</v>
      </c>
      <c r="L24" s="13" t="s">
        <v>109</v>
      </c>
      <c r="M24" s="13" t="s">
        <v>76</v>
      </c>
      <c r="N24" s="14">
        <v>150.0</v>
      </c>
      <c r="O24" s="13" t="s">
        <v>90</v>
      </c>
      <c r="P24" s="1" t="s">
        <v>78</v>
      </c>
      <c r="Q24" s="13" t="s">
        <v>110</v>
      </c>
      <c r="R24" s="1" t="s">
        <v>80</v>
      </c>
      <c r="S24" s="1" t="s">
        <v>81</v>
      </c>
      <c r="T24" s="1" t="s">
        <v>82</v>
      </c>
      <c r="U24" s="13" t="s">
        <v>92</v>
      </c>
      <c r="V24" s="13" t="s">
        <v>92</v>
      </c>
      <c r="W24" s="15">
        <v>1720.75284075737</v>
      </c>
      <c r="X24" s="15">
        <v>459.114831686019</v>
      </c>
      <c r="Y24" s="15">
        <v>2.03847461919589</v>
      </c>
      <c r="Z24" s="15">
        <v>6.59439301725976</v>
      </c>
      <c r="AA24" s="15">
        <v>2.56795502633121</v>
      </c>
      <c r="AB24" s="15">
        <v>0.755804814212143</v>
      </c>
      <c r="AC24" s="15">
        <v>0.0360607673063208</v>
      </c>
      <c r="AD24" s="15">
        <v>0.00213883977285734</v>
      </c>
      <c r="AE24" s="15">
        <v>0.0462475920763162</v>
      </c>
      <c r="AF24" s="15">
        <v>0.952081256989278</v>
      </c>
      <c r="AG24" s="15">
        <v>0.035885035615434</v>
      </c>
      <c r="AH24" s="15">
        <v>0.0461116696016872</v>
      </c>
      <c r="AI24" s="15">
        <v>0.952586326402196</v>
      </c>
      <c r="AJ24" s="15">
        <v>0.105142559851324</v>
      </c>
      <c r="AK24" s="15">
        <v>0.129803299806026</v>
      </c>
      <c r="AL24" s="15">
        <v>0.626109111587594</v>
      </c>
      <c r="AM24" s="15">
        <v>10.0</v>
      </c>
      <c r="AN24" s="15">
        <v>2.03847461919594</v>
      </c>
      <c r="AO24" s="15">
        <v>6.59439301725976</v>
      </c>
      <c r="AP24" s="15">
        <v>2.56795502633121</v>
      </c>
      <c r="AQ24" s="15">
        <v>0.755677840511373</v>
      </c>
      <c r="AR24" s="15">
        <v>0.879183372578123</v>
      </c>
      <c r="AS24" s="15">
        <v>1.27630321559146</v>
      </c>
      <c r="AT24" s="15">
        <v>1.12973590524133</v>
      </c>
      <c r="AU24" s="15">
        <v>0.952586326402196</v>
      </c>
      <c r="AV24" s="15">
        <v>2.57599271635757</v>
      </c>
      <c r="AW24" s="15">
        <v>10.11355020848</v>
      </c>
      <c r="AX24" s="15">
        <v>3.18018084524764</v>
      </c>
      <c r="AY24" s="15">
        <v>0.626109111587594</v>
      </c>
      <c r="AZ24" s="12">
        <f t="shared" ref="AZ24:BA24" si="51">(AG24-AG$36)/AG$37</f>
        <v>-1.24887207</v>
      </c>
      <c r="BA24" s="12">
        <f t="shared" si="51"/>
        <v>-1.316851786</v>
      </c>
      <c r="BB24" s="12">
        <f t="shared" si="5"/>
        <v>0.3975418749</v>
      </c>
      <c r="BC24" s="12">
        <f t="shared" si="6"/>
        <v>0.2702944196</v>
      </c>
      <c r="BD24" s="12">
        <f t="shared" si="7"/>
        <v>-0.1120337434</v>
      </c>
      <c r="BE24" s="12">
        <f t="shared" si="8"/>
        <v>-0.175832147</v>
      </c>
      <c r="BF24" s="12">
        <f t="shared" si="9"/>
        <v>-0.9579636801</v>
      </c>
      <c r="BG24" s="12">
        <f t="shared" si="10"/>
        <v>0.1141150813</v>
      </c>
      <c r="BH24" s="12">
        <f t="shared" si="11"/>
        <v>-0.2917986863</v>
      </c>
      <c r="BI24" s="12">
        <f t="shared" ref="BI24:BJ24" si="52">((W24-W$36)/W$37)</f>
        <v>1.303854898</v>
      </c>
      <c r="BJ24" s="12">
        <f t="shared" si="52"/>
        <v>1.132323244</v>
      </c>
    </row>
    <row r="25">
      <c r="A25" s="1" t="s">
        <v>66</v>
      </c>
      <c r="B25" s="12">
        <f t="shared" si="3"/>
        <v>-0.291399417</v>
      </c>
      <c r="C25" s="1" t="s">
        <v>185</v>
      </c>
      <c r="D25" s="1" t="s">
        <v>68</v>
      </c>
      <c r="E25" s="1" t="s">
        <v>69</v>
      </c>
      <c r="F25" s="1" t="s">
        <v>186</v>
      </c>
      <c r="G25" s="1" t="s">
        <v>187</v>
      </c>
      <c r="H25" s="1" t="s">
        <v>187</v>
      </c>
      <c r="I25" s="1" t="s">
        <v>188</v>
      </c>
      <c r="J25" s="13" t="s">
        <v>108</v>
      </c>
      <c r="K25" s="1" t="s">
        <v>74</v>
      </c>
      <c r="L25" s="13" t="s">
        <v>109</v>
      </c>
      <c r="M25" s="13" t="s">
        <v>89</v>
      </c>
      <c r="N25" s="14">
        <v>150.0</v>
      </c>
      <c r="O25" s="13" t="s">
        <v>77</v>
      </c>
      <c r="P25" s="1" t="s">
        <v>78</v>
      </c>
      <c r="Q25" s="13" t="s">
        <v>110</v>
      </c>
      <c r="R25" s="1" t="s">
        <v>111</v>
      </c>
      <c r="S25" s="1" t="s">
        <v>91</v>
      </c>
      <c r="T25" s="1" t="s">
        <v>82</v>
      </c>
      <c r="U25" s="13" t="s">
        <v>92</v>
      </c>
      <c r="V25" s="13" t="s">
        <v>92</v>
      </c>
      <c r="W25" s="15">
        <v>3068.06471204757</v>
      </c>
      <c r="X25" s="15">
        <v>500.266392230987</v>
      </c>
      <c r="Y25" s="15">
        <v>1.81110468291815</v>
      </c>
      <c r="Z25" s="15">
        <v>5.31482665000266</v>
      </c>
      <c r="AA25" s="15">
        <v>2.30539078032394</v>
      </c>
      <c r="AB25" s="15">
        <v>0.803298070048677</v>
      </c>
      <c r="AC25" s="15">
        <v>0.0623468060548975</v>
      </c>
      <c r="AD25" s="15">
        <v>0.00624358488590796</v>
      </c>
      <c r="AE25" s="15">
        <v>0.0790163583437503</v>
      </c>
      <c r="AF25" s="15">
        <v>0.86026924266069</v>
      </c>
      <c r="AG25" s="15">
        <v>0.0621836398233193</v>
      </c>
      <c r="AH25" s="15">
        <v>0.0788338654371974</v>
      </c>
      <c r="AI25" s="15">
        <v>0.861579167370532</v>
      </c>
      <c r="AJ25" s="15">
        <v>0.0746492565633857</v>
      </c>
      <c r="AK25" s="15">
        <v>0.0950133525140146</v>
      </c>
      <c r="AL25" s="15">
        <v>0.799757462374797</v>
      </c>
      <c r="AM25" s="15">
        <v>10.0</v>
      </c>
      <c r="AN25" s="15">
        <v>1.81110468291811</v>
      </c>
      <c r="AO25" s="15">
        <v>5.31482665000266</v>
      </c>
      <c r="AP25" s="15">
        <v>2.30539078032394</v>
      </c>
      <c r="AQ25" s="15">
        <v>0.80327161413925</v>
      </c>
      <c r="AR25" s="15">
        <v>1.52349917567132</v>
      </c>
      <c r="AS25" s="15">
        <v>3.73042069844704</v>
      </c>
      <c r="AT25" s="15">
        <v>1.93142970321133</v>
      </c>
      <c r="AU25" s="15">
        <v>0.861579167370532</v>
      </c>
      <c r="AV25" s="15">
        <v>1.82890678580295</v>
      </c>
      <c r="AW25" s="15">
        <v>5.41877917786045</v>
      </c>
      <c r="AX25" s="15">
        <v>2.32782713659336</v>
      </c>
      <c r="AY25" s="15">
        <v>0.799757462374797</v>
      </c>
      <c r="AZ25" s="12">
        <f t="shared" ref="AZ25:BA25" si="53">(AG25-AG$36)/AG$37</f>
        <v>-0.2502394641</v>
      </c>
      <c r="BA25" s="12">
        <f t="shared" si="53"/>
        <v>-0.2339683332</v>
      </c>
      <c r="BB25" s="12">
        <f t="shared" si="5"/>
        <v>-0.7776646607</v>
      </c>
      <c r="BC25" s="12">
        <f t="shared" si="6"/>
        <v>-0.8404384786</v>
      </c>
      <c r="BD25" s="12">
        <f t="shared" si="7"/>
        <v>-0.5075429158</v>
      </c>
      <c r="BE25" s="12">
        <f t="shared" si="8"/>
        <v>-0.5643701143</v>
      </c>
      <c r="BF25" s="12">
        <f t="shared" si="9"/>
        <v>-0.2909702976</v>
      </c>
      <c r="BG25" s="12">
        <f t="shared" si="10"/>
        <v>-0.8098683078</v>
      </c>
      <c r="BH25" s="12">
        <f t="shared" si="11"/>
        <v>-0.6012485138</v>
      </c>
      <c r="BI25" s="12">
        <f t="shared" ref="BI25:BJ25" si="54">((W25-W$36)/W$37)</f>
        <v>3.059590018</v>
      </c>
      <c r="BJ25" s="12">
        <f t="shared" si="54"/>
        <v>1.436158125</v>
      </c>
    </row>
    <row r="26">
      <c r="A26" s="1" t="s">
        <v>84</v>
      </c>
      <c r="B26" s="12">
        <f t="shared" si="3"/>
        <v>-0.3827142439</v>
      </c>
      <c r="C26" s="1" t="s">
        <v>189</v>
      </c>
      <c r="D26" s="1" t="s">
        <v>68</v>
      </c>
      <c r="E26" s="1" t="s">
        <v>69</v>
      </c>
      <c r="F26" s="1" t="s">
        <v>190</v>
      </c>
      <c r="G26" s="1" t="s">
        <v>191</v>
      </c>
      <c r="H26" s="1" t="s">
        <v>191</v>
      </c>
      <c r="I26" s="1" t="s">
        <v>192</v>
      </c>
      <c r="J26" s="13" t="s">
        <v>73</v>
      </c>
      <c r="K26" s="1" t="s">
        <v>129</v>
      </c>
      <c r="L26" s="13" t="s">
        <v>73</v>
      </c>
      <c r="M26" s="13" t="s">
        <v>76</v>
      </c>
      <c r="N26" s="14">
        <v>150.0</v>
      </c>
      <c r="O26" s="13" t="s">
        <v>90</v>
      </c>
      <c r="P26" s="1" t="s">
        <v>78</v>
      </c>
      <c r="Q26" s="13" t="s">
        <v>110</v>
      </c>
      <c r="R26" s="1" t="s">
        <v>111</v>
      </c>
      <c r="S26" s="1" t="s">
        <v>112</v>
      </c>
      <c r="T26" s="1" t="s">
        <v>82</v>
      </c>
      <c r="U26" s="13" t="s">
        <v>98</v>
      </c>
      <c r="V26" s="13" t="s">
        <v>98</v>
      </c>
      <c r="W26" s="15">
        <v>379.280157804489</v>
      </c>
      <c r="X26" s="15">
        <v>172.466758728027</v>
      </c>
      <c r="Y26" s="15">
        <v>2.58240190251149</v>
      </c>
      <c r="Z26" s="15">
        <v>11.558954290386</v>
      </c>
      <c r="AA26" s="15">
        <v>3.39984621569652</v>
      </c>
      <c r="AB26" s="15">
        <v>0.555937163999436</v>
      </c>
      <c r="AC26" s="15">
        <v>0.0828455707035777</v>
      </c>
      <c r="AD26" s="15">
        <v>0.0110845634089508</v>
      </c>
      <c r="AE26" s="15">
        <v>0.105283253221729</v>
      </c>
      <c r="AF26" s="15">
        <v>0.763321516551302</v>
      </c>
      <c r="AG26" s="15">
        <v>0.0824835595486272</v>
      </c>
      <c r="AH26" s="15">
        <v>0.104630782157014</v>
      </c>
      <c r="AI26" s="15">
        <v>0.768746419021721</v>
      </c>
      <c r="AJ26" s="15">
        <v>0.117401072004671</v>
      </c>
      <c r="AK26" s="15">
        <v>0.1593889781349</v>
      </c>
      <c r="AL26" s="15">
        <v>0.475505788238531</v>
      </c>
      <c r="AM26" s="15">
        <v>10.0</v>
      </c>
      <c r="AN26" s="15">
        <v>2.58240190251149</v>
      </c>
      <c r="AO26" s="15">
        <v>11.5589542903859</v>
      </c>
      <c r="AP26" s="15">
        <v>3.39984621569652</v>
      </c>
      <c r="AQ26" s="15">
        <v>0.55545747251738</v>
      </c>
      <c r="AR26" s="15">
        <v>1.92347078447425</v>
      </c>
      <c r="AS26" s="15">
        <v>5.95326675770689</v>
      </c>
      <c r="AT26" s="15">
        <v>2.43993171168926</v>
      </c>
      <c r="AU26" s="15">
        <v>0.768746419021721</v>
      </c>
      <c r="AV26" s="15">
        <v>2.73772777633116</v>
      </c>
      <c r="AW26" s="15">
        <v>13.8150662542153</v>
      </c>
      <c r="AX26" s="15">
        <v>3.71686242067357</v>
      </c>
      <c r="AY26" s="15">
        <v>0.475505788238531</v>
      </c>
      <c r="AZ26" s="12">
        <f t="shared" ref="AZ26:BA26" si="55">(AG26-AG$36)/AG$37</f>
        <v>0.5206060745</v>
      </c>
      <c r="BA26" s="12">
        <f t="shared" si="55"/>
        <v>0.6197352017</v>
      </c>
      <c r="BB26" s="12">
        <f t="shared" si="5"/>
        <v>0.6519598631</v>
      </c>
      <c r="BC26" s="12">
        <f t="shared" si="6"/>
        <v>0.9696635613</v>
      </c>
      <c r="BD26" s="12">
        <f t="shared" si="7"/>
        <v>0.8341257761</v>
      </c>
      <c r="BE26" s="12">
        <f t="shared" si="8"/>
        <v>1.055185848</v>
      </c>
      <c r="BF26" s="12">
        <f t="shared" si="9"/>
        <v>0.3894028675</v>
      </c>
      <c r="BG26" s="12">
        <f t="shared" si="10"/>
        <v>0.9154758111</v>
      </c>
      <c r="BH26" s="12">
        <f t="shared" si="11"/>
        <v>1.010013581</v>
      </c>
      <c r="BI26" s="12">
        <f t="shared" ref="BI26:BJ26" si="56">((W26-W$36)/W$37)</f>
        <v>-0.4442709457</v>
      </c>
      <c r="BJ26" s="12">
        <f t="shared" si="56"/>
        <v>-0.9840894018</v>
      </c>
    </row>
    <row r="27">
      <c r="A27" s="1" t="s">
        <v>66</v>
      </c>
      <c r="B27" s="12">
        <f t="shared" si="3"/>
        <v>-0.4086028245</v>
      </c>
      <c r="C27" s="1" t="s">
        <v>193</v>
      </c>
      <c r="D27" s="1" t="s">
        <v>68</v>
      </c>
      <c r="E27" s="1" t="s">
        <v>69</v>
      </c>
      <c r="F27" s="1" t="s">
        <v>194</v>
      </c>
      <c r="G27" s="1" t="s">
        <v>195</v>
      </c>
      <c r="H27" s="1" t="s">
        <v>195</v>
      </c>
      <c r="I27" s="1" t="s">
        <v>196</v>
      </c>
      <c r="J27" s="13" t="s">
        <v>73</v>
      </c>
      <c r="K27" s="1" t="s">
        <v>129</v>
      </c>
      <c r="L27" s="13" t="s">
        <v>73</v>
      </c>
      <c r="M27" s="13" t="s">
        <v>76</v>
      </c>
      <c r="N27" s="14">
        <v>150.0</v>
      </c>
      <c r="O27" s="13" t="s">
        <v>77</v>
      </c>
      <c r="P27" s="1" t="s">
        <v>97</v>
      </c>
      <c r="Q27" s="13" t="s">
        <v>79</v>
      </c>
      <c r="R27" s="1" t="s">
        <v>111</v>
      </c>
      <c r="S27" s="1" t="s">
        <v>81</v>
      </c>
      <c r="T27" s="1" t="s">
        <v>82</v>
      </c>
      <c r="U27" s="13" t="s">
        <v>98</v>
      </c>
      <c r="V27" s="1"/>
      <c r="W27" s="15">
        <v>219.924874782562</v>
      </c>
      <c r="X27" s="15">
        <v>162.536518096923</v>
      </c>
      <c r="Y27" s="15">
        <v>2.58316064789201</v>
      </c>
      <c r="Z27" s="15">
        <v>11.8962781596147</v>
      </c>
      <c r="AA27" s="15">
        <v>3.44909816613194</v>
      </c>
      <c r="AB27" s="15">
        <v>0.542718744583185</v>
      </c>
      <c r="AC27" s="15">
        <v>0.0983913360233705</v>
      </c>
      <c r="AD27" s="15">
        <v>0.0157644671138441</v>
      </c>
      <c r="AE27" s="15">
        <v>0.125556629111505</v>
      </c>
      <c r="AF27" s="15">
        <v>0.663395838769021</v>
      </c>
      <c r="AG27" s="15">
        <v>0.0976573777433428</v>
      </c>
      <c r="AH27" s="15">
        <v>0.124589619001112</v>
      </c>
      <c r="AI27" s="15">
        <v>0.6721061747383</v>
      </c>
      <c r="AJ27" s="15">
        <v>0.110696531013151</v>
      </c>
      <c r="AK27" s="15">
        <v>0.153910052077851</v>
      </c>
      <c r="AL27" s="15">
        <v>0.51094455635176</v>
      </c>
      <c r="AM27" s="15">
        <v>10.0</v>
      </c>
      <c r="AN27" s="15">
        <v>2.58316064789202</v>
      </c>
      <c r="AO27" s="15">
        <v>11.8962781596147</v>
      </c>
      <c r="AP27" s="15">
        <v>3.44909816613194</v>
      </c>
      <c r="AQ27" s="15">
        <v>0.542484430005058</v>
      </c>
      <c r="AR27" s="15">
        <v>2.27731579487601</v>
      </c>
      <c r="AS27" s="15">
        <v>8.44112078926546</v>
      </c>
      <c r="AT27" s="15">
        <v>2.90536069865093</v>
      </c>
      <c r="AU27" s="15">
        <v>0.6721061747383</v>
      </c>
      <c r="AV27" s="15">
        <v>2.58138160515388</v>
      </c>
      <c r="AW27" s="15">
        <v>12.8816166212675</v>
      </c>
      <c r="AX27" s="15">
        <v>3.58909690887101</v>
      </c>
      <c r="AY27" s="15">
        <v>0.51094455635176</v>
      </c>
      <c r="AZ27" s="12">
        <f t="shared" ref="AZ27:BA27" si="57">(AG27-AG$36)/AG$37</f>
        <v>1.096798996</v>
      </c>
      <c r="BA27" s="12">
        <f t="shared" si="57"/>
        <v>1.280237763</v>
      </c>
      <c r="BB27" s="12">
        <f t="shared" si="5"/>
        <v>0.4060188881</v>
      </c>
      <c r="BC27" s="12">
        <f t="shared" si="6"/>
        <v>0.803167709</v>
      </c>
      <c r="BD27" s="12">
        <f t="shared" si="7"/>
        <v>0.835445611</v>
      </c>
      <c r="BE27" s="12">
        <f t="shared" si="8"/>
        <v>1.128068021</v>
      </c>
      <c r="BF27" s="12">
        <f t="shared" si="9"/>
        <v>1.09768125</v>
      </c>
      <c r="BG27" s="12">
        <f t="shared" si="10"/>
        <v>0.726906021</v>
      </c>
      <c r="BH27" s="12">
        <f t="shared" si="11"/>
        <v>1.094362971</v>
      </c>
      <c r="BI27" s="12">
        <f t="shared" ref="BI27:BJ27" si="58">((W27-W$36)/W$37)</f>
        <v>-0.6519330861</v>
      </c>
      <c r="BJ27" s="12">
        <f t="shared" si="58"/>
        <v>-1.057407484</v>
      </c>
    </row>
    <row r="28">
      <c r="A28" s="1" t="s">
        <v>84</v>
      </c>
      <c r="B28" s="12">
        <f t="shared" si="3"/>
        <v>-0.5840213319</v>
      </c>
      <c r="C28" s="1" t="s">
        <v>197</v>
      </c>
      <c r="D28" s="1" t="s">
        <v>68</v>
      </c>
      <c r="E28" s="1" t="s">
        <v>69</v>
      </c>
      <c r="F28" s="1" t="s">
        <v>198</v>
      </c>
      <c r="G28" s="1" t="s">
        <v>199</v>
      </c>
      <c r="H28" s="1" t="s">
        <v>199</v>
      </c>
      <c r="I28" s="1" t="s">
        <v>200</v>
      </c>
      <c r="J28" s="13" t="s">
        <v>73</v>
      </c>
      <c r="K28" s="1" t="s">
        <v>129</v>
      </c>
      <c r="L28" s="13" t="s">
        <v>73</v>
      </c>
      <c r="M28" s="13" t="s">
        <v>89</v>
      </c>
      <c r="N28" s="14">
        <v>150.0</v>
      </c>
      <c r="O28" s="13" t="s">
        <v>90</v>
      </c>
      <c r="P28" s="1" t="s">
        <v>97</v>
      </c>
      <c r="Q28" s="13" t="s">
        <v>79</v>
      </c>
      <c r="R28" s="1" t="s">
        <v>80</v>
      </c>
      <c r="S28" s="1" t="s">
        <v>81</v>
      </c>
      <c r="T28" s="1" t="s">
        <v>82</v>
      </c>
      <c r="U28" s="13" t="s">
        <v>201</v>
      </c>
      <c r="V28" s="1"/>
      <c r="W28" s="15">
        <v>471.750284433364</v>
      </c>
      <c r="X28" s="15">
        <v>165.204228639602</v>
      </c>
      <c r="Y28" s="15">
        <v>2.75289642440597</v>
      </c>
      <c r="Z28" s="15">
        <v>12.9259249654595</v>
      </c>
      <c r="AA28" s="15">
        <v>3.59526424139583</v>
      </c>
      <c r="AB28" s="15">
        <v>0.505329130963248</v>
      </c>
      <c r="AC28" s="15">
        <v>0.102940263471472</v>
      </c>
      <c r="AD28" s="15">
        <v>0.0164541789752556</v>
      </c>
      <c r="AE28" s="15">
        <v>0.128273843690971</v>
      </c>
      <c r="AF28" s="15">
        <v>0.65014198830286</v>
      </c>
      <c r="AG28" s="15">
        <v>0.102719177833784</v>
      </c>
      <c r="AH28" s="15">
        <v>0.127651563668076</v>
      </c>
      <c r="AI28" s="15">
        <v>0.657415729207322</v>
      </c>
      <c r="AJ28" s="15">
        <v>0.116516218532733</v>
      </c>
      <c r="AK28" s="15">
        <v>0.156273274985553</v>
      </c>
      <c r="AL28" s="15">
        <v>0.493718926335934</v>
      </c>
      <c r="AM28" s="15">
        <v>10.0</v>
      </c>
      <c r="AN28" s="15">
        <v>2.75289642440597</v>
      </c>
      <c r="AO28" s="15">
        <v>12.9259249654595</v>
      </c>
      <c r="AP28" s="15">
        <v>3.59526424139583</v>
      </c>
      <c r="AQ28" s="15">
        <v>0.505171842441885</v>
      </c>
      <c r="AR28" s="15">
        <v>2.39535416087395</v>
      </c>
      <c r="AS28" s="15">
        <v>8.86112121596359</v>
      </c>
      <c r="AT28" s="15">
        <v>2.97676354720417</v>
      </c>
      <c r="AU28" s="15">
        <v>0.657415729207322</v>
      </c>
      <c r="AV28" s="15">
        <v>2.71709348495081</v>
      </c>
      <c r="AW28" s="15">
        <v>13.280237036459</v>
      </c>
      <c r="AX28" s="15">
        <v>3.64420595417699</v>
      </c>
      <c r="AY28" s="15">
        <v>0.493718926335934</v>
      </c>
      <c r="AZ28" s="12">
        <f t="shared" ref="AZ28:BA28" si="59">(AG28-AG$36)/AG$37</f>
        <v>1.289009905</v>
      </c>
      <c r="BA28" s="12">
        <f t="shared" si="59"/>
        <v>1.38156743</v>
      </c>
      <c r="BB28" s="12">
        <f t="shared" si="5"/>
        <v>0.6195010079</v>
      </c>
      <c r="BC28" s="12">
        <f t="shared" si="6"/>
        <v>0.874982296</v>
      </c>
      <c r="BD28" s="12">
        <f t="shared" si="7"/>
        <v>1.130700373</v>
      </c>
      <c r="BE28" s="12">
        <f t="shared" si="8"/>
        <v>1.344362016</v>
      </c>
      <c r="BF28" s="12">
        <f t="shared" si="9"/>
        <v>1.205347835</v>
      </c>
      <c r="BG28" s="12">
        <f t="shared" si="10"/>
        <v>0.8185636493</v>
      </c>
      <c r="BH28" s="12">
        <f t="shared" si="11"/>
        <v>1.336965582</v>
      </c>
      <c r="BI28" s="12">
        <f t="shared" ref="BI28:BJ28" si="60">((W28-W$36)/W$37)</f>
        <v>-0.3237694847</v>
      </c>
      <c r="BJ28" s="12">
        <f t="shared" si="60"/>
        <v>-1.03771094</v>
      </c>
    </row>
    <row r="29">
      <c r="A29" s="1" t="s">
        <v>84</v>
      </c>
      <c r="B29" s="12">
        <f t="shared" si="3"/>
        <v>-0.7521233091</v>
      </c>
      <c r="C29" s="1" t="s">
        <v>202</v>
      </c>
      <c r="D29" s="1" t="s">
        <v>68</v>
      </c>
      <c r="E29" s="1" t="s">
        <v>69</v>
      </c>
      <c r="F29" s="1" t="s">
        <v>203</v>
      </c>
      <c r="G29" s="1" t="s">
        <v>204</v>
      </c>
      <c r="H29" s="1" t="s">
        <v>204</v>
      </c>
      <c r="I29" s="1" t="s">
        <v>205</v>
      </c>
      <c r="J29" s="13" t="s">
        <v>108</v>
      </c>
      <c r="K29" s="1" t="s">
        <v>129</v>
      </c>
      <c r="L29" s="13" t="s">
        <v>139</v>
      </c>
      <c r="M29" s="13" t="s">
        <v>76</v>
      </c>
      <c r="N29" s="14">
        <v>150.0</v>
      </c>
      <c r="O29" s="13" t="s">
        <v>77</v>
      </c>
      <c r="P29" s="1" t="s">
        <v>97</v>
      </c>
      <c r="Q29" s="13" t="s">
        <v>110</v>
      </c>
      <c r="R29" s="1" t="s">
        <v>130</v>
      </c>
      <c r="S29" s="1" t="s">
        <v>81</v>
      </c>
      <c r="T29" s="1" t="s">
        <v>82</v>
      </c>
      <c r="U29" s="13" t="s">
        <v>140</v>
      </c>
      <c r="V29" s="13" t="s">
        <v>98</v>
      </c>
      <c r="W29" s="15">
        <v>486.499375343322</v>
      </c>
      <c r="X29" s="15">
        <v>426.429473400115</v>
      </c>
      <c r="Y29" s="15">
        <v>2.70133382651244</v>
      </c>
      <c r="Z29" s="15">
        <v>11.6301429926127</v>
      </c>
      <c r="AA29" s="15">
        <v>3.41029954587757</v>
      </c>
      <c r="AB29" s="15">
        <v>0.568201504123001</v>
      </c>
      <c r="AC29" s="15">
        <v>0.0925429222389792</v>
      </c>
      <c r="AD29" s="15">
        <v>0.0131510707725719</v>
      </c>
      <c r="AE29" s="15">
        <v>0.114678118107038</v>
      </c>
      <c r="AF29" s="15">
        <v>0.701282507661059</v>
      </c>
      <c r="AG29" s="15">
        <v>0.0918034157652344</v>
      </c>
      <c r="AH29" s="15">
        <v>0.113790651171309</v>
      </c>
      <c r="AI29" s="15">
        <v>0.708769115710342</v>
      </c>
      <c r="AJ29" s="15">
        <v>0.123433477087389</v>
      </c>
      <c r="AK29" s="15">
        <v>0.157166155332266</v>
      </c>
      <c r="AL29" s="15">
        <v>0.455034167278878</v>
      </c>
      <c r="AM29" s="15">
        <v>10.0</v>
      </c>
      <c r="AN29" s="15">
        <v>2.70133382651231</v>
      </c>
      <c r="AO29" s="15">
        <v>11.6301429926127</v>
      </c>
      <c r="AP29" s="15">
        <v>3.41029954587757</v>
      </c>
      <c r="AQ29" s="15">
        <v>0.567752298044272</v>
      </c>
      <c r="AR29" s="15">
        <v>2.24918368624818</v>
      </c>
      <c r="AS29" s="15">
        <v>7.7722244544679</v>
      </c>
      <c r="AT29" s="15">
        <v>2.78787095369708</v>
      </c>
      <c r="AU29" s="15">
        <v>0.708769115710342</v>
      </c>
      <c r="AV29" s="15">
        <v>3.02412018864084</v>
      </c>
      <c r="AW29" s="15">
        <v>14.826895529251</v>
      </c>
      <c r="AX29" s="15">
        <v>3.85057080564051</v>
      </c>
      <c r="AY29" s="15">
        <v>0.455034167278878</v>
      </c>
      <c r="AZ29" s="12">
        <f t="shared" ref="AZ29:BA29" si="61">(AG29-AG$36)/AG$37</f>
        <v>0.8745074535</v>
      </c>
      <c r="BA29" s="12">
        <f t="shared" si="61"/>
        <v>0.9228649378</v>
      </c>
      <c r="BB29" s="12">
        <f t="shared" si="5"/>
        <v>1.102470602</v>
      </c>
      <c r="BC29" s="12">
        <f t="shared" si="6"/>
        <v>1.143903786</v>
      </c>
      <c r="BD29" s="12">
        <f t="shared" si="7"/>
        <v>1.041007423</v>
      </c>
      <c r="BE29" s="12">
        <f t="shared" si="8"/>
        <v>1.070654503</v>
      </c>
      <c r="BF29" s="12">
        <f t="shared" si="9"/>
        <v>0.8289777848</v>
      </c>
      <c r="BG29" s="12">
        <f t="shared" si="10"/>
        <v>1.024405367</v>
      </c>
      <c r="BH29" s="12">
        <f t="shared" si="11"/>
        <v>0.9300738881</v>
      </c>
      <c r="BI29" s="12">
        <f t="shared" ref="BI29:BJ29" si="62">((W29-W$36)/W$37)</f>
        <v>-0.304549364</v>
      </c>
      <c r="BJ29" s="12">
        <f t="shared" si="62"/>
        <v>0.8909969902</v>
      </c>
    </row>
    <row r="30">
      <c r="A30" s="1" t="s">
        <v>66</v>
      </c>
      <c r="B30" s="12">
        <f t="shared" si="3"/>
        <v>-0.8248591298</v>
      </c>
      <c r="C30" s="1" t="s">
        <v>206</v>
      </c>
      <c r="D30" s="1" t="s">
        <v>68</v>
      </c>
      <c r="E30" s="1" t="s">
        <v>69</v>
      </c>
      <c r="F30" s="1" t="s">
        <v>207</v>
      </c>
      <c r="G30" s="1" t="s">
        <v>208</v>
      </c>
      <c r="H30" s="1" t="s">
        <v>208</v>
      </c>
      <c r="I30" s="1" t="s">
        <v>209</v>
      </c>
      <c r="J30" s="13" t="s">
        <v>108</v>
      </c>
      <c r="K30" s="1" t="s">
        <v>129</v>
      </c>
      <c r="L30" s="13" t="s">
        <v>139</v>
      </c>
      <c r="M30" s="13" t="s">
        <v>76</v>
      </c>
      <c r="N30" s="14">
        <v>150.0</v>
      </c>
      <c r="O30" s="13" t="s">
        <v>90</v>
      </c>
      <c r="P30" s="1" t="s">
        <v>78</v>
      </c>
      <c r="Q30" s="13" t="s">
        <v>110</v>
      </c>
      <c r="R30" s="1" t="s">
        <v>80</v>
      </c>
      <c r="S30" s="1" t="s">
        <v>81</v>
      </c>
      <c r="T30" s="1" t="s">
        <v>82</v>
      </c>
      <c r="U30" s="13" t="s">
        <v>92</v>
      </c>
      <c r="V30" s="13" t="s">
        <v>83</v>
      </c>
      <c r="W30" s="15">
        <v>1306.28808426857</v>
      </c>
      <c r="X30" s="15">
        <v>430.070690631866</v>
      </c>
      <c r="Y30" s="15">
        <v>2.45549909996353</v>
      </c>
      <c r="Z30" s="15">
        <v>10.8347212593642</v>
      </c>
      <c r="AA30" s="15">
        <v>3.29161377736882</v>
      </c>
      <c r="AB30" s="15">
        <v>0.597854397639163</v>
      </c>
      <c r="AC30" s="15">
        <v>0.0800382891130895</v>
      </c>
      <c r="AD30" s="15">
        <v>0.0104234357713041</v>
      </c>
      <c r="AE30" s="15">
        <v>0.102095228935068</v>
      </c>
      <c r="AF30" s="15">
        <v>0.763238853397863</v>
      </c>
      <c r="AG30" s="15">
        <v>0.0787115682423386</v>
      </c>
      <c r="AH30" s="15">
        <v>0.101116016355569</v>
      </c>
      <c r="AI30" s="15">
        <v>0.770033716580557</v>
      </c>
      <c r="AJ30" s="15">
        <v>0.120991411481429</v>
      </c>
      <c r="AK30" s="15">
        <v>0.160125937847713</v>
      </c>
      <c r="AL30" s="15">
        <v>0.434315096892003</v>
      </c>
      <c r="AM30" s="15">
        <v>10.0</v>
      </c>
      <c r="AN30" s="15">
        <v>2.45549909996342</v>
      </c>
      <c r="AO30" s="15">
        <v>10.8347212593642</v>
      </c>
      <c r="AP30" s="15">
        <v>3.29161377736882</v>
      </c>
      <c r="AQ30" s="15">
        <v>0.597315065802218</v>
      </c>
      <c r="AR30" s="15">
        <v>1.92843342193724</v>
      </c>
      <c r="AS30" s="15">
        <v>6.13722537036283</v>
      </c>
      <c r="AT30" s="15">
        <v>2.47734240071146</v>
      </c>
      <c r="AU30" s="15">
        <v>0.770033716580557</v>
      </c>
      <c r="AV30" s="15">
        <v>2.96428958129487</v>
      </c>
      <c r="AW30" s="15">
        <v>15.3905996619587</v>
      </c>
      <c r="AX30" s="15">
        <v>3.92308547726898</v>
      </c>
      <c r="AY30" s="15">
        <v>0.434315096892003</v>
      </c>
      <c r="AZ30" s="12">
        <f t="shared" ref="AZ30:BA30" si="63">(AG30-AG$36)/AG$37</f>
        <v>0.3773728642</v>
      </c>
      <c r="BA30" s="12">
        <f t="shared" si="63"/>
        <v>0.5034202164</v>
      </c>
      <c r="BB30" s="12">
        <f t="shared" si="5"/>
        <v>1.008353824</v>
      </c>
      <c r="BC30" s="12">
        <f t="shared" si="6"/>
        <v>1.238400274</v>
      </c>
      <c r="BD30" s="12">
        <f t="shared" si="7"/>
        <v>0.6133788154</v>
      </c>
      <c r="BE30" s="12">
        <f t="shared" si="8"/>
        <v>0.8950253835</v>
      </c>
      <c r="BF30" s="12">
        <f t="shared" si="9"/>
        <v>0.3799682366</v>
      </c>
      <c r="BG30" s="12">
        <f t="shared" si="10"/>
        <v>1.134651602</v>
      </c>
      <c r="BH30" s="12">
        <f t="shared" si="11"/>
        <v>0.7378598086</v>
      </c>
      <c r="BI30" s="12">
        <f t="shared" ref="BI30:BJ30" si="64">((W30-W$36)/W$37)</f>
        <v>0.7637495637</v>
      </c>
      <c r="BJ30" s="12">
        <f t="shared" si="64"/>
        <v>0.9178812393</v>
      </c>
    </row>
    <row r="31">
      <c r="A31" s="1" t="s">
        <v>84</v>
      </c>
      <c r="B31" s="12">
        <f t="shared" si="3"/>
        <v>-0.9903332372</v>
      </c>
      <c r="C31" s="1" t="s">
        <v>210</v>
      </c>
      <c r="D31" s="1" t="s">
        <v>68</v>
      </c>
      <c r="E31" s="1" t="s">
        <v>69</v>
      </c>
      <c r="F31" s="1" t="s">
        <v>211</v>
      </c>
      <c r="G31" s="1" t="s">
        <v>212</v>
      </c>
      <c r="H31" s="1" t="s">
        <v>212</v>
      </c>
      <c r="I31" s="1" t="s">
        <v>213</v>
      </c>
      <c r="J31" s="13" t="s">
        <v>108</v>
      </c>
      <c r="K31" s="1" t="s">
        <v>129</v>
      </c>
      <c r="L31" s="13" t="s">
        <v>139</v>
      </c>
      <c r="M31" s="13" t="s">
        <v>89</v>
      </c>
      <c r="N31" s="14">
        <v>150.0</v>
      </c>
      <c r="O31" s="13" t="s">
        <v>77</v>
      </c>
      <c r="P31" s="1" t="s">
        <v>78</v>
      </c>
      <c r="Q31" s="13" t="s">
        <v>110</v>
      </c>
      <c r="R31" s="1" t="s">
        <v>80</v>
      </c>
      <c r="S31" s="1" t="s">
        <v>91</v>
      </c>
      <c r="T31" s="1" t="s">
        <v>82</v>
      </c>
      <c r="U31" s="13" t="s">
        <v>92</v>
      </c>
      <c r="V31" s="13" t="s">
        <v>92</v>
      </c>
      <c r="W31" s="15">
        <v>3339.36573553085</v>
      </c>
      <c r="X31" s="15">
        <v>490.373898744583</v>
      </c>
      <c r="Y31" s="15">
        <v>2.34990639697905</v>
      </c>
      <c r="Z31" s="15">
        <v>9.83449432883098</v>
      </c>
      <c r="AA31" s="15">
        <v>3.13599973355084</v>
      </c>
      <c r="AB31" s="15">
        <v>0.636162707305723</v>
      </c>
      <c r="AC31" s="15">
        <v>0.0333733952171905</v>
      </c>
      <c r="AD31" s="15">
        <v>0.0018396674654189</v>
      </c>
      <c r="AE31" s="15">
        <v>0.0428913448777128</v>
      </c>
      <c r="AF31" s="15">
        <v>0.958243187280913</v>
      </c>
      <c r="AG31" s="15">
        <v>0.0330702223283427</v>
      </c>
      <c r="AH31" s="15">
        <v>0.0426097708756065</v>
      </c>
      <c r="AI31" s="15">
        <v>0.959204093413079</v>
      </c>
      <c r="AJ31" s="15">
        <v>0.119865273751864</v>
      </c>
      <c r="AK31" s="15">
        <v>0.160191765046991</v>
      </c>
      <c r="AL31" s="15">
        <v>0.435693879161066</v>
      </c>
      <c r="AM31" s="15">
        <v>10.0</v>
      </c>
      <c r="AN31" s="15">
        <v>2.34990639697896</v>
      </c>
      <c r="AO31" s="15">
        <v>9.83449432883099</v>
      </c>
      <c r="AP31" s="15">
        <v>3.13599973355084</v>
      </c>
      <c r="AQ31" s="15">
        <v>0.635194576580223</v>
      </c>
      <c r="AR31" s="15">
        <v>0.810220447044395</v>
      </c>
      <c r="AS31" s="15">
        <v>1.08980944258653</v>
      </c>
      <c r="AT31" s="15">
        <v>1.04393938645236</v>
      </c>
      <c r="AU31" s="15">
        <v>0.959204093413079</v>
      </c>
      <c r="AV31" s="15">
        <v>2.93669920692046</v>
      </c>
      <c r="AW31" s="15">
        <v>15.4032563037195</v>
      </c>
      <c r="AX31" s="15">
        <v>3.92469824365129</v>
      </c>
      <c r="AY31" s="15">
        <v>0.435693879161066</v>
      </c>
      <c r="AZ31" s="12">
        <f t="shared" ref="AZ31:BA31" si="65">(AG31-AG$36)/AG$37</f>
        <v>-1.355758515</v>
      </c>
      <c r="BA31" s="12">
        <f t="shared" si="65"/>
        <v>-1.432740958</v>
      </c>
      <c r="BB31" s="12">
        <f t="shared" si="5"/>
        <v>0.9649526743</v>
      </c>
      <c r="BC31" s="12">
        <f t="shared" si="6"/>
        <v>1.240501928</v>
      </c>
      <c r="BD31" s="12">
        <f t="shared" si="7"/>
        <v>0.4297006948</v>
      </c>
      <c r="BE31" s="12">
        <f t="shared" si="8"/>
        <v>0.6647504502</v>
      </c>
      <c r="BF31" s="12">
        <f t="shared" si="9"/>
        <v>-1.006465434</v>
      </c>
      <c r="BG31" s="12">
        <f t="shared" si="10"/>
        <v>1.127315097</v>
      </c>
      <c r="BH31" s="12">
        <f t="shared" si="11"/>
        <v>0.4915711204</v>
      </c>
      <c r="BI31" s="12">
        <f t="shared" ref="BI31:BJ31" si="66">((W31-W$36)/W$37)</f>
        <v>3.413133058</v>
      </c>
      <c r="BJ31" s="12">
        <f t="shared" si="66"/>
        <v>1.363118742</v>
      </c>
    </row>
    <row r="32">
      <c r="A32" s="1" t="s">
        <v>66</v>
      </c>
      <c r="B32" s="12">
        <f t="shared" si="3"/>
        <v>-1.08899653</v>
      </c>
      <c r="C32" s="1" t="s">
        <v>214</v>
      </c>
      <c r="D32" s="1" t="s">
        <v>68</v>
      </c>
      <c r="E32" s="1" t="s">
        <v>69</v>
      </c>
      <c r="F32" s="1" t="s">
        <v>215</v>
      </c>
      <c r="G32" s="1" t="s">
        <v>216</v>
      </c>
      <c r="H32" s="1" t="s">
        <v>216</v>
      </c>
      <c r="I32" s="1" t="s">
        <v>217</v>
      </c>
      <c r="J32" s="13" t="s">
        <v>108</v>
      </c>
      <c r="K32" s="1" t="s">
        <v>129</v>
      </c>
      <c r="L32" s="13" t="s">
        <v>139</v>
      </c>
      <c r="M32" s="13" t="s">
        <v>89</v>
      </c>
      <c r="N32" s="14">
        <v>150.0</v>
      </c>
      <c r="O32" s="13" t="s">
        <v>90</v>
      </c>
      <c r="P32" s="1" t="s">
        <v>97</v>
      </c>
      <c r="Q32" s="13" t="s">
        <v>79</v>
      </c>
      <c r="R32" s="1" t="s">
        <v>80</v>
      </c>
      <c r="S32" s="1" t="s">
        <v>91</v>
      </c>
      <c r="T32" s="1" t="s">
        <v>82</v>
      </c>
      <c r="U32" s="13" t="s">
        <v>98</v>
      </c>
      <c r="V32" s="1"/>
      <c r="W32" s="15">
        <v>745.64835190773</v>
      </c>
      <c r="X32" s="15">
        <v>407.181503057479</v>
      </c>
      <c r="Y32" s="15">
        <v>3.08015964598958</v>
      </c>
      <c r="Z32" s="15">
        <v>14.6725169083724</v>
      </c>
      <c r="AA32" s="15">
        <v>3.83047215214684</v>
      </c>
      <c r="AB32" s="15">
        <v>0.456640265024554</v>
      </c>
      <c r="AC32" s="15">
        <v>0.0768554553765838</v>
      </c>
      <c r="AD32" s="15">
        <v>0.00894872752005794</v>
      </c>
      <c r="AE32" s="15">
        <v>0.0945977141375939</v>
      </c>
      <c r="AF32" s="15">
        <v>0.79688158531188</v>
      </c>
      <c r="AG32" s="15">
        <v>0.0763342175886605</v>
      </c>
      <c r="AH32" s="15">
        <v>0.0939302194352662</v>
      </c>
      <c r="AI32" s="15">
        <v>0.801751977151923</v>
      </c>
      <c r="AJ32" s="15">
        <v>0.143965159556305</v>
      </c>
      <c r="AK32" s="15">
        <v>0.179950321990017</v>
      </c>
      <c r="AL32" s="15">
        <v>0.28790220024759</v>
      </c>
      <c r="AM32" s="15">
        <v>10.0</v>
      </c>
      <c r="AN32" s="15">
        <v>3.08015964598942</v>
      </c>
      <c r="AO32" s="15">
        <v>14.6725169083724</v>
      </c>
      <c r="AP32" s="15">
        <v>3.83047215214684</v>
      </c>
      <c r="AQ32" s="15">
        <v>0.455730659409622</v>
      </c>
      <c r="AR32" s="15">
        <v>1.87018833092223</v>
      </c>
      <c r="AS32" s="15">
        <v>5.29593739542515</v>
      </c>
      <c r="AT32" s="15">
        <v>2.30129037616402</v>
      </c>
      <c r="AU32" s="15">
        <v>0.801751977151923</v>
      </c>
      <c r="AV32" s="15">
        <v>3.52714640912923</v>
      </c>
      <c r="AW32" s="15">
        <v>19.4373665601827</v>
      </c>
      <c r="AX32" s="15">
        <v>4.40878288875543</v>
      </c>
      <c r="AY32" s="15">
        <v>0.28790220024759</v>
      </c>
      <c r="AZ32" s="12">
        <f t="shared" ref="AZ32:BA32" si="67">(AG32-AG$36)/AG$37</f>
        <v>0.2870981159</v>
      </c>
      <c r="BA32" s="12">
        <f t="shared" si="67"/>
        <v>0.2656189203</v>
      </c>
      <c r="BB32" s="12">
        <f t="shared" si="5"/>
        <v>1.893758027</v>
      </c>
      <c r="BC32" s="12">
        <f t="shared" si="6"/>
        <v>1.87133011</v>
      </c>
      <c r="BD32" s="12">
        <f t="shared" si="7"/>
        <v>1.69997355</v>
      </c>
      <c r="BE32" s="12">
        <f t="shared" si="8"/>
        <v>1.692418558</v>
      </c>
      <c r="BF32" s="12">
        <f t="shared" si="9"/>
        <v>0.1475044378</v>
      </c>
      <c r="BG32" s="12">
        <f t="shared" si="10"/>
        <v>1.913715059</v>
      </c>
      <c r="BH32" s="12">
        <f t="shared" si="11"/>
        <v>1.658427076</v>
      </c>
      <c r="BI32" s="12">
        <f t="shared" ref="BI32:BJ32" si="68">((W32-W$36)/W$37)</f>
        <v>0.03315786565</v>
      </c>
      <c r="BJ32" s="12">
        <f t="shared" si="68"/>
        <v>0.7488831869</v>
      </c>
    </row>
    <row r="33">
      <c r="A33" s="1" t="s">
        <v>66</v>
      </c>
      <c r="B33" s="12">
        <f t="shared" si="3"/>
        <v>-1.393147724</v>
      </c>
      <c r="C33" s="1" t="s">
        <v>218</v>
      </c>
      <c r="D33" s="1" t="s">
        <v>68</v>
      </c>
      <c r="E33" s="1" t="s">
        <v>69</v>
      </c>
      <c r="F33" s="1" t="s">
        <v>219</v>
      </c>
      <c r="G33" s="1" t="s">
        <v>220</v>
      </c>
      <c r="H33" s="1" t="s">
        <v>220</v>
      </c>
      <c r="I33" s="1" t="s">
        <v>221</v>
      </c>
      <c r="J33" s="13" t="s">
        <v>73</v>
      </c>
      <c r="K33" s="1" t="s">
        <v>129</v>
      </c>
      <c r="L33" s="13" t="s">
        <v>73</v>
      </c>
      <c r="M33" s="13" t="s">
        <v>89</v>
      </c>
      <c r="N33" s="14">
        <v>20.0</v>
      </c>
      <c r="O33" s="13" t="s">
        <v>90</v>
      </c>
      <c r="P33" s="1" t="s">
        <v>78</v>
      </c>
      <c r="Q33" s="13" t="s">
        <v>110</v>
      </c>
      <c r="R33" s="1" t="s">
        <v>111</v>
      </c>
      <c r="S33" s="1" t="s">
        <v>112</v>
      </c>
      <c r="T33" s="1" t="s">
        <v>82</v>
      </c>
      <c r="U33" s="13" t="s">
        <v>90</v>
      </c>
      <c r="V33" s="13" t="s">
        <v>98</v>
      </c>
      <c r="W33" s="15">
        <v>514.102283477783</v>
      </c>
      <c r="X33" s="15">
        <v>182.782363653182</v>
      </c>
      <c r="Y33" s="15">
        <v>3.55485000301286</v>
      </c>
      <c r="Z33" s="15">
        <v>16.6695869099834</v>
      </c>
      <c r="AA33" s="15">
        <v>4.08284054427593</v>
      </c>
      <c r="AB33" s="15">
        <v>0.361961519479525</v>
      </c>
      <c r="AC33" s="15">
        <v>0.142784575323373</v>
      </c>
      <c r="AD33" s="15">
        <v>0.0264017070454975</v>
      </c>
      <c r="AE33" s="15">
        <v>0.162486021077191</v>
      </c>
      <c r="AF33" s="15">
        <v>0.438632049266097</v>
      </c>
      <c r="AG33" s="15">
        <v>0.140185102628701</v>
      </c>
      <c r="AH33" s="15">
        <v>0.160809813489521</v>
      </c>
      <c r="AI33" s="15">
        <v>0.456323905441592</v>
      </c>
      <c r="AJ33" s="15">
        <v>0.158536618976094</v>
      </c>
      <c r="AK33" s="15">
        <v>0.183011180512141</v>
      </c>
      <c r="AL33" s="15">
        <v>0.305651486638261</v>
      </c>
      <c r="AM33" s="15">
        <v>10.0</v>
      </c>
      <c r="AN33" s="15">
        <v>3.55485000301286</v>
      </c>
      <c r="AO33" s="15">
        <v>16.6695869099834</v>
      </c>
      <c r="AP33" s="15">
        <v>4.08284054427593</v>
      </c>
      <c r="AQ33" s="15">
        <v>0.361857584663094</v>
      </c>
      <c r="AR33" s="15">
        <v>3.26903871268878</v>
      </c>
      <c r="AS33" s="15">
        <v>14.0624663384478</v>
      </c>
      <c r="AT33" s="15">
        <v>3.74999551179036</v>
      </c>
      <c r="AU33" s="15">
        <v>0.456323905441592</v>
      </c>
      <c r="AV33" s="15">
        <v>3.6969858786231</v>
      </c>
      <c r="AW33" s="15">
        <v>18.2134259466222</v>
      </c>
      <c r="AX33" s="15">
        <v>4.26771905666507</v>
      </c>
      <c r="AY33" s="15">
        <v>0.305651486638261</v>
      </c>
      <c r="AZ33" s="12">
        <f t="shared" ref="AZ33:BA33" si="69">(AG33-AG$36)/AG$37</f>
        <v>2.711697352</v>
      </c>
      <c r="BA33" s="12">
        <f t="shared" si="69"/>
        <v>2.478881322</v>
      </c>
      <c r="BB33" s="12">
        <f t="shared" si="5"/>
        <v>2.160924689</v>
      </c>
      <c r="BC33" s="12">
        <f t="shared" si="6"/>
        <v>1.687504736</v>
      </c>
      <c r="BD33" s="12">
        <f t="shared" si="7"/>
        <v>2.52569569</v>
      </c>
      <c r="BE33" s="12">
        <f t="shared" si="8"/>
        <v>2.065868879</v>
      </c>
      <c r="BF33" s="12">
        <f t="shared" si="9"/>
        <v>2.67915404</v>
      </c>
      <c r="BG33" s="12">
        <f t="shared" si="10"/>
        <v>1.819271053</v>
      </c>
      <c r="BH33" s="12">
        <f t="shared" si="11"/>
        <v>2.268780166</v>
      </c>
      <c r="BI33" s="12">
        <f t="shared" ref="BI33:BJ33" si="70">((W33-W$36)/W$37)</f>
        <v>-0.2685789281</v>
      </c>
      <c r="BJ33" s="12">
        <f t="shared" si="70"/>
        <v>-0.9079260546</v>
      </c>
    </row>
    <row r="34">
      <c r="A34" s="1" t="s">
        <v>84</v>
      </c>
      <c r="B34" s="12">
        <f t="shared" si="3"/>
        <v>-1.801282721</v>
      </c>
      <c r="C34" s="1" t="s">
        <v>222</v>
      </c>
      <c r="D34" s="1" t="s">
        <v>68</v>
      </c>
      <c r="E34" s="1" t="s">
        <v>69</v>
      </c>
      <c r="F34" s="1" t="s">
        <v>223</v>
      </c>
      <c r="G34" s="1" t="s">
        <v>224</v>
      </c>
      <c r="H34" s="1" t="s">
        <v>224</v>
      </c>
      <c r="I34" s="1" t="s">
        <v>225</v>
      </c>
      <c r="J34" s="13" t="s">
        <v>73</v>
      </c>
      <c r="K34" s="1" t="s">
        <v>129</v>
      </c>
      <c r="L34" s="13" t="s">
        <v>73</v>
      </c>
      <c r="M34" s="13" t="s">
        <v>89</v>
      </c>
      <c r="N34" s="14">
        <v>20.0</v>
      </c>
      <c r="O34" s="13" t="s">
        <v>77</v>
      </c>
      <c r="P34" s="1" t="s">
        <v>97</v>
      </c>
      <c r="Q34" s="13" t="s">
        <v>110</v>
      </c>
      <c r="R34" s="1" t="s">
        <v>111</v>
      </c>
      <c r="S34" s="1" t="s">
        <v>91</v>
      </c>
      <c r="T34" s="1" t="s">
        <v>82</v>
      </c>
      <c r="U34" s="13" t="s">
        <v>201</v>
      </c>
      <c r="V34" s="13" t="s">
        <v>103</v>
      </c>
      <c r="W34" s="15">
        <v>159.367000818252</v>
      </c>
      <c r="X34" s="15">
        <v>180.55416893959</v>
      </c>
      <c r="Y34" s="15">
        <v>3.6376081690372</v>
      </c>
      <c r="Z34" s="15">
        <v>19.1094377455952</v>
      </c>
      <c r="AA34" s="15">
        <v>4.3714342892917</v>
      </c>
      <c r="AB34" s="15">
        <v>0.268681203136733</v>
      </c>
      <c r="AC34" s="15">
        <v>0.150223688636753</v>
      </c>
      <c r="AD34" s="15">
        <v>0.0311685955770548</v>
      </c>
      <c r="AE34" s="15">
        <v>0.176546298678434</v>
      </c>
      <c r="AF34" s="15">
        <v>0.337275783107784</v>
      </c>
      <c r="AG34" s="15">
        <v>0.152090577295458</v>
      </c>
      <c r="AH34" s="15">
        <v>0.178121321571671</v>
      </c>
      <c r="AI34" s="15">
        <v>0.332967555616365</v>
      </c>
      <c r="AJ34" s="15">
        <v>0.174145238218972</v>
      </c>
      <c r="AK34" s="15">
        <v>0.20846324800882</v>
      </c>
      <c r="AL34" s="15">
        <v>0.0990902950804955</v>
      </c>
      <c r="AM34" s="15">
        <v>10.0</v>
      </c>
      <c r="AN34" s="15">
        <v>3.63760816903721</v>
      </c>
      <c r="AO34" s="15">
        <v>19.1094377455952</v>
      </c>
      <c r="AP34" s="15">
        <v>4.3714342892917</v>
      </c>
      <c r="AQ34" s="15">
        <v>0.268455611734381</v>
      </c>
      <c r="AR34" s="15">
        <v>3.54666776776491</v>
      </c>
      <c r="AS34" s="15">
        <v>17.2531427989606</v>
      </c>
      <c r="AT34" s="15">
        <v>4.15369026276161</v>
      </c>
      <c r="AU34" s="15">
        <v>0.332967555616365</v>
      </c>
      <c r="AV34" s="15">
        <v>4.06097020791186</v>
      </c>
      <c r="AW34" s="15">
        <v>23.6317236652541</v>
      </c>
      <c r="AX34" s="15">
        <v>4.86124713065013</v>
      </c>
      <c r="AY34" s="15">
        <v>0.0990902950804953</v>
      </c>
      <c r="AZ34" s="12">
        <f t="shared" ref="AZ34:BA34" si="71">(AG34-AG$36)/AG$37</f>
        <v>3.163781999</v>
      </c>
      <c r="BA34" s="12">
        <f t="shared" si="71"/>
        <v>3.051775199</v>
      </c>
      <c r="BB34" s="12">
        <f t="shared" si="5"/>
        <v>2.733491706</v>
      </c>
      <c r="BC34" s="12">
        <f t="shared" si="6"/>
        <v>2.460952603</v>
      </c>
      <c r="BD34" s="12">
        <f t="shared" si="7"/>
        <v>2.669653217</v>
      </c>
      <c r="BE34" s="12">
        <f t="shared" si="8"/>
        <v>2.492924843</v>
      </c>
      <c r="BF34" s="12">
        <f t="shared" si="9"/>
        <v>3.583235322</v>
      </c>
      <c r="BG34" s="12">
        <f t="shared" si="10"/>
        <v>2.918383766</v>
      </c>
      <c r="BH34" s="12">
        <f t="shared" si="11"/>
        <v>2.8760702</v>
      </c>
      <c r="BI34" s="12">
        <f t="shared" ref="BI34:BJ34" si="72">((W34-W$36)/W$37)</f>
        <v>-0.7308484348</v>
      </c>
      <c r="BJ34" s="12">
        <f t="shared" si="72"/>
        <v>-0.9243775152</v>
      </c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6"/>
      <c r="X35" s="16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7" t="s">
        <v>226</v>
      </c>
      <c r="U36" s="18"/>
      <c r="V36" s="1"/>
      <c r="W36" s="19">
        <f t="shared" ref="W36:AY36" si="73">AVERAGE(W3:W34)</f>
        <v>720.2037473</v>
      </c>
      <c r="X36" s="19">
        <f t="shared" si="73"/>
        <v>305.7523593</v>
      </c>
      <c r="Y36" s="19">
        <f t="shared" si="73"/>
        <v>2.102880471</v>
      </c>
      <c r="Z36" s="19">
        <f t="shared" si="73"/>
        <v>7.661176859</v>
      </c>
      <c r="AA36" s="19">
        <f t="shared" si="73"/>
        <v>2.686777996</v>
      </c>
      <c r="AB36" s="19">
        <f t="shared" si="73"/>
        <v>0.7109935036</v>
      </c>
      <c r="AC36" s="19">
        <f t="shared" si="73"/>
        <v>0.06907107594</v>
      </c>
      <c r="AD36" s="19">
        <f t="shared" si="73"/>
        <v>0.008325833963</v>
      </c>
      <c r="AE36" s="19">
        <f t="shared" si="73"/>
        <v>0.08624185596</v>
      </c>
      <c r="AF36" s="19">
        <f t="shared" si="73"/>
        <v>0.8189249828</v>
      </c>
      <c r="AG36" s="19">
        <f t="shared" si="73"/>
        <v>0.06877359952</v>
      </c>
      <c r="AH36" s="19">
        <f t="shared" si="73"/>
        <v>0.08590383922</v>
      </c>
      <c r="AI36" s="19">
        <f t="shared" si="73"/>
        <v>0.8218780536</v>
      </c>
      <c r="AJ36" s="19">
        <f t="shared" si="73"/>
        <v>0.09728166272</v>
      </c>
      <c r="AK36" s="19">
        <f t="shared" si="73"/>
        <v>0.1244655547</v>
      </c>
      <c r="AL36" s="19">
        <f t="shared" si="73"/>
        <v>0.6475552717</v>
      </c>
      <c r="AM36" s="19">
        <f t="shared" si="73"/>
        <v>10</v>
      </c>
      <c r="AN36" s="19">
        <f t="shared" si="73"/>
        <v>2.102880471</v>
      </c>
      <c r="AO36" s="19">
        <f t="shared" si="73"/>
        <v>7.661176859</v>
      </c>
      <c r="AP36" s="19">
        <f t="shared" si="73"/>
        <v>2.686777996</v>
      </c>
      <c r="AQ36" s="19">
        <f t="shared" si="73"/>
        <v>0.7107988347</v>
      </c>
      <c r="AR36" s="19">
        <f t="shared" si="73"/>
        <v>1.64026507</v>
      </c>
      <c r="AS36" s="19">
        <f t="shared" si="73"/>
        <v>4.675522389</v>
      </c>
      <c r="AT36" s="19">
        <f t="shared" si="73"/>
        <v>2.049140181</v>
      </c>
      <c r="AU36" s="19">
        <f t="shared" si="73"/>
        <v>0.8218780536</v>
      </c>
      <c r="AV36" s="19">
        <f t="shared" si="73"/>
        <v>2.323272933</v>
      </c>
      <c r="AW36" s="19">
        <f t="shared" si="73"/>
        <v>9.40778564</v>
      </c>
      <c r="AX36" s="19">
        <f t="shared" si="73"/>
        <v>2.972762436</v>
      </c>
      <c r="AY36" s="19">
        <f t="shared" si="73"/>
        <v>0.6475552717</v>
      </c>
      <c r="AZ36" s="20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7" t="s">
        <v>227</v>
      </c>
      <c r="U37" s="18"/>
      <c r="V37" s="1"/>
      <c r="W37" s="19">
        <f t="shared" ref="W37:AY37" si="74">STDEV(W3:W34)</f>
        <v>767.3776391</v>
      </c>
      <c r="X37" s="19">
        <f t="shared" si="74"/>
        <v>135.4405406</v>
      </c>
      <c r="Y37" s="19">
        <f t="shared" si="74"/>
        <v>0.5748790474</v>
      </c>
      <c r="Z37" s="19">
        <f t="shared" si="74"/>
        <v>4.031775837</v>
      </c>
      <c r="AA37" s="19">
        <f t="shared" si="74"/>
        <v>0.6757750031</v>
      </c>
      <c r="AB37" s="19">
        <f t="shared" si="74"/>
        <v>0.153675932</v>
      </c>
      <c r="AC37" s="19">
        <f t="shared" si="74"/>
        <v>0.02641083614</v>
      </c>
      <c r="AD37" s="19">
        <f t="shared" si="74"/>
        <v>0.006489681697</v>
      </c>
      <c r="AE37" s="19">
        <f t="shared" si="74"/>
        <v>0.03027915274</v>
      </c>
      <c r="AF37" s="19">
        <f t="shared" si="74"/>
        <v>0.1381809305</v>
      </c>
      <c r="AG37" s="19">
        <f t="shared" si="74"/>
        <v>0.02633461402</v>
      </c>
      <c r="AH37" s="19">
        <f t="shared" si="74"/>
        <v>0.03021765246</v>
      </c>
      <c r="AI37" s="19">
        <f t="shared" si="74"/>
        <v>0.136443871</v>
      </c>
      <c r="AJ37" s="19">
        <f t="shared" si="74"/>
        <v>0.02704628667</v>
      </c>
      <c r="AK37" s="19">
        <f t="shared" si="74"/>
        <v>0.03257537968</v>
      </c>
      <c r="AL37" s="19">
        <f t="shared" si="74"/>
        <v>0.1879344941</v>
      </c>
      <c r="AM37" s="19">
        <f t="shared" si="74"/>
        <v>0</v>
      </c>
      <c r="AN37" s="19">
        <f t="shared" si="74"/>
        <v>0.5748790474</v>
      </c>
      <c r="AO37" s="19">
        <f t="shared" si="74"/>
        <v>4.031775837</v>
      </c>
      <c r="AP37" s="19">
        <f t="shared" si="74"/>
        <v>0.6757750031</v>
      </c>
      <c r="AQ37" s="19">
        <f t="shared" si="74"/>
        <v>0.1538012608</v>
      </c>
      <c r="AR37" s="19">
        <f t="shared" si="74"/>
        <v>0.6113794144</v>
      </c>
      <c r="AS37" s="19">
        <f t="shared" si="74"/>
        <v>3.522373633</v>
      </c>
      <c r="AT37" s="19">
        <f t="shared" si="74"/>
        <v>0.7013696505</v>
      </c>
      <c r="AU37" s="19">
        <f t="shared" si="74"/>
        <v>0.136443871</v>
      </c>
      <c r="AV37" s="19">
        <f t="shared" si="74"/>
        <v>0.635706072</v>
      </c>
      <c r="AW37" s="19">
        <f t="shared" si="74"/>
        <v>5.00386932</v>
      </c>
      <c r="AX37" s="19">
        <f t="shared" si="74"/>
        <v>0.7673795474</v>
      </c>
      <c r="AY37" s="19">
        <f t="shared" si="74"/>
        <v>0.1879344941</v>
      </c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6"/>
      <c r="X38" s="16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6"/>
      <c r="X39" s="16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6"/>
      <c r="X40" s="16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6"/>
      <c r="X41" s="16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6"/>
      <c r="X42" s="16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6"/>
      <c r="X43" s="16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6"/>
      <c r="X44" s="16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6"/>
      <c r="X45" s="16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6"/>
      <c r="X46" s="16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6"/>
      <c r="X47" s="16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6"/>
      <c r="X48" s="16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6"/>
      <c r="X49" s="16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6"/>
      <c r="X50" s="16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6"/>
      <c r="X51" s="16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6"/>
      <c r="X52" s="16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6"/>
      <c r="X53" s="16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6"/>
      <c r="X54" s="16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6"/>
      <c r="X55" s="16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6"/>
      <c r="X56" s="16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6"/>
      <c r="X57" s="16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6"/>
      <c r="X58" s="16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6"/>
      <c r="X59" s="16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6"/>
      <c r="X60" s="16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6"/>
      <c r="X61" s="16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6"/>
      <c r="X62" s="16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6"/>
      <c r="X63" s="16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6"/>
      <c r="X64" s="16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6"/>
      <c r="X65" s="16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6"/>
      <c r="X66" s="16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6"/>
      <c r="X67" s="16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6"/>
      <c r="X68" s="16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6"/>
      <c r="X69" s="16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6"/>
      <c r="X70" s="16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6"/>
      <c r="X71" s="16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6"/>
      <c r="X72" s="16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6"/>
      <c r="X73" s="16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6"/>
      <c r="X74" s="16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6"/>
      <c r="X75" s="16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6"/>
      <c r="X76" s="16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6"/>
      <c r="X77" s="16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6"/>
      <c r="X78" s="16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6"/>
      <c r="X79" s="16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6"/>
      <c r="X80" s="16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6"/>
      <c r="X81" s="16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6"/>
      <c r="X82" s="16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6"/>
      <c r="X83" s="16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6"/>
      <c r="X84" s="16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6"/>
      <c r="X85" s="16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6"/>
      <c r="X86" s="16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6"/>
      <c r="X87" s="16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6"/>
      <c r="X88" s="16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6"/>
      <c r="X89" s="16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6"/>
      <c r="X90" s="16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6"/>
      <c r="X91" s="16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6"/>
      <c r="X92" s="16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6"/>
      <c r="X93" s="16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6"/>
      <c r="X94" s="16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6"/>
      <c r="X95" s="16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6"/>
      <c r="X96" s="16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6"/>
      <c r="X97" s="16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6"/>
      <c r="X98" s="16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6"/>
      <c r="X99" s="16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6"/>
      <c r="X100" s="16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6"/>
      <c r="X101" s="16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6"/>
      <c r="X102" s="16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6"/>
      <c r="X103" s="16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6"/>
      <c r="X104" s="16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6"/>
      <c r="X105" s="16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6"/>
      <c r="X106" s="16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6"/>
      <c r="X107" s="16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6"/>
      <c r="X108" s="16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6"/>
      <c r="X109" s="16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6"/>
      <c r="X110" s="16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6"/>
      <c r="X111" s="16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6"/>
      <c r="X112" s="16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6"/>
      <c r="X113" s="16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6"/>
      <c r="X114" s="16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6"/>
      <c r="X115" s="16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6"/>
      <c r="X116" s="16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6"/>
      <c r="X117" s="16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6"/>
      <c r="X118" s="16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6"/>
      <c r="X119" s="16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6"/>
      <c r="X120" s="16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6"/>
      <c r="X121" s="16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6"/>
      <c r="X122" s="16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6"/>
      <c r="X123" s="16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6"/>
      <c r="X124" s="16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6"/>
      <c r="X125" s="16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6"/>
      <c r="X126" s="16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6"/>
      <c r="X127" s="16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6"/>
      <c r="X128" s="16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6"/>
      <c r="X129" s="16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6"/>
      <c r="X130" s="16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6"/>
      <c r="X131" s="16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6"/>
      <c r="X132" s="16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6"/>
      <c r="X133" s="16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6"/>
      <c r="X134" s="16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6"/>
      <c r="X135" s="16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6"/>
      <c r="X136" s="16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6"/>
      <c r="X137" s="16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6"/>
      <c r="X138" s="16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6"/>
      <c r="X139" s="16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6"/>
      <c r="X140" s="16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6"/>
      <c r="X141" s="16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6"/>
      <c r="X142" s="16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6"/>
      <c r="X143" s="16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6"/>
      <c r="X144" s="16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6"/>
      <c r="X145" s="16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6"/>
      <c r="X146" s="16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6"/>
      <c r="X147" s="16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6"/>
      <c r="X148" s="16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6"/>
      <c r="X149" s="16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6"/>
      <c r="X150" s="16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6"/>
      <c r="X151" s="16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6"/>
      <c r="X152" s="16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6"/>
      <c r="X153" s="16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6"/>
      <c r="X154" s="16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6"/>
      <c r="X155" s="16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6"/>
      <c r="X156" s="16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6"/>
      <c r="X157" s="16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6"/>
      <c r="X158" s="16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6"/>
      <c r="X159" s="16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6"/>
      <c r="X160" s="16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6"/>
      <c r="X161" s="16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6"/>
      <c r="X162" s="16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6"/>
      <c r="X163" s="16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6"/>
      <c r="X164" s="16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6"/>
      <c r="X165" s="16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6"/>
      <c r="X166" s="16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6"/>
      <c r="X167" s="16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6"/>
      <c r="X168" s="16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6"/>
      <c r="X169" s="16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6"/>
      <c r="X170" s="16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6"/>
      <c r="X171" s="16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6"/>
      <c r="X172" s="16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6"/>
      <c r="X173" s="16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6"/>
      <c r="X174" s="16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6"/>
      <c r="X175" s="16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6"/>
      <c r="X176" s="16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6"/>
      <c r="X177" s="16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6"/>
      <c r="X178" s="16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6"/>
      <c r="X179" s="16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6"/>
      <c r="X180" s="16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6"/>
      <c r="X181" s="16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6"/>
      <c r="X182" s="16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6"/>
      <c r="X183" s="16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6"/>
      <c r="X184" s="16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6"/>
      <c r="X185" s="16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6"/>
      <c r="X186" s="16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6"/>
      <c r="X187" s="16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6"/>
      <c r="X188" s="16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6"/>
      <c r="X189" s="16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6"/>
      <c r="X190" s="16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6"/>
      <c r="X191" s="16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6"/>
      <c r="X192" s="16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6"/>
      <c r="X193" s="16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6"/>
      <c r="X194" s="16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6"/>
      <c r="X195" s="16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6"/>
      <c r="X196" s="16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6"/>
      <c r="X197" s="16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6"/>
      <c r="X198" s="16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6"/>
      <c r="X199" s="16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6"/>
      <c r="X200" s="16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6"/>
      <c r="X201" s="16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6"/>
      <c r="X202" s="16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6"/>
      <c r="X203" s="16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6"/>
      <c r="X204" s="16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6"/>
      <c r="X205" s="16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6"/>
      <c r="X206" s="16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6"/>
      <c r="X207" s="16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6"/>
      <c r="X208" s="16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6"/>
      <c r="X209" s="16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6"/>
      <c r="X210" s="16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6"/>
      <c r="X211" s="16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6"/>
      <c r="X212" s="16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6"/>
      <c r="X213" s="16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6"/>
      <c r="X214" s="16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6"/>
      <c r="X215" s="16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6"/>
      <c r="X216" s="16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6"/>
      <c r="X217" s="16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6"/>
      <c r="X218" s="16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6"/>
      <c r="X219" s="16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6"/>
      <c r="X220" s="16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6"/>
      <c r="X221" s="16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6"/>
      <c r="X222" s="16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6"/>
      <c r="X223" s="16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6"/>
      <c r="X224" s="16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6"/>
      <c r="X225" s="16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6"/>
      <c r="X226" s="16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6"/>
      <c r="X227" s="16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6"/>
      <c r="X228" s="16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6"/>
      <c r="X229" s="16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6"/>
      <c r="X230" s="16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6"/>
      <c r="X231" s="16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6"/>
      <c r="X232" s="16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6"/>
      <c r="X233" s="16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6"/>
      <c r="X234" s="16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6"/>
      <c r="X235" s="16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6"/>
      <c r="X236" s="16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6"/>
      <c r="X237" s="16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6"/>
      <c r="X238" s="16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6"/>
      <c r="X239" s="16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6"/>
      <c r="X240" s="16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6"/>
      <c r="X241" s="16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6"/>
      <c r="X242" s="16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6"/>
      <c r="X243" s="16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6"/>
      <c r="X244" s="16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6"/>
      <c r="X245" s="16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6"/>
      <c r="X246" s="16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6"/>
      <c r="X247" s="16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6"/>
      <c r="X248" s="16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6"/>
      <c r="X249" s="16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6"/>
      <c r="X250" s="16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6"/>
      <c r="X251" s="16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6"/>
      <c r="X252" s="16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6"/>
      <c r="X253" s="16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6"/>
      <c r="X254" s="16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6"/>
      <c r="X255" s="16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6"/>
      <c r="X256" s="16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6"/>
      <c r="X257" s="16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6"/>
      <c r="X258" s="16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6"/>
      <c r="X259" s="16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6"/>
      <c r="X260" s="16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6"/>
      <c r="X261" s="16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6"/>
      <c r="X262" s="16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6"/>
      <c r="X263" s="16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6"/>
      <c r="X264" s="16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6"/>
      <c r="X265" s="16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6"/>
      <c r="X266" s="16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6"/>
      <c r="X267" s="16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6"/>
      <c r="X268" s="16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6"/>
      <c r="X269" s="16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6"/>
      <c r="X270" s="16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6"/>
      <c r="X271" s="16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6"/>
      <c r="X272" s="16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6"/>
      <c r="X273" s="16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6"/>
      <c r="X274" s="16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6"/>
      <c r="X275" s="16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6"/>
      <c r="X276" s="16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6"/>
      <c r="X277" s="16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6"/>
      <c r="X278" s="16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6"/>
      <c r="X279" s="16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6"/>
      <c r="X280" s="16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6"/>
      <c r="X281" s="16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6"/>
      <c r="X282" s="16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6"/>
      <c r="X283" s="16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6"/>
      <c r="X284" s="16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6"/>
      <c r="X285" s="16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6"/>
      <c r="X286" s="16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6"/>
      <c r="X287" s="16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6"/>
      <c r="X288" s="16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6"/>
      <c r="X289" s="16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6"/>
      <c r="X290" s="16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6"/>
      <c r="X291" s="16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6"/>
      <c r="X292" s="16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6"/>
      <c r="X293" s="16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6"/>
      <c r="X294" s="16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6"/>
      <c r="X295" s="16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6"/>
      <c r="X296" s="16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6"/>
      <c r="X297" s="16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6"/>
      <c r="X298" s="16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6"/>
      <c r="X299" s="16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6"/>
      <c r="X300" s="16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6"/>
      <c r="X301" s="16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6"/>
      <c r="X302" s="16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6"/>
      <c r="X303" s="16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6"/>
      <c r="X304" s="16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6"/>
      <c r="X305" s="16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6"/>
      <c r="X306" s="16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6"/>
      <c r="X307" s="16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6"/>
      <c r="X308" s="16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6"/>
      <c r="X309" s="16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6"/>
      <c r="X310" s="16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6"/>
      <c r="X311" s="16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6"/>
      <c r="X312" s="16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6"/>
      <c r="X313" s="16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6"/>
      <c r="X314" s="16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6"/>
      <c r="X315" s="16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6"/>
      <c r="X316" s="16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6"/>
      <c r="X317" s="16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6"/>
      <c r="X318" s="16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6"/>
      <c r="X319" s="16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6"/>
      <c r="X320" s="16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6"/>
      <c r="X321" s="16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6"/>
      <c r="X322" s="16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6"/>
      <c r="X323" s="16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6"/>
      <c r="X324" s="16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6"/>
      <c r="X325" s="16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6"/>
      <c r="X326" s="16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6"/>
      <c r="X327" s="16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6"/>
      <c r="X328" s="16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6"/>
      <c r="X329" s="16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6"/>
      <c r="X330" s="16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6"/>
      <c r="X331" s="16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6"/>
      <c r="X332" s="16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6"/>
      <c r="X333" s="16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6"/>
      <c r="X334" s="16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6"/>
      <c r="X335" s="16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6"/>
      <c r="X336" s="16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6"/>
      <c r="X337" s="16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6"/>
      <c r="X338" s="16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6"/>
      <c r="X339" s="16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6"/>
      <c r="X340" s="16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6"/>
      <c r="X341" s="16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6"/>
      <c r="X342" s="16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6"/>
      <c r="X343" s="16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6"/>
      <c r="X344" s="16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6"/>
      <c r="X345" s="16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6"/>
      <c r="X346" s="16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6"/>
      <c r="X347" s="16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6"/>
      <c r="X348" s="16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6"/>
      <c r="X349" s="16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6"/>
      <c r="X350" s="16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6"/>
      <c r="X351" s="16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6"/>
      <c r="X352" s="16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6"/>
      <c r="X353" s="16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6"/>
      <c r="X354" s="16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6"/>
      <c r="X355" s="16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6"/>
      <c r="X356" s="16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6"/>
      <c r="X357" s="16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6"/>
      <c r="X358" s="16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6"/>
      <c r="X359" s="16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6"/>
      <c r="X360" s="16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6"/>
      <c r="X361" s="16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6"/>
      <c r="X362" s="16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6"/>
      <c r="X363" s="16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6"/>
      <c r="X364" s="16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6"/>
      <c r="X365" s="16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6"/>
      <c r="X366" s="16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6"/>
      <c r="X367" s="16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6"/>
      <c r="X368" s="16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6"/>
      <c r="X369" s="16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6"/>
      <c r="X370" s="16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6"/>
      <c r="X371" s="16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6"/>
      <c r="X372" s="16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6"/>
      <c r="X373" s="16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6"/>
      <c r="X374" s="16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6"/>
      <c r="X375" s="16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6"/>
      <c r="X376" s="16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6"/>
      <c r="X377" s="16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6"/>
      <c r="X378" s="16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6"/>
      <c r="X379" s="16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6"/>
      <c r="X380" s="16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6"/>
      <c r="X381" s="16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6"/>
      <c r="X382" s="16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6"/>
      <c r="X383" s="16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6"/>
      <c r="X384" s="16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6"/>
      <c r="X385" s="16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6"/>
      <c r="X386" s="16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6"/>
      <c r="X387" s="16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6"/>
      <c r="X388" s="16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6"/>
      <c r="X389" s="16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6"/>
      <c r="X390" s="16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6"/>
      <c r="X391" s="16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6"/>
      <c r="X392" s="16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6"/>
      <c r="X393" s="16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6"/>
      <c r="X394" s="16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6"/>
      <c r="X395" s="16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6"/>
      <c r="X396" s="16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6"/>
      <c r="X397" s="16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6"/>
      <c r="X398" s="16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6"/>
      <c r="X399" s="16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6"/>
      <c r="X400" s="16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6"/>
      <c r="X401" s="16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6"/>
      <c r="X402" s="16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6"/>
      <c r="X403" s="16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6"/>
      <c r="X404" s="16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6"/>
      <c r="X405" s="16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6"/>
      <c r="X406" s="16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6"/>
      <c r="X407" s="16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6"/>
      <c r="X408" s="16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6"/>
      <c r="X409" s="16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6"/>
      <c r="X410" s="16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6"/>
      <c r="X411" s="16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6"/>
      <c r="X412" s="16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6"/>
      <c r="X413" s="16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6"/>
      <c r="X414" s="16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6"/>
      <c r="X415" s="16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6"/>
      <c r="X416" s="16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6"/>
      <c r="X417" s="16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6"/>
      <c r="X418" s="16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6"/>
      <c r="X419" s="16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6"/>
      <c r="X420" s="16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6"/>
      <c r="X421" s="16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6"/>
      <c r="X422" s="16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6"/>
      <c r="X423" s="16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6"/>
      <c r="X424" s="16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6"/>
      <c r="X425" s="16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6"/>
      <c r="X426" s="16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6"/>
      <c r="X427" s="16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6"/>
      <c r="X428" s="16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6"/>
      <c r="X429" s="16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6"/>
      <c r="X430" s="16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6"/>
      <c r="X431" s="16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6"/>
      <c r="X432" s="16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6"/>
      <c r="X433" s="16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6"/>
      <c r="X434" s="16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6"/>
      <c r="X435" s="16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6"/>
      <c r="X436" s="16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6"/>
      <c r="X437" s="16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6"/>
      <c r="X438" s="16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6"/>
      <c r="X439" s="16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6"/>
      <c r="X440" s="16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6"/>
      <c r="X441" s="16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6"/>
      <c r="X442" s="16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6"/>
      <c r="X443" s="16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6"/>
      <c r="X444" s="16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6"/>
      <c r="X445" s="16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6"/>
      <c r="X446" s="16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6"/>
      <c r="X447" s="16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6"/>
      <c r="X448" s="16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6"/>
      <c r="X449" s="16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6"/>
      <c r="X450" s="16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6"/>
      <c r="X451" s="16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6"/>
      <c r="X452" s="16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6"/>
      <c r="X453" s="16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6"/>
      <c r="X454" s="16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6"/>
      <c r="X455" s="16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6"/>
      <c r="X456" s="16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6"/>
      <c r="X457" s="16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6"/>
      <c r="X458" s="16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6"/>
      <c r="X459" s="16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6"/>
      <c r="X460" s="16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6"/>
      <c r="X461" s="16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6"/>
      <c r="X462" s="16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6"/>
      <c r="X463" s="16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6"/>
      <c r="X464" s="16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6"/>
      <c r="X465" s="16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6"/>
      <c r="X466" s="16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6"/>
      <c r="X467" s="16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6"/>
      <c r="X468" s="16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6"/>
      <c r="X469" s="16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6"/>
      <c r="X470" s="16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6"/>
      <c r="X471" s="16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6"/>
      <c r="X472" s="16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6"/>
      <c r="X473" s="16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6"/>
      <c r="X474" s="16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6"/>
      <c r="X475" s="16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6"/>
      <c r="X476" s="16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6"/>
      <c r="X477" s="16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6"/>
      <c r="X478" s="16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6"/>
      <c r="X479" s="16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6"/>
      <c r="X480" s="16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6"/>
      <c r="X481" s="16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6"/>
      <c r="X482" s="16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6"/>
      <c r="X483" s="16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6"/>
      <c r="X484" s="16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6"/>
      <c r="X485" s="16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6"/>
      <c r="X486" s="16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6"/>
      <c r="X487" s="16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6"/>
      <c r="X488" s="16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6"/>
      <c r="X489" s="16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6"/>
      <c r="X490" s="16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6"/>
      <c r="X491" s="16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6"/>
      <c r="X492" s="16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6"/>
      <c r="X493" s="16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6"/>
      <c r="X494" s="16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6"/>
      <c r="X495" s="16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6"/>
      <c r="X496" s="16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6"/>
      <c r="X497" s="16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6"/>
      <c r="X498" s="16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6"/>
      <c r="X499" s="16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6"/>
      <c r="X500" s="16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6"/>
      <c r="X501" s="16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6"/>
      <c r="X502" s="16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6"/>
      <c r="X503" s="16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6"/>
      <c r="X504" s="16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6"/>
      <c r="X505" s="16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6"/>
      <c r="X506" s="16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6"/>
      <c r="X507" s="16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6"/>
      <c r="X508" s="16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6"/>
      <c r="X509" s="16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6"/>
      <c r="X510" s="16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6"/>
      <c r="X511" s="16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6"/>
      <c r="X512" s="16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6"/>
      <c r="X513" s="16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6"/>
      <c r="X514" s="16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6"/>
      <c r="X515" s="16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6"/>
      <c r="X516" s="16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6"/>
      <c r="X517" s="16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6"/>
      <c r="X518" s="16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6"/>
      <c r="X519" s="16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6"/>
      <c r="X520" s="16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6"/>
      <c r="X521" s="16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6"/>
      <c r="X522" s="16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6"/>
      <c r="X523" s="16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6"/>
      <c r="X524" s="16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6"/>
      <c r="X525" s="16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6"/>
      <c r="X526" s="16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6"/>
      <c r="X527" s="16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6"/>
      <c r="X528" s="16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6"/>
      <c r="X529" s="16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6"/>
      <c r="X530" s="16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6"/>
      <c r="X531" s="16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6"/>
      <c r="X532" s="16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6"/>
      <c r="X533" s="16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6"/>
      <c r="X534" s="16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6"/>
      <c r="X535" s="16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6"/>
      <c r="X536" s="16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6"/>
      <c r="X537" s="16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6"/>
      <c r="X538" s="16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6"/>
      <c r="X539" s="16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6"/>
      <c r="X540" s="16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6"/>
      <c r="X541" s="16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6"/>
      <c r="X542" s="16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6"/>
      <c r="X543" s="16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6"/>
      <c r="X544" s="16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6"/>
      <c r="X545" s="16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6"/>
      <c r="X546" s="16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6"/>
      <c r="X547" s="16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6"/>
      <c r="X548" s="16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6"/>
      <c r="X549" s="16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6"/>
      <c r="X550" s="16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6"/>
      <c r="X551" s="16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6"/>
      <c r="X552" s="16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6"/>
      <c r="X553" s="16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6"/>
      <c r="X554" s="16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6"/>
      <c r="X555" s="16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6"/>
      <c r="X556" s="16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6"/>
      <c r="X557" s="16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6"/>
      <c r="X558" s="16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6"/>
      <c r="X559" s="16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6"/>
      <c r="X560" s="16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6"/>
      <c r="X561" s="16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6"/>
      <c r="X562" s="16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6"/>
      <c r="X563" s="16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6"/>
      <c r="X564" s="16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6"/>
      <c r="X565" s="16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6"/>
      <c r="X566" s="16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6"/>
      <c r="X567" s="16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6"/>
      <c r="X568" s="16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6"/>
      <c r="X569" s="16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6"/>
      <c r="X570" s="16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6"/>
      <c r="X571" s="16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6"/>
      <c r="X572" s="16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6"/>
      <c r="X573" s="16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6"/>
      <c r="X574" s="16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6"/>
      <c r="X575" s="16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6"/>
      <c r="X576" s="16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6"/>
      <c r="X577" s="16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6"/>
      <c r="X578" s="16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6"/>
      <c r="X579" s="16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6"/>
      <c r="X580" s="16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6"/>
      <c r="X581" s="16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6"/>
      <c r="X582" s="16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6"/>
      <c r="X583" s="16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6"/>
      <c r="X584" s="16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6"/>
      <c r="X585" s="16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6"/>
      <c r="X586" s="16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6"/>
      <c r="X587" s="16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6"/>
      <c r="X588" s="16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6"/>
      <c r="X589" s="16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6"/>
      <c r="X590" s="16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6"/>
      <c r="X591" s="16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6"/>
      <c r="X592" s="16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6"/>
      <c r="X593" s="16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6"/>
      <c r="X594" s="16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6"/>
      <c r="X595" s="16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6"/>
      <c r="X596" s="16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6"/>
      <c r="X597" s="16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6"/>
      <c r="X598" s="16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6"/>
      <c r="X599" s="16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6"/>
      <c r="X600" s="16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6"/>
      <c r="X601" s="16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6"/>
      <c r="X602" s="16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6"/>
      <c r="X603" s="16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6"/>
      <c r="X604" s="16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6"/>
      <c r="X605" s="16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6"/>
      <c r="X606" s="16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6"/>
      <c r="X607" s="16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6"/>
      <c r="X608" s="16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6"/>
      <c r="X609" s="16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6"/>
      <c r="X610" s="16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6"/>
      <c r="X611" s="16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6"/>
      <c r="X612" s="16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6"/>
      <c r="X613" s="16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6"/>
      <c r="X614" s="16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6"/>
      <c r="X615" s="16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6"/>
      <c r="X616" s="16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6"/>
      <c r="X617" s="16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6"/>
      <c r="X618" s="16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6"/>
      <c r="X619" s="16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6"/>
      <c r="X620" s="16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6"/>
      <c r="X621" s="16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6"/>
      <c r="X622" s="16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6"/>
      <c r="X623" s="16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6"/>
      <c r="X624" s="16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6"/>
      <c r="X625" s="16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6"/>
      <c r="X626" s="16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6"/>
      <c r="X627" s="16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6"/>
      <c r="X628" s="16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6"/>
      <c r="X629" s="16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6"/>
      <c r="X630" s="16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6"/>
      <c r="X631" s="16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6"/>
      <c r="X632" s="16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6"/>
      <c r="X633" s="16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6"/>
      <c r="X634" s="16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6"/>
      <c r="X635" s="16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6"/>
      <c r="X636" s="16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6"/>
      <c r="X637" s="16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6"/>
      <c r="X638" s="16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6"/>
      <c r="X639" s="16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6"/>
      <c r="X640" s="16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6"/>
      <c r="X641" s="16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6"/>
      <c r="X642" s="16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6"/>
      <c r="X643" s="16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6"/>
      <c r="X644" s="16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6"/>
      <c r="X645" s="16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6"/>
      <c r="X646" s="16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6"/>
      <c r="X647" s="16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6"/>
      <c r="X648" s="16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6"/>
      <c r="X649" s="16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6"/>
      <c r="X650" s="16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6"/>
      <c r="X651" s="16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6"/>
      <c r="X652" s="16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6"/>
      <c r="X653" s="16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6"/>
      <c r="X654" s="16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6"/>
      <c r="X655" s="16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6"/>
      <c r="X656" s="16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6"/>
      <c r="X657" s="16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6"/>
      <c r="X658" s="16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6"/>
      <c r="X659" s="16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6"/>
      <c r="X660" s="16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6"/>
      <c r="X661" s="16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6"/>
      <c r="X662" s="16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6"/>
      <c r="X663" s="16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6"/>
      <c r="X664" s="16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6"/>
      <c r="X665" s="16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6"/>
      <c r="X666" s="16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6"/>
      <c r="X667" s="16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6"/>
      <c r="X668" s="16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6"/>
      <c r="X669" s="16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6"/>
      <c r="X670" s="16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6"/>
      <c r="X671" s="16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6"/>
      <c r="X672" s="16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6"/>
      <c r="X673" s="16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6"/>
      <c r="X674" s="16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6"/>
      <c r="X675" s="16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6"/>
      <c r="X676" s="16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6"/>
      <c r="X677" s="16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6"/>
      <c r="X678" s="16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6"/>
      <c r="X679" s="16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6"/>
      <c r="X680" s="16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6"/>
      <c r="X681" s="16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6"/>
      <c r="X682" s="16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6"/>
      <c r="X683" s="16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6"/>
      <c r="X684" s="16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6"/>
      <c r="X685" s="16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6"/>
      <c r="X686" s="16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6"/>
      <c r="X687" s="16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6"/>
      <c r="X688" s="16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6"/>
      <c r="X689" s="16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6"/>
      <c r="X690" s="16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6"/>
      <c r="X691" s="16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6"/>
      <c r="X692" s="16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6"/>
      <c r="X693" s="16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6"/>
      <c r="X694" s="16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6"/>
      <c r="X695" s="16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6"/>
      <c r="X696" s="16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6"/>
      <c r="X697" s="16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6"/>
      <c r="X698" s="16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6"/>
      <c r="X699" s="16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6"/>
      <c r="X700" s="16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6"/>
      <c r="X701" s="16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6"/>
      <c r="X702" s="16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6"/>
      <c r="X703" s="16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6"/>
      <c r="X704" s="16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6"/>
      <c r="X705" s="16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6"/>
      <c r="X706" s="16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6"/>
      <c r="X707" s="16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6"/>
      <c r="X708" s="16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6"/>
      <c r="X709" s="16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6"/>
      <c r="X710" s="16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6"/>
      <c r="X711" s="16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6"/>
      <c r="X712" s="16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6"/>
      <c r="X713" s="16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6"/>
      <c r="X714" s="16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6"/>
      <c r="X715" s="16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6"/>
      <c r="X716" s="16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6"/>
      <c r="X717" s="16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6"/>
      <c r="X718" s="16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6"/>
      <c r="X719" s="16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6"/>
      <c r="X720" s="16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6"/>
      <c r="X721" s="16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6"/>
      <c r="X722" s="16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6"/>
      <c r="X723" s="16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6"/>
      <c r="X724" s="16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6"/>
      <c r="X725" s="16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6"/>
      <c r="X726" s="16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6"/>
      <c r="X727" s="16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6"/>
      <c r="X728" s="16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6"/>
      <c r="X729" s="16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6"/>
      <c r="X730" s="16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6"/>
      <c r="X731" s="16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6"/>
      <c r="X732" s="16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6"/>
      <c r="X733" s="16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6"/>
      <c r="X734" s="16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6"/>
      <c r="X735" s="16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6"/>
      <c r="X736" s="16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6"/>
      <c r="X737" s="16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6"/>
      <c r="X738" s="16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6"/>
      <c r="X739" s="16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6"/>
      <c r="X740" s="16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6"/>
      <c r="X741" s="16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6"/>
      <c r="X742" s="16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6"/>
      <c r="X743" s="16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6"/>
      <c r="X744" s="16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6"/>
      <c r="X745" s="16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6"/>
      <c r="X746" s="16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6"/>
      <c r="X747" s="16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6"/>
      <c r="X748" s="16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6"/>
      <c r="X749" s="16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6"/>
      <c r="X750" s="16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6"/>
      <c r="X751" s="16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6"/>
      <c r="X752" s="16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6"/>
      <c r="X753" s="16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6"/>
      <c r="X754" s="16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6"/>
      <c r="X755" s="16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6"/>
      <c r="X756" s="16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6"/>
      <c r="X757" s="16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6"/>
      <c r="X758" s="16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6"/>
      <c r="X759" s="16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6"/>
      <c r="X760" s="16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6"/>
      <c r="X761" s="16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6"/>
      <c r="X762" s="16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6"/>
      <c r="X763" s="16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6"/>
      <c r="X764" s="16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6"/>
      <c r="X765" s="16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6"/>
      <c r="X766" s="16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6"/>
      <c r="X767" s="16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6"/>
      <c r="X768" s="16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6"/>
      <c r="X769" s="16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6"/>
      <c r="X770" s="16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6"/>
      <c r="X771" s="16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6"/>
      <c r="X772" s="16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6"/>
      <c r="X773" s="16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6"/>
      <c r="X774" s="16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6"/>
      <c r="X775" s="16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6"/>
      <c r="X776" s="16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6"/>
      <c r="X777" s="16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6"/>
      <c r="X778" s="16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6"/>
      <c r="X779" s="16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6"/>
      <c r="X780" s="16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6"/>
      <c r="X781" s="16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6"/>
      <c r="X782" s="16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6"/>
      <c r="X783" s="16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6"/>
      <c r="X784" s="16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6"/>
      <c r="X785" s="16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6"/>
      <c r="X786" s="16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6"/>
      <c r="X787" s="16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6"/>
      <c r="X788" s="16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6"/>
      <c r="X789" s="16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6"/>
      <c r="X790" s="16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6"/>
      <c r="X791" s="16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6"/>
      <c r="X792" s="16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6"/>
      <c r="X793" s="16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6"/>
      <c r="X794" s="16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6"/>
      <c r="X795" s="16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6"/>
      <c r="X796" s="16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6"/>
      <c r="X797" s="16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6"/>
      <c r="X798" s="16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6"/>
      <c r="X799" s="16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6"/>
      <c r="X800" s="16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6"/>
      <c r="X801" s="16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6"/>
      <c r="X802" s="16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6"/>
      <c r="X803" s="16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6"/>
      <c r="X804" s="16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6"/>
      <c r="X805" s="16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6"/>
      <c r="X806" s="16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6"/>
      <c r="X807" s="16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6"/>
      <c r="X808" s="16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6"/>
      <c r="X809" s="16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6"/>
      <c r="X810" s="16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6"/>
      <c r="X811" s="16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6"/>
      <c r="X812" s="16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6"/>
      <c r="X813" s="16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6"/>
      <c r="X814" s="16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6"/>
      <c r="X815" s="16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6"/>
      <c r="X816" s="16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6"/>
      <c r="X817" s="16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6"/>
      <c r="X818" s="16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6"/>
      <c r="X819" s="16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6"/>
      <c r="X820" s="16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6"/>
      <c r="X821" s="16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6"/>
      <c r="X822" s="16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6"/>
      <c r="X823" s="16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6"/>
      <c r="X824" s="16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6"/>
      <c r="X825" s="16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6"/>
      <c r="X826" s="16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6"/>
      <c r="X827" s="16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6"/>
      <c r="X828" s="16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6"/>
      <c r="X829" s="16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6"/>
      <c r="X830" s="16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6"/>
      <c r="X831" s="16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6"/>
      <c r="X832" s="16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6"/>
      <c r="X833" s="16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6"/>
      <c r="X834" s="16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6"/>
      <c r="X835" s="16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6"/>
      <c r="X836" s="16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6"/>
      <c r="X837" s="16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6"/>
      <c r="X838" s="16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6"/>
      <c r="X839" s="16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6"/>
      <c r="X840" s="16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6"/>
      <c r="X841" s="16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6"/>
      <c r="X842" s="16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6"/>
      <c r="X843" s="16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6"/>
      <c r="X844" s="16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6"/>
      <c r="X845" s="16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6"/>
      <c r="X846" s="16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6"/>
      <c r="X847" s="16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6"/>
      <c r="X848" s="16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6"/>
      <c r="X849" s="16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6"/>
      <c r="X850" s="16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6"/>
      <c r="X851" s="16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6"/>
      <c r="X852" s="16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6"/>
      <c r="X853" s="16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6"/>
      <c r="X854" s="16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6"/>
      <c r="X855" s="16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6"/>
      <c r="X856" s="16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6"/>
      <c r="X857" s="16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6"/>
      <c r="X858" s="16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6"/>
      <c r="X859" s="16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6"/>
      <c r="X860" s="16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6"/>
      <c r="X861" s="16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6"/>
      <c r="X862" s="16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6"/>
      <c r="X863" s="16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6"/>
      <c r="X864" s="16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6"/>
      <c r="X865" s="16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6"/>
      <c r="X866" s="16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6"/>
      <c r="X867" s="16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6"/>
      <c r="X868" s="16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6"/>
      <c r="X869" s="16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6"/>
      <c r="X870" s="16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6"/>
      <c r="X871" s="16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6"/>
      <c r="X872" s="16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6"/>
      <c r="X873" s="16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6"/>
      <c r="X874" s="16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6"/>
      <c r="X875" s="16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6"/>
      <c r="X876" s="16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6"/>
      <c r="X877" s="16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6"/>
      <c r="X878" s="16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6"/>
      <c r="X879" s="16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6"/>
      <c r="X880" s="16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6"/>
      <c r="X881" s="16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6"/>
      <c r="X882" s="16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6"/>
      <c r="X883" s="16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6"/>
      <c r="X884" s="16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6"/>
      <c r="X885" s="16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6"/>
      <c r="X886" s="16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6"/>
      <c r="X887" s="16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6"/>
      <c r="X888" s="16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6"/>
      <c r="X889" s="16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6"/>
      <c r="X890" s="16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6"/>
      <c r="X891" s="16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6"/>
      <c r="X892" s="16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6"/>
      <c r="X893" s="16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6"/>
      <c r="X894" s="16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6"/>
      <c r="X895" s="16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6"/>
      <c r="X896" s="16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6"/>
      <c r="X897" s="16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6"/>
      <c r="X898" s="16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6"/>
      <c r="X899" s="16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6"/>
      <c r="X900" s="16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6"/>
      <c r="X901" s="16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6"/>
      <c r="X902" s="16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6"/>
      <c r="X903" s="16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6"/>
      <c r="X904" s="16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6"/>
      <c r="X905" s="16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6"/>
      <c r="X906" s="16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6"/>
      <c r="X907" s="16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6"/>
      <c r="X908" s="16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6"/>
      <c r="X909" s="16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6"/>
      <c r="X910" s="16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6"/>
      <c r="X911" s="16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6"/>
      <c r="X912" s="16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6"/>
      <c r="X913" s="16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6"/>
      <c r="X914" s="16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6"/>
      <c r="X915" s="16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6"/>
      <c r="X916" s="16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6"/>
      <c r="X917" s="16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6"/>
      <c r="X918" s="16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6"/>
      <c r="X919" s="16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6"/>
      <c r="X920" s="16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6"/>
      <c r="X921" s="16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6"/>
      <c r="X922" s="16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6"/>
      <c r="X923" s="16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6"/>
      <c r="X924" s="16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6"/>
      <c r="X925" s="16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6"/>
      <c r="X926" s="16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6"/>
      <c r="X927" s="16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6"/>
      <c r="X928" s="16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6"/>
      <c r="X929" s="16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6"/>
      <c r="X930" s="16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6"/>
      <c r="X931" s="16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6"/>
      <c r="X932" s="16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6"/>
      <c r="X933" s="16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6"/>
      <c r="X934" s="16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6"/>
      <c r="X935" s="16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6"/>
      <c r="X936" s="16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6"/>
      <c r="X937" s="16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6"/>
      <c r="X938" s="16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6"/>
      <c r="X939" s="16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6"/>
      <c r="X940" s="16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6"/>
      <c r="X941" s="16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6"/>
      <c r="X942" s="16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6"/>
      <c r="X943" s="16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6"/>
      <c r="X944" s="16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6"/>
      <c r="X945" s="16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6"/>
      <c r="X946" s="16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6"/>
      <c r="X947" s="16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6"/>
      <c r="X948" s="16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6"/>
      <c r="X949" s="16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6"/>
      <c r="X950" s="16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6"/>
      <c r="X951" s="16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6"/>
      <c r="X952" s="16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6"/>
      <c r="X953" s="16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6"/>
      <c r="X954" s="16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6"/>
      <c r="X955" s="16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6"/>
      <c r="X956" s="16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6"/>
      <c r="X957" s="16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6"/>
      <c r="X958" s="16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6"/>
      <c r="X959" s="16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6"/>
      <c r="X960" s="16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6"/>
      <c r="X961" s="16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6"/>
      <c r="X962" s="16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6"/>
      <c r="X963" s="16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6"/>
      <c r="X964" s="16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6"/>
      <c r="X965" s="16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6"/>
      <c r="X966" s="16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6"/>
      <c r="X967" s="16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6"/>
      <c r="X968" s="16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6"/>
      <c r="X969" s="16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6"/>
      <c r="X970" s="16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6"/>
      <c r="X971" s="16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6"/>
      <c r="X972" s="16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6"/>
      <c r="X973" s="16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6"/>
      <c r="X974" s="16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6"/>
      <c r="X975" s="16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6"/>
      <c r="X976" s="16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6"/>
      <c r="X977" s="16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6"/>
      <c r="X978" s="16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6"/>
      <c r="X979" s="16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6"/>
      <c r="X980" s="16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6"/>
      <c r="X981" s="16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6"/>
      <c r="X982" s="16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6"/>
      <c r="X983" s="16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6"/>
      <c r="X984" s="16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6"/>
      <c r="X985" s="16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6"/>
      <c r="X986" s="16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6"/>
      <c r="X987" s="16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6"/>
      <c r="X988" s="16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6"/>
      <c r="X989" s="16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6"/>
      <c r="X990" s="16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6"/>
      <c r="X991" s="16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6"/>
      <c r="X992" s="16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6"/>
      <c r="X993" s="16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6"/>
      <c r="X994" s="16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6"/>
      <c r="X995" s="16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6"/>
      <c r="X996" s="16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6"/>
      <c r="X997" s="16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6"/>
      <c r="X998" s="16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6"/>
      <c r="X999" s="16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6"/>
      <c r="X1000" s="16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</row>
  </sheetData>
  <mergeCells count="4">
    <mergeCell ref="AZ1:BC1"/>
    <mergeCell ref="BD1:BE1"/>
    <mergeCell ref="BF1:BH1"/>
    <mergeCell ref="BI1:BJ1"/>
  </mergeCells>
  <drawing r:id="rId1"/>
</worksheet>
</file>