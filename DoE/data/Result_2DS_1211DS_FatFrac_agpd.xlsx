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<sst xmlns="http://schemas.openxmlformats.org/spreadsheetml/2006/main" count="989" uniqueCount="93">
  <si>
    <t>Modelo</t>
  </si>
  <si>
    <t>Z-Score_Composite</t>
  </si>
  <si>
    <t>train_dataset</t>
  </si>
  <si>
    <t>exp_dataset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</si>
  <si>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</si>
  <si>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</si>
  <si>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</si>
  <si>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</si>
  <si>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</si>
  <si>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</si>
  <si>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</si>
  <si>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</si>
  <si>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</si>
  <si>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</si>
  <si>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</si>
  <si>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</si>
  <si>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</si>
  <si>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</si>
  <si>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</si>
  <si>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</si>
  <si>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</si>
  <si>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</si>
  <si>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</si>
  <si>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</si>
  <si>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</si>
  <si>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</si>
  <si>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</si>
  <si>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</si>
  <si>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</si>
  <si>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</si>
  <si>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</si>
  <si>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</si>
  <si>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</si>
  <si>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</si>
  <si>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</si>
  <si>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</si>
  <si>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</si>
  <si>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</si>
  <si>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</si>
  <si>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</si>
  <si>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</si>
  <si>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</si>
  <si>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</si>
  <si>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</si>
  <si>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</si>
  <si>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</si>
  <si>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</si>
  <si>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</si>
  <si>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</si>
  <si>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</si>
  <si>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</si>
  <si>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</si>
  <si>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</si>
  <si>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</si>
  <si>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</si>
  <si>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</si>
  <si>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</si>
  <si>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LSTM</t>
  </si>
  <si>
    <t>rssi_odom_dataset_12apr25_isolado.parquet</t>
  </si>
  <si>
    <t>rssi_odom_dataset_11apr25_isolado.parquet</t>
  </si>
  <si>
    <t>100</t>
  </si>
  <si>
    <t>3.0</t>
  </si>
  <si>
    <t>30</t>
  </si>
  <si>
    <t>60</t>
  </si>
  <si>
    <t>1024</t>
  </si>
  <si>
    <t>64-256:64</t>
  </si>
  <si>
    <t>1</t>
  </si>
  <si>
    <t>tanh</t>
  </si>
  <si>
    <t>adam</t>
  </si>
  <si>
    <t>0.2</t>
  </si>
  <si>
    <t>128</t>
  </si>
  <si>
    <t>GRU</t>
  </si>
  <si>
    <t>120</t>
  </si>
  <si>
    <t>256</t>
  </si>
  <si>
    <t>Nadam</t>
  </si>
  <si>
    <t>192</t>
  </si>
  <si>
    <t>16-64:16</t>
  </si>
  <si>
    <t>48</t>
  </si>
  <si>
    <t>64</t>
  </si>
  <si>
    <t>8192</t>
  </si>
  <si>
    <t>2</t>
  </si>
  <si>
    <t>rmsprop</t>
  </si>
  <si>
    <t>elu</t>
  </si>
  <si>
    <t>2048</t>
  </si>
  <si>
    <t>40</t>
  </si>
  <si>
    <t>75</t>
  </si>
  <si>
    <t>10.0</t>
  </si>
  <si>
    <t>relu</t>
  </si>
  <si>
    <t>32</t>
  </si>
  <si>
    <t>250</t>
  </si>
  <si>
    <t>16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</si>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</sst>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quotePrefix="1"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quotePrefix="1" borderId="0" fillId="0" fontId="2" numFmtId="3" xfId="0" applyAlignment="1" applyFont="1" applyNumberFormat="1">
      <alignment vertical="bottom"/>
    </xf>
    <xf borderId="3" fillId="2" fontId="1" numFmtId="165" xfId="0" applyAlignment="1" applyBorder="1" applyFill="1" applyFont="1" applyNumberFormat="1">
      <alignment horizontal="center" vertical="bottom"/>
    </xf>
    <xf borderId="0" fillId="0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4.5"/>
    <col customWidth="1" min="4" max="4" width="34.38"/>
    <col customWidth="1" min="5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5" t="s">
        <v>46</v>
      </c>
      <c r="AV1" s="6" t="s">
        <v>47</v>
      </c>
      <c r="AW1" s="6" t="s">
        <v>48</v>
      </c>
      <c r="AX1" s="7" t="s">
        <v>49</v>
      </c>
      <c r="AY1" s="5" t="s">
        <v>50</v>
      </c>
      <c r="AZ1" s="7" t="s">
        <v>51</v>
      </c>
      <c r="BA1" s="5" t="s">
        <v>52</v>
      </c>
      <c r="BB1" s="6" t="s">
        <v>53</v>
      </c>
      <c r="BC1" s="7" t="s">
        <v>54</v>
      </c>
      <c r="BD1" s="8" t="s">
        <v>55</v>
      </c>
      <c r="BE1" s="8" t="s">
        <v>56</v>
      </c>
    </row>
    <row r="2" ht="15.75" customHeight="1">
      <c r="A2" s="9" t="s">
        <v>57</v>
      </c>
      <c r="B2" s="10">
        <f t="shared" ref="B2:B65" si="3">(((1*AU2)+(1*AV2)+(1*AW2)+(1*AX2)+(1*AY2)+(1*AZ2)+(1*BA2)+(1*BB2)+(1*BC2)+(1*BD2)+(1*BE2))/11)*-1</f>
        <v>0.879470091</v>
      </c>
      <c r="C2" s="9" t="s">
        <v>58</v>
      </c>
      <c r="D2" s="9" t="s">
        <v>59</v>
      </c>
      <c r="E2" s="11" t="s">
        <v>60</v>
      </c>
      <c r="F2" s="9" t="s">
        <v>61</v>
      </c>
      <c r="G2" s="11" t="s">
        <v>62</v>
      </c>
      <c r="H2" s="11" t="s">
        <v>63</v>
      </c>
      <c r="I2" s="12">
        <v>20.0</v>
      </c>
      <c r="J2" s="11" t="s">
        <v>64</v>
      </c>
      <c r="K2" s="9" t="s">
        <v>65</v>
      </c>
      <c r="L2" s="11" t="s">
        <v>66</v>
      </c>
      <c r="M2" s="13" t="s">
        <v>67</v>
      </c>
      <c r="N2" s="13" t="s">
        <v>68</v>
      </c>
      <c r="O2" s="14" t="s">
        <v>69</v>
      </c>
      <c r="P2" s="15" t="s">
        <v>70</v>
      </c>
      <c r="Q2" s="14"/>
      <c r="R2" s="16">
        <v>218.89393544197</v>
      </c>
      <c r="S2" s="16">
        <v>166.977711200714</v>
      </c>
      <c r="T2" s="16">
        <v>1.35632294712949</v>
      </c>
      <c r="U2" s="16">
        <v>3.24724210959422</v>
      </c>
      <c r="V2" s="16">
        <v>1.8020105742182</v>
      </c>
      <c r="W2" s="16">
        <v>0.875307630420859</v>
      </c>
      <c r="X2" s="16">
        <v>0.0460217587078995</v>
      </c>
      <c r="Y2" s="16">
        <v>0.003638726269537</v>
      </c>
      <c r="Z2" s="16">
        <v>0.0603218556539585</v>
      </c>
      <c r="AA2" s="16">
        <v>0.923461274893948</v>
      </c>
      <c r="AB2" s="16">
        <v>0.0459219010246912</v>
      </c>
      <c r="AC2" s="16">
        <v>0.0601946975545709</v>
      </c>
      <c r="AD2" s="16">
        <v>0.924154316520774</v>
      </c>
      <c r="AE2" s="16">
        <v>0.060098787653246</v>
      </c>
      <c r="AF2" s="16">
        <v>0.0800237262873955</v>
      </c>
      <c r="AG2" s="16">
        <v>0.866519886403743</v>
      </c>
      <c r="AH2" s="16">
        <v>10.0</v>
      </c>
      <c r="AI2" s="16">
        <v>1.35632294712949</v>
      </c>
      <c r="AJ2" s="16">
        <v>3.24724210959422</v>
      </c>
      <c r="AK2" s="16">
        <v>1.8020105742182</v>
      </c>
      <c r="AL2" s="16">
        <v>0.875285189368965</v>
      </c>
      <c r="AM2" s="16">
        <v>1.07087321972853</v>
      </c>
      <c r="AN2" s="16">
        <v>1.97039307647526</v>
      </c>
      <c r="AO2" s="16">
        <v>1.40370690547395</v>
      </c>
      <c r="AP2" s="16">
        <v>0.924154316520774</v>
      </c>
      <c r="AQ2" s="16">
        <v>1.40147033985833</v>
      </c>
      <c r="AR2" s="16">
        <v>3.48236220047317</v>
      </c>
      <c r="AS2" s="16">
        <v>1.86610883939634</v>
      </c>
      <c r="AT2" s="16">
        <v>0.866519886403743</v>
      </c>
      <c r="AU2" s="10">
        <f t="shared" ref="AU2:AV2" si="1">(AB2-AB$72)/AB$73</f>
        <v>-0.8094291351</v>
      </c>
      <c r="AV2" s="10">
        <f t="shared" si="1"/>
        <v>-0.7692283833</v>
      </c>
      <c r="AW2" s="10">
        <f t="shared" ref="AW2:AW65" si="5">(AQ2-AQ$72)/AQ$73</f>
        <v>-1.240092253</v>
      </c>
      <c r="AX2" s="10">
        <f t="shared" ref="AX2:AX65" si="6">(AS2-AS$72)/AS$73</f>
        <v>-1.236731956</v>
      </c>
      <c r="AY2" s="10">
        <f t="shared" ref="AY2:AY65" si="7">(AI2-AI$72)/AI$73</f>
        <v>-1.004991175</v>
      </c>
      <c r="AZ2" s="10">
        <f t="shared" ref="AZ2:AZ65" si="8">(AK2-AK$72)/AK$73</f>
        <v>-0.9925649986</v>
      </c>
      <c r="BA2" s="10">
        <f t="shared" ref="BA2:BA65" si="9">-((AP2-AP$72)/AP$73)</f>
        <v>-0.4844157956</v>
      </c>
      <c r="BB2" s="10">
        <f t="shared" ref="BB2:BB65" si="10">-((AT2-AT$72)/AT$73)</f>
        <v>-0.8883506685</v>
      </c>
      <c r="BC2" s="10">
        <f t="shared" ref="BC2:BC65" si="11">-((AL2-AL$72)/AL$73)</f>
        <v>-0.6726768258</v>
      </c>
      <c r="BD2" s="10">
        <f t="shared" ref="BD2:BE2" si="2">((R2-R$72)/R$73)</f>
        <v>-0.5560185015</v>
      </c>
      <c r="BE2" s="10">
        <f t="shared" si="2"/>
        <v>-1.019671308</v>
      </c>
    </row>
    <row r="3" ht="15.75" customHeight="1">
      <c r="A3" s="9" t="s">
        <v>71</v>
      </c>
      <c r="B3" s="10">
        <f t="shared" si="3"/>
        <v>0.7588343685</v>
      </c>
      <c r="C3" s="9" t="s">
        <v>58</v>
      </c>
      <c r="D3" s="9" t="s">
        <v>59</v>
      </c>
      <c r="E3" s="11" t="s">
        <v>60</v>
      </c>
      <c r="F3" s="9" t="s">
        <v>61</v>
      </c>
      <c r="G3" s="11" t="s">
        <v>62</v>
      </c>
      <c r="H3" s="11" t="s">
        <v>72</v>
      </c>
      <c r="I3" s="12">
        <v>20.0</v>
      </c>
      <c r="J3" s="11" t="s">
        <v>73</v>
      </c>
      <c r="K3" s="9" t="s">
        <v>65</v>
      </c>
      <c r="L3" s="11" t="s">
        <v>66</v>
      </c>
      <c r="M3" s="13" t="s">
        <v>67</v>
      </c>
      <c r="N3" s="13" t="s">
        <v>74</v>
      </c>
      <c r="O3" s="14" t="s">
        <v>69</v>
      </c>
      <c r="P3" s="15" t="s">
        <v>75</v>
      </c>
      <c r="Q3" s="14"/>
      <c r="R3" s="16">
        <v>377.022311210632</v>
      </c>
      <c r="S3" s="16">
        <v>179.162210702896</v>
      </c>
      <c r="T3" s="16">
        <v>1.47479557565341</v>
      </c>
      <c r="U3" s="16">
        <v>3.68223829325961</v>
      </c>
      <c r="V3" s="16">
        <v>1.91891591615151</v>
      </c>
      <c r="W3" s="16">
        <v>0.859586959003407</v>
      </c>
      <c r="X3" s="16">
        <v>0.0473249326747795</v>
      </c>
      <c r="Y3" s="16">
        <v>0.00367242968057736</v>
      </c>
      <c r="Z3" s="16">
        <v>0.0606005749195283</v>
      </c>
      <c r="AA3" s="16">
        <v>0.923131947085324</v>
      </c>
      <c r="AB3" s="16">
        <v>0.0471698024075215</v>
      </c>
      <c r="AC3" s="16">
        <v>0.0604453547748354</v>
      </c>
      <c r="AD3" s="16">
        <v>0.923909868565282</v>
      </c>
      <c r="AE3" s="16">
        <v>0.0724240337471738</v>
      </c>
      <c r="AF3" s="16">
        <v>0.0928134033671882</v>
      </c>
      <c r="AG3" s="16">
        <v>0.821917506906944</v>
      </c>
      <c r="AH3" s="16">
        <v>10.0</v>
      </c>
      <c r="AI3" s="16">
        <v>1.47479557565341</v>
      </c>
      <c r="AJ3" s="16">
        <v>3.68223829325961</v>
      </c>
      <c r="AK3" s="16">
        <v>1.91891591615151</v>
      </c>
      <c r="AL3" s="16">
        <v>0.85954084812663</v>
      </c>
      <c r="AM3" s="16">
        <v>1.09997358669762</v>
      </c>
      <c r="AN3" s="16">
        <v>1.9868371017432</v>
      </c>
      <c r="AO3" s="16">
        <v>1.40955209259651</v>
      </c>
      <c r="AP3" s="16">
        <v>0.923909868565282</v>
      </c>
      <c r="AQ3" s="16">
        <v>1.6888882314098</v>
      </c>
      <c r="AR3" s="16">
        <v>4.68444123869022</v>
      </c>
      <c r="AS3" s="16">
        <v>2.16435700352096</v>
      </c>
      <c r="AT3" s="16">
        <v>0.821917506906944</v>
      </c>
      <c r="AU3" s="10">
        <f t="shared" ref="AU3:AV3" si="4">(AB3-AB$72)/AB$73</f>
        <v>-0.7833469027</v>
      </c>
      <c r="AV3" s="10">
        <f t="shared" si="4"/>
        <v>-0.7649179955</v>
      </c>
      <c r="AW3" s="10">
        <f t="shared" si="5"/>
        <v>-0.9140210298</v>
      </c>
      <c r="AX3" s="10">
        <f t="shared" si="6"/>
        <v>-0.9524009468</v>
      </c>
      <c r="AY3" s="10">
        <f t="shared" si="7"/>
        <v>-0.8882698993</v>
      </c>
      <c r="AZ3" s="10">
        <f t="shared" si="8"/>
        <v>-0.8960540052</v>
      </c>
      <c r="BA3" s="10">
        <f t="shared" si="9"/>
        <v>-0.4839142587</v>
      </c>
      <c r="BB3" s="10">
        <f t="shared" si="10"/>
        <v>-0.7475986528</v>
      </c>
      <c r="BC3" s="10">
        <f t="shared" si="11"/>
        <v>-0.633403345</v>
      </c>
      <c r="BD3" s="10">
        <f t="shared" ref="BD3:BE3" si="12">((R3-R$72)/R$73)</f>
        <v>-0.3539269138</v>
      </c>
      <c r="BE3" s="10">
        <f t="shared" si="12"/>
        <v>-0.9293241041</v>
      </c>
    </row>
    <row r="4" ht="15.75" customHeight="1">
      <c r="A4" s="9" t="s">
        <v>71</v>
      </c>
      <c r="B4" s="10">
        <f t="shared" si="3"/>
        <v>0.7341878463</v>
      </c>
      <c r="C4" s="9" t="s">
        <v>58</v>
      </c>
      <c r="D4" s="9" t="s">
        <v>59</v>
      </c>
      <c r="E4" s="11" t="s">
        <v>60</v>
      </c>
      <c r="F4" s="9" t="s">
        <v>61</v>
      </c>
      <c r="G4" s="11" t="s">
        <v>62</v>
      </c>
      <c r="H4" s="11" t="s">
        <v>63</v>
      </c>
      <c r="I4" s="12">
        <v>150.0</v>
      </c>
      <c r="J4" s="11" t="s">
        <v>64</v>
      </c>
      <c r="K4" s="9" t="s">
        <v>76</v>
      </c>
      <c r="L4" s="11" t="s">
        <v>66</v>
      </c>
      <c r="M4" s="13" t="s">
        <v>67</v>
      </c>
      <c r="N4" s="13" t="s">
        <v>74</v>
      </c>
      <c r="O4" s="14" t="s">
        <v>69</v>
      </c>
      <c r="P4" s="15" t="s">
        <v>77</v>
      </c>
      <c r="Q4" s="14"/>
      <c r="R4" s="16">
        <v>247.16165113449</v>
      </c>
      <c r="S4" s="16">
        <v>166.867327690124</v>
      </c>
      <c r="T4" s="16">
        <v>1.57170794078677</v>
      </c>
      <c r="U4" s="16">
        <v>4.15042703842185</v>
      </c>
      <c r="V4" s="16">
        <v>2.03725968850852</v>
      </c>
      <c r="W4" s="16">
        <v>0.840626397956574</v>
      </c>
      <c r="X4" s="16">
        <v>0.0497712338076072</v>
      </c>
      <c r="Y4" s="16">
        <v>0.00408469636967637</v>
      </c>
      <c r="Z4" s="16">
        <v>0.0639116293774175</v>
      </c>
      <c r="AA4" s="16">
        <v>0.914080524496247</v>
      </c>
      <c r="AB4" s="16">
        <v>0.0496547856932379</v>
      </c>
      <c r="AC4" s="16">
        <v>0.063768550541354</v>
      </c>
      <c r="AD4" s="16">
        <v>0.914880809042186</v>
      </c>
      <c r="AE4" s="16">
        <v>0.0746807284141372</v>
      </c>
      <c r="AF4" s="16">
        <v>0.0955816747223364</v>
      </c>
      <c r="AG4" s="16">
        <v>0.809573099658516</v>
      </c>
      <c r="AH4" s="16">
        <v>10.0</v>
      </c>
      <c r="AI4" s="16">
        <v>1.57170794078677</v>
      </c>
      <c r="AJ4" s="16">
        <v>4.15042703842186</v>
      </c>
      <c r="AK4" s="16">
        <v>2.03725968850852</v>
      </c>
      <c r="AL4" s="16">
        <v>0.840597126834072</v>
      </c>
      <c r="AM4" s="16">
        <v>1.15792201637426</v>
      </c>
      <c r="AN4" s="16">
        <v>2.21130929071778</v>
      </c>
      <c r="AO4" s="16">
        <v>1.48704717165185</v>
      </c>
      <c r="AP4" s="16">
        <v>0.914880809042186</v>
      </c>
      <c r="AQ4" s="16">
        <v>1.74151309732413</v>
      </c>
      <c r="AR4" s="16">
        <v>4.96804671374697</v>
      </c>
      <c r="AS4" s="16">
        <v>2.22891155359448</v>
      </c>
      <c r="AT4" s="16">
        <v>0.809573099658516</v>
      </c>
      <c r="AU4" s="10">
        <f t="shared" ref="AU4:AV4" si="13">(AB4-AB$72)/AB$73</f>
        <v>-0.7314085745</v>
      </c>
      <c r="AV4" s="10">
        <f t="shared" si="13"/>
        <v>-0.7077711779</v>
      </c>
      <c r="AW4" s="10">
        <f t="shared" si="5"/>
        <v>-0.8543189205</v>
      </c>
      <c r="AX4" s="10">
        <f t="shared" si="6"/>
        <v>-0.8908587059</v>
      </c>
      <c r="AY4" s="10">
        <f t="shared" si="7"/>
        <v>-0.7927901665</v>
      </c>
      <c r="AZ4" s="10">
        <f t="shared" si="8"/>
        <v>-0.7983555182</v>
      </c>
      <c r="BA4" s="10">
        <f t="shared" si="9"/>
        <v>-0.4653892237</v>
      </c>
      <c r="BB4" s="10">
        <f t="shared" si="10"/>
        <v>-0.7086433275</v>
      </c>
      <c r="BC4" s="10">
        <f t="shared" si="11"/>
        <v>-0.5861491688</v>
      </c>
      <c r="BD4" s="10">
        <f t="shared" ref="BD4:BE4" si="14">((R4-R$72)/R$73)</f>
        <v>-0.5198917309</v>
      </c>
      <c r="BE4" s="10">
        <f t="shared" si="14"/>
        <v>-1.020489794</v>
      </c>
    </row>
    <row r="5" ht="15.75" customHeight="1">
      <c r="A5" s="9" t="s">
        <v>71</v>
      </c>
      <c r="B5" s="10">
        <f t="shared" si="3"/>
        <v>0.7348661048</v>
      </c>
      <c r="C5" s="9" t="s">
        <v>58</v>
      </c>
      <c r="D5" s="9" t="s">
        <v>59</v>
      </c>
      <c r="E5" s="11" t="s">
        <v>60</v>
      </c>
      <c r="F5" s="9" t="s">
        <v>61</v>
      </c>
      <c r="G5" s="11" t="s">
        <v>62</v>
      </c>
      <c r="H5" s="11" t="s">
        <v>63</v>
      </c>
      <c r="I5" s="12">
        <v>20.0</v>
      </c>
      <c r="J5" s="11" t="s">
        <v>73</v>
      </c>
      <c r="K5" s="9" t="s">
        <v>76</v>
      </c>
      <c r="L5" s="11" t="s">
        <v>66</v>
      </c>
      <c r="M5" s="14" t="s">
        <v>67</v>
      </c>
      <c r="N5" s="14" t="s">
        <v>68</v>
      </c>
      <c r="O5" s="14" t="s">
        <v>69</v>
      </c>
      <c r="P5" s="15" t="s">
        <v>78</v>
      </c>
      <c r="Q5" s="14"/>
      <c r="R5" s="16">
        <v>129.909317016601</v>
      </c>
      <c r="S5" s="16">
        <v>165.220059394836</v>
      </c>
      <c r="T5" s="16">
        <v>1.55280398678682</v>
      </c>
      <c r="U5" s="16">
        <v>4.07103972854558</v>
      </c>
      <c r="V5" s="16">
        <v>2.01768177088102</v>
      </c>
      <c r="W5" s="16">
        <v>0.843657639567344</v>
      </c>
      <c r="X5" s="16">
        <v>0.060304307205408</v>
      </c>
      <c r="Y5" s="16">
        <v>0.00577574670126734</v>
      </c>
      <c r="Z5" s="16">
        <v>0.0759983335426991</v>
      </c>
      <c r="AA5" s="16">
        <v>0.878510155393817</v>
      </c>
      <c r="AB5" s="16">
        <v>0.0602710395973338</v>
      </c>
      <c r="AC5" s="16">
        <v>0.0758948569776341</v>
      </c>
      <c r="AD5" s="16">
        <v>0.879430047539825</v>
      </c>
      <c r="AE5" s="16">
        <v>0.070193358919852</v>
      </c>
      <c r="AF5" s="16">
        <v>0.0901403946277564</v>
      </c>
      <c r="AG5" s="16">
        <v>0.830637234346895</v>
      </c>
      <c r="AH5" s="16">
        <v>10.0</v>
      </c>
      <c r="AI5" s="16">
        <v>1.55280398678682</v>
      </c>
      <c r="AJ5" s="16">
        <v>4.07103972854558</v>
      </c>
      <c r="AK5" s="16">
        <v>2.01768177088102</v>
      </c>
      <c r="AL5" s="16">
        <v>0.843646105931895</v>
      </c>
      <c r="AM5" s="16">
        <v>1.40548715949895</v>
      </c>
      <c r="AN5" s="16">
        <v>3.13228371952835</v>
      </c>
      <c r="AO5" s="16">
        <v>1.769825900909</v>
      </c>
      <c r="AP5" s="16">
        <v>0.879430047539825</v>
      </c>
      <c r="AQ5" s="16">
        <v>1.63687013370045</v>
      </c>
      <c r="AR5" s="16">
        <v>4.41850458010478</v>
      </c>
      <c r="AS5" s="16">
        <v>2.10202392472226</v>
      </c>
      <c r="AT5" s="16">
        <v>0.830637234346895</v>
      </c>
      <c r="AU5" s="10">
        <f t="shared" ref="AU5:AV5" si="15">(AB5-AB$72)/AB$73</f>
        <v>-0.5095195653</v>
      </c>
      <c r="AV5" s="10">
        <f t="shared" si="15"/>
        <v>-0.4992430408</v>
      </c>
      <c r="AW5" s="10">
        <f t="shared" si="5"/>
        <v>-0.9730347698</v>
      </c>
      <c r="AX5" s="10">
        <f t="shared" si="6"/>
        <v>-1.011825377</v>
      </c>
      <c r="AY5" s="10">
        <f t="shared" si="7"/>
        <v>-0.8114146679</v>
      </c>
      <c r="AZ5" s="10">
        <f t="shared" si="8"/>
        <v>-0.8145180327</v>
      </c>
      <c r="BA5" s="10">
        <f t="shared" si="9"/>
        <v>-0.3926544507</v>
      </c>
      <c r="BB5" s="10">
        <f t="shared" si="10"/>
        <v>-0.7751155527</v>
      </c>
      <c r="BC5" s="10">
        <f t="shared" si="11"/>
        <v>-0.5937546964</v>
      </c>
      <c r="BD5" s="10">
        <f t="shared" ref="BD5:BE5" si="16">((R5-R$72)/R$73)</f>
        <v>-0.6697428265</v>
      </c>
      <c r="BE5" s="10">
        <f t="shared" si="16"/>
        <v>-1.032704173</v>
      </c>
    </row>
    <row r="6" ht="15.75" customHeight="1">
      <c r="A6" s="9" t="s">
        <v>71</v>
      </c>
      <c r="B6" s="10">
        <f t="shared" si="3"/>
        <v>0.7036756375</v>
      </c>
      <c r="C6" s="9" t="s">
        <v>58</v>
      </c>
      <c r="D6" s="9" t="s">
        <v>59</v>
      </c>
      <c r="E6" s="11" t="s">
        <v>60</v>
      </c>
      <c r="F6" s="9" t="s">
        <v>61</v>
      </c>
      <c r="G6" s="17" t="s">
        <v>62</v>
      </c>
      <c r="H6" s="11" t="s">
        <v>63</v>
      </c>
      <c r="I6" s="12">
        <v>20.0</v>
      </c>
      <c r="J6" s="17" t="s">
        <v>79</v>
      </c>
      <c r="K6" s="9" t="s">
        <v>76</v>
      </c>
      <c r="L6" s="11" t="s">
        <v>80</v>
      </c>
      <c r="M6" s="9" t="s">
        <v>67</v>
      </c>
      <c r="N6" s="9" t="s">
        <v>81</v>
      </c>
      <c r="O6" s="9" t="s">
        <v>69</v>
      </c>
      <c r="P6" s="11" t="s">
        <v>77</v>
      </c>
      <c r="Q6" s="11" t="s">
        <v>77</v>
      </c>
      <c r="R6" s="16">
        <v>289.119108200073</v>
      </c>
      <c r="S6" s="16">
        <v>173.625436782836</v>
      </c>
      <c r="T6" s="16">
        <v>1.65388732338094</v>
      </c>
      <c r="U6" s="16">
        <v>4.48354017375445</v>
      </c>
      <c r="V6" s="16">
        <v>2.11743717114687</v>
      </c>
      <c r="W6" s="16">
        <v>0.827823896599458</v>
      </c>
      <c r="X6" s="16">
        <v>0.0568612305835158</v>
      </c>
      <c r="Y6" s="16">
        <v>0.0051764388451172</v>
      </c>
      <c r="Z6" s="16">
        <v>0.0719474728195313</v>
      </c>
      <c r="AA6" s="16">
        <v>0.891116286181888</v>
      </c>
      <c r="AB6" s="16">
        <v>0.0567024086625389</v>
      </c>
      <c r="AC6" s="16">
        <v>0.0717768191589245</v>
      </c>
      <c r="AD6" s="16">
        <v>0.892159271598228</v>
      </c>
      <c r="AE6" s="16">
        <v>0.0706261231159658</v>
      </c>
      <c r="AF6" s="16">
        <v>0.0906065672229984</v>
      </c>
      <c r="AG6" s="16">
        <v>0.828880942148651</v>
      </c>
      <c r="AH6" s="16">
        <v>10.0</v>
      </c>
      <c r="AI6" s="16">
        <v>1.65388732338094</v>
      </c>
      <c r="AJ6" s="16">
        <v>4.48354017375445</v>
      </c>
      <c r="AK6" s="16">
        <v>2.11743717114687</v>
      </c>
      <c r="AL6" s="16">
        <v>0.827803457563471</v>
      </c>
      <c r="AM6" s="16">
        <v>1.32226866867227</v>
      </c>
      <c r="AN6" s="16">
        <v>2.80159153240541</v>
      </c>
      <c r="AO6" s="16">
        <v>1.67379554677547</v>
      </c>
      <c r="AP6" s="16">
        <v>0.892159271598228</v>
      </c>
      <c r="AQ6" s="16">
        <v>1.64696195432927</v>
      </c>
      <c r="AR6" s="16">
        <v>4.46432448090776</v>
      </c>
      <c r="AS6" s="16">
        <v>2.11289481065853</v>
      </c>
      <c r="AT6" s="16">
        <v>0.828880942148651</v>
      </c>
      <c r="AU6" s="10">
        <f t="shared" ref="AU6:AV6" si="17">(AB6-AB$72)/AB$73</f>
        <v>-0.5841070789</v>
      </c>
      <c r="AV6" s="10">
        <f t="shared" si="17"/>
        <v>-0.5700582358</v>
      </c>
      <c r="AW6" s="10">
        <f t="shared" si="5"/>
        <v>-0.9615857529</v>
      </c>
      <c r="AX6" s="10">
        <f t="shared" si="6"/>
        <v>-1.001461759</v>
      </c>
      <c r="AY6" s="10">
        <f t="shared" si="7"/>
        <v>-0.7118256222</v>
      </c>
      <c r="AZ6" s="10">
        <f t="shared" si="8"/>
        <v>-0.7321651425</v>
      </c>
      <c r="BA6" s="10">
        <f t="shared" si="9"/>
        <v>-0.4187711597</v>
      </c>
      <c r="BB6" s="10">
        <f t="shared" si="10"/>
        <v>-0.7695732101</v>
      </c>
      <c r="BC6" s="10">
        <f t="shared" si="11"/>
        <v>-0.5542359934</v>
      </c>
      <c r="BD6" s="10">
        <f t="shared" ref="BD6:BE6" si="18">((R6-R$72)/R$73)</f>
        <v>-0.4662691659</v>
      </c>
      <c r="BE6" s="10">
        <f t="shared" si="18"/>
        <v>-0.9703788922</v>
      </c>
    </row>
    <row r="7" ht="15.75" customHeight="1">
      <c r="A7" s="9" t="s">
        <v>71</v>
      </c>
      <c r="B7" s="10">
        <f t="shared" si="3"/>
        <v>0.6834126613</v>
      </c>
      <c r="C7" s="9" t="s">
        <v>58</v>
      </c>
      <c r="D7" s="9" t="s">
        <v>59</v>
      </c>
      <c r="E7" s="11" t="s">
        <v>60</v>
      </c>
      <c r="F7" s="9" t="s">
        <v>61</v>
      </c>
      <c r="G7" s="17" t="s">
        <v>62</v>
      </c>
      <c r="H7" s="11" t="s">
        <v>72</v>
      </c>
      <c r="I7" s="12">
        <v>150.0</v>
      </c>
      <c r="J7" s="17" t="s">
        <v>79</v>
      </c>
      <c r="K7" s="9" t="s">
        <v>65</v>
      </c>
      <c r="L7" s="11" t="s">
        <v>66</v>
      </c>
      <c r="M7" s="9" t="s">
        <v>82</v>
      </c>
      <c r="N7" s="9" t="s">
        <v>74</v>
      </c>
      <c r="O7" s="9" t="s">
        <v>69</v>
      </c>
      <c r="P7" s="11" t="s">
        <v>70</v>
      </c>
      <c r="Q7" s="9"/>
      <c r="R7" s="16">
        <v>722.814130306243</v>
      </c>
      <c r="S7" s="16">
        <v>171.767558574676</v>
      </c>
      <c r="T7" s="16">
        <v>1.54140108611225</v>
      </c>
      <c r="U7" s="16">
        <v>4.01106848043347</v>
      </c>
      <c r="V7" s="16">
        <v>2.00276520851383</v>
      </c>
      <c r="W7" s="16">
        <v>0.847056798108705</v>
      </c>
      <c r="X7" s="16">
        <v>0.0494512064626585</v>
      </c>
      <c r="Y7" s="16">
        <v>0.00405141679932084</v>
      </c>
      <c r="Z7" s="16">
        <v>0.0636507407601894</v>
      </c>
      <c r="AA7" s="16">
        <v>0.915199323609475</v>
      </c>
      <c r="AB7" s="16">
        <v>0.049352857791279</v>
      </c>
      <c r="AC7" s="16">
        <v>0.0635174499192507</v>
      </c>
      <c r="AD7" s="16">
        <v>0.915978858007816</v>
      </c>
      <c r="AE7" s="16">
        <v>0.0747366754607229</v>
      </c>
      <c r="AF7" s="16">
        <v>0.0957237766091058</v>
      </c>
      <c r="AG7" s="16">
        <v>0.810574047361155</v>
      </c>
      <c r="AH7" s="16">
        <v>10.0</v>
      </c>
      <c r="AI7" s="16">
        <v>1.54140108611225</v>
      </c>
      <c r="AJ7" s="16">
        <v>4.01106848043347</v>
      </c>
      <c r="AK7" s="16">
        <v>2.00276520851383</v>
      </c>
      <c r="AL7" s="16">
        <v>0.846997605261183</v>
      </c>
      <c r="AM7" s="16">
        <v>1.1508812254383</v>
      </c>
      <c r="AN7" s="16">
        <v>2.19392868816541</v>
      </c>
      <c r="AO7" s="16">
        <v>1.48119164464474</v>
      </c>
      <c r="AP7" s="16">
        <v>0.915978858007816</v>
      </c>
      <c r="AQ7" s="16">
        <v>1.74281775136882</v>
      </c>
      <c r="AR7" s="16">
        <v>4.98282974821057</v>
      </c>
      <c r="AS7" s="16">
        <v>2.23222529064845</v>
      </c>
      <c r="AT7" s="16">
        <v>0.810574047361155</v>
      </c>
      <c r="AU7" s="10">
        <f t="shared" ref="AU7:AV7" si="19">(AB7-AB$72)/AB$73</f>
        <v>-0.7377191322</v>
      </c>
      <c r="AV7" s="10">
        <f t="shared" si="19"/>
        <v>-0.7120891906</v>
      </c>
      <c r="AW7" s="10">
        <f t="shared" si="5"/>
        <v>-0.8528388103</v>
      </c>
      <c r="AX7" s="10">
        <f t="shared" si="6"/>
        <v>-0.8876995977</v>
      </c>
      <c r="AY7" s="10">
        <f t="shared" si="7"/>
        <v>-0.8226490022</v>
      </c>
      <c r="AZ7" s="10">
        <f t="shared" si="8"/>
        <v>-0.8268323737</v>
      </c>
      <c r="BA7" s="10">
        <f t="shared" si="9"/>
        <v>-0.4676421046</v>
      </c>
      <c r="BB7" s="10">
        <f t="shared" si="10"/>
        <v>-0.7118020246</v>
      </c>
      <c r="BC7" s="10">
        <f t="shared" si="11"/>
        <v>-0.6021148458</v>
      </c>
      <c r="BD7" s="10">
        <f t="shared" ref="BD7:BE7" si="20">((R7-R$72)/R$73)</f>
        <v>0.0880027358</v>
      </c>
      <c r="BE7" s="10">
        <f t="shared" si="20"/>
        <v>-0.984154928</v>
      </c>
    </row>
    <row r="8" ht="15.75" customHeight="1">
      <c r="A8" s="9" t="s">
        <v>57</v>
      </c>
      <c r="B8" s="10">
        <f t="shared" si="3"/>
        <v>0.6458612123</v>
      </c>
      <c r="C8" s="9" t="s">
        <v>58</v>
      </c>
      <c r="D8" s="9" t="s">
        <v>59</v>
      </c>
      <c r="E8" s="11" t="s">
        <v>60</v>
      </c>
      <c r="F8" s="9" t="s">
        <v>61</v>
      </c>
      <c r="G8" s="17" t="s">
        <v>62</v>
      </c>
      <c r="H8" s="11" t="s">
        <v>72</v>
      </c>
      <c r="I8" s="12">
        <v>20.0</v>
      </c>
      <c r="J8" s="17" t="s">
        <v>83</v>
      </c>
      <c r="K8" s="9" t="s">
        <v>76</v>
      </c>
      <c r="L8" s="11" t="s">
        <v>66</v>
      </c>
      <c r="M8" s="9" t="s">
        <v>67</v>
      </c>
      <c r="N8" s="9" t="s">
        <v>68</v>
      </c>
      <c r="O8" s="9" t="s">
        <v>69</v>
      </c>
      <c r="P8" s="11" t="s">
        <v>77</v>
      </c>
      <c r="Q8" s="9"/>
      <c r="R8" s="16">
        <v>230.009736537933</v>
      </c>
      <c r="S8" s="16">
        <v>167.019966125488</v>
      </c>
      <c r="T8" s="16">
        <v>1.66465013148509</v>
      </c>
      <c r="U8" s="16">
        <v>4.60462417369517</v>
      </c>
      <c r="V8" s="16">
        <v>2.14583880421973</v>
      </c>
      <c r="W8" s="16">
        <v>0.824381417328079</v>
      </c>
      <c r="X8" s="16">
        <v>0.0765440796560474</v>
      </c>
      <c r="Y8" s="16">
        <v>0.00913836071179317</v>
      </c>
      <c r="Z8" s="16">
        <v>0.0955947734543744</v>
      </c>
      <c r="AA8" s="16">
        <v>0.808723908734701</v>
      </c>
      <c r="AB8" s="16">
        <v>0.0766255507560167</v>
      </c>
      <c r="AC8" s="16">
        <v>0.0955679346883056</v>
      </c>
      <c r="AD8" s="16">
        <v>0.809792834543365</v>
      </c>
      <c r="AE8" s="16">
        <v>0.0653502185282228</v>
      </c>
      <c r="AF8" s="16">
        <v>0.0866806971832908</v>
      </c>
      <c r="AG8" s="16">
        <v>0.844673834037248</v>
      </c>
      <c r="AH8" s="16">
        <v>10.0</v>
      </c>
      <c r="AI8" s="16">
        <v>1.66465013148509</v>
      </c>
      <c r="AJ8" s="16">
        <v>4.60462417369517</v>
      </c>
      <c r="AK8" s="16">
        <v>2.14583880421973</v>
      </c>
      <c r="AL8" s="16">
        <v>0.824356395587774</v>
      </c>
      <c r="AM8" s="16">
        <v>1.78686527387991</v>
      </c>
      <c r="AN8" s="16">
        <v>4.96661848548496</v>
      </c>
      <c r="AO8" s="16">
        <v>2.22859114363423</v>
      </c>
      <c r="AP8" s="16">
        <v>0.809792834543365</v>
      </c>
      <c r="AQ8" s="16">
        <v>1.5239307904012</v>
      </c>
      <c r="AR8" s="16">
        <v>4.08583844849557</v>
      </c>
      <c r="AS8" s="16">
        <v>2.02134570237146</v>
      </c>
      <c r="AT8" s="16">
        <v>0.844673834037248</v>
      </c>
      <c r="AU8" s="10">
        <f t="shared" ref="AU8:AV8" si="21">(AB8-AB$72)/AB$73</f>
        <v>-0.1676959512</v>
      </c>
      <c r="AV8" s="10">
        <f t="shared" si="21"/>
        <v>-0.1609380286</v>
      </c>
      <c r="AW8" s="10">
        <f t="shared" si="5"/>
        <v>-1.101162736</v>
      </c>
      <c r="AX8" s="10">
        <f t="shared" si="6"/>
        <v>-1.088738911</v>
      </c>
      <c r="AY8" s="10">
        <f t="shared" si="7"/>
        <v>-0.7012219181</v>
      </c>
      <c r="AZ8" s="10">
        <f t="shared" si="8"/>
        <v>-0.7087182258</v>
      </c>
      <c r="BA8" s="10">
        <f t="shared" si="9"/>
        <v>-0.2497789054</v>
      </c>
      <c r="BB8" s="10">
        <f t="shared" si="10"/>
        <v>-0.8194109406</v>
      </c>
      <c r="BC8" s="10">
        <f t="shared" si="11"/>
        <v>-0.5456374677</v>
      </c>
      <c r="BD8" s="10">
        <f t="shared" ref="BD8:BE8" si="22">((R8-R$72)/R$73)</f>
        <v>-0.54181226</v>
      </c>
      <c r="BE8" s="10">
        <f t="shared" si="22"/>
        <v>-1.019357991</v>
      </c>
    </row>
    <row r="9" ht="15.75" customHeight="1">
      <c r="A9" s="9" t="s">
        <v>71</v>
      </c>
      <c r="B9" s="10">
        <f t="shared" si="3"/>
        <v>0.5915744793</v>
      </c>
      <c r="C9" s="9" t="s">
        <v>58</v>
      </c>
      <c r="D9" s="9" t="s">
        <v>59</v>
      </c>
      <c r="E9" s="11" t="s">
        <v>84</v>
      </c>
      <c r="F9" s="9" t="s">
        <v>61</v>
      </c>
      <c r="G9" s="11" t="s">
        <v>85</v>
      </c>
      <c r="H9" s="11" t="s">
        <v>63</v>
      </c>
      <c r="I9" s="12">
        <v>20.0</v>
      </c>
      <c r="J9" s="11" t="s">
        <v>64</v>
      </c>
      <c r="K9" s="9" t="s">
        <v>65</v>
      </c>
      <c r="L9" s="11" t="s">
        <v>80</v>
      </c>
      <c r="M9" s="14" t="s">
        <v>82</v>
      </c>
      <c r="N9" s="14" t="s">
        <v>81</v>
      </c>
      <c r="O9" s="14" t="s">
        <v>69</v>
      </c>
      <c r="P9" s="15" t="s">
        <v>75</v>
      </c>
      <c r="Q9" s="15" t="s">
        <v>73</v>
      </c>
      <c r="R9" s="16">
        <v>759.774735212326</v>
      </c>
      <c r="S9" s="16">
        <v>465.382558584213</v>
      </c>
      <c r="T9" s="16">
        <v>1.40466462282112</v>
      </c>
      <c r="U9" s="16">
        <v>3.435129418956</v>
      </c>
      <c r="V9" s="16">
        <v>1.85341021335159</v>
      </c>
      <c r="W9" s="16">
        <v>0.872761008761448</v>
      </c>
      <c r="X9" s="16">
        <v>0.0410480467081777</v>
      </c>
      <c r="Y9" s="16">
        <v>0.00271694390525276</v>
      </c>
      <c r="Z9" s="16">
        <v>0.0521243120362539</v>
      </c>
      <c r="AA9" s="16">
        <v>0.939129364236375</v>
      </c>
      <c r="AB9" s="16">
        <v>0.0410319312885553</v>
      </c>
      <c r="AC9" s="16">
        <v>0.0520619094431876</v>
      </c>
      <c r="AD9" s="16">
        <v>0.939560328420206</v>
      </c>
      <c r="AE9" s="16">
        <v>0.0641237426368237</v>
      </c>
      <c r="AF9" s="16">
        <v>0.0837715444207474</v>
      </c>
      <c r="AG9" s="16">
        <v>0.844272088225246</v>
      </c>
      <c r="AH9" s="16">
        <v>10.0</v>
      </c>
      <c r="AI9" s="16">
        <v>1.40466462282114</v>
      </c>
      <c r="AJ9" s="16">
        <v>3.435129418956</v>
      </c>
      <c r="AK9" s="16">
        <v>1.85341021335159</v>
      </c>
      <c r="AL9" s="16">
        <v>0.872728508057441</v>
      </c>
      <c r="AM9" s="16">
        <v>1.00528231656959</v>
      </c>
      <c r="AN9" s="16">
        <v>1.62694305952611</v>
      </c>
      <c r="AO9" s="16">
        <v>1.27551678135809</v>
      </c>
      <c r="AP9" s="16">
        <v>0.939560328420206</v>
      </c>
      <c r="AQ9" s="16">
        <v>1.5710316946022</v>
      </c>
      <c r="AR9" s="16">
        <v>4.21235741069601</v>
      </c>
      <c r="AS9" s="16">
        <v>2.05240283830831</v>
      </c>
      <c r="AT9" s="16">
        <v>0.844272088225246</v>
      </c>
      <c r="AU9" s="10">
        <f t="shared" ref="AU9:AV9" si="23">(AB9-AB$72)/AB$73</f>
        <v>-0.9116337874</v>
      </c>
      <c r="AV9" s="10">
        <f t="shared" si="23"/>
        <v>-0.9090826055</v>
      </c>
      <c r="AW9" s="10">
        <f t="shared" si="5"/>
        <v>-1.047727477</v>
      </c>
      <c r="AX9" s="10">
        <f t="shared" si="6"/>
        <v>-1.059130995</v>
      </c>
      <c r="AY9" s="10">
        <f t="shared" si="7"/>
        <v>-0.957364123</v>
      </c>
      <c r="AZ9" s="10">
        <f t="shared" si="8"/>
        <v>-0.9501321196</v>
      </c>
      <c r="BA9" s="10">
        <f t="shared" si="9"/>
        <v>-0.5160245039</v>
      </c>
      <c r="BB9" s="10">
        <f t="shared" si="10"/>
        <v>-0.8181431487</v>
      </c>
      <c r="BC9" s="10">
        <f t="shared" si="11"/>
        <v>-0.6662993106</v>
      </c>
      <c r="BD9" s="10">
        <f t="shared" ref="BD9:BE9" si="24">((R9-R$72)/R$73)</f>
        <v>0.1352392124</v>
      </c>
      <c r="BE9" s="10">
        <f t="shared" si="24"/>
        <v>1.192979585</v>
      </c>
    </row>
    <row r="10" ht="15.75" customHeight="1">
      <c r="A10" s="9" t="s">
        <v>57</v>
      </c>
      <c r="B10" s="10">
        <f t="shared" si="3"/>
        <v>0.5756655803</v>
      </c>
      <c r="C10" s="9" t="s">
        <v>58</v>
      </c>
      <c r="D10" s="9" t="s">
        <v>59</v>
      </c>
      <c r="E10" s="11" t="s">
        <v>84</v>
      </c>
      <c r="F10" s="9" t="s">
        <v>61</v>
      </c>
      <c r="G10" s="17" t="s">
        <v>85</v>
      </c>
      <c r="H10" s="11" t="s">
        <v>63</v>
      </c>
      <c r="I10" s="12">
        <v>150.0</v>
      </c>
      <c r="J10" s="17" t="s">
        <v>83</v>
      </c>
      <c r="K10" s="9" t="s">
        <v>76</v>
      </c>
      <c r="L10" s="11" t="s">
        <v>80</v>
      </c>
      <c r="M10" s="9" t="s">
        <v>82</v>
      </c>
      <c r="N10" s="9" t="s">
        <v>68</v>
      </c>
      <c r="O10" s="9" t="s">
        <v>69</v>
      </c>
      <c r="P10" s="11" t="s">
        <v>78</v>
      </c>
      <c r="Q10" s="11" t="s">
        <v>77</v>
      </c>
      <c r="R10" s="16">
        <v>134.492164611816</v>
      </c>
      <c r="S10" s="16">
        <v>427.336787223815</v>
      </c>
      <c r="T10" s="16">
        <v>1.6700345049366</v>
      </c>
      <c r="U10" s="16">
        <v>4.63680186012124</v>
      </c>
      <c r="V10" s="16">
        <v>2.15332344530988</v>
      </c>
      <c r="W10" s="16">
        <v>0.828228257414715</v>
      </c>
      <c r="X10" s="16">
        <v>0.0542414215130266</v>
      </c>
      <c r="Y10" s="16">
        <v>0.00477991769882405</v>
      </c>
      <c r="Z10" s="16">
        <v>0.0691369488683442</v>
      </c>
      <c r="AA10" s="16">
        <v>0.892910328894643</v>
      </c>
      <c r="AB10" s="16">
        <v>0.0543996370072135</v>
      </c>
      <c r="AC10" s="16">
        <v>0.0692214212998461</v>
      </c>
      <c r="AD10" s="16">
        <v>0.893152851714989</v>
      </c>
      <c r="AE10" s="16">
        <v>0.0632344813284357</v>
      </c>
      <c r="AF10" s="16">
        <v>0.083519390877152</v>
      </c>
      <c r="AG10" s="16">
        <v>0.845208163772805</v>
      </c>
      <c r="AH10" s="16">
        <v>10.0</v>
      </c>
      <c r="AI10" s="16">
        <v>1.67003450493659</v>
      </c>
      <c r="AJ10" s="16">
        <v>4.63680186012124</v>
      </c>
      <c r="AK10" s="16">
        <v>2.15332344530988</v>
      </c>
      <c r="AL10" s="16">
        <v>0.82820656266307</v>
      </c>
      <c r="AM10" s="16">
        <v>1.33279110667677</v>
      </c>
      <c r="AN10" s="16">
        <v>2.87616100135416</v>
      </c>
      <c r="AO10" s="16">
        <v>1.69592482184622</v>
      </c>
      <c r="AP10" s="16">
        <v>0.893152851714989</v>
      </c>
      <c r="AQ10" s="16">
        <v>1.54924479254664</v>
      </c>
      <c r="AR10" s="16">
        <v>4.18703706365743</v>
      </c>
      <c r="AS10" s="16">
        <v>2.04622507649022</v>
      </c>
      <c r="AT10" s="16">
        <v>0.845208163772805</v>
      </c>
      <c r="AU10" s="10">
        <f t="shared" ref="AU10:AV10" si="25">(AB10-AB$72)/AB$73</f>
        <v>-0.6322370243</v>
      </c>
      <c r="AV10" s="10">
        <f t="shared" si="25"/>
        <v>-0.6140017365</v>
      </c>
      <c r="AW10" s="10">
        <f t="shared" si="5"/>
        <v>-1.072444386</v>
      </c>
      <c r="AX10" s="10">
        <f t="shared" si="6"/>
        <v>-1.065020483</v>
      </c>
      <c r="AY10" s="10">
        <f t="shared" si="7"/>
        <v>-0.6959171405</v>
      </c>
      <c r="AZ10" s="10">
        <f t="shared" si="8"/>
        <v>-0.7025392939</v>
      </c>
      <c r="BA10" s="10">
        <f t="shared" si="9"/>
        <v>-0.4208097005</v>
      </c>
      <c r="BB10" s="10">
        <f t="shared" si="10"/>
        <v>-0.8210971284</v>
      </c>
      <c r="BC10" s="10">
        <f t="shared" si="11"/>
        <v>-0.5552415191</v>
      </c>
      <c r="BD10" s="10">
        <f t="shared" ref="BD10:BE10" si="26">((R10-R$72)/R$73)</f>
        <v>-0.6638858452</v>
      </c>
      <c r="BE10" s="10">
        <f t="shared" si="26"/>
        <v>0.9108728743</v>
      </c>
    </row>
    <row r="11" ht="15.75" customHeight="1">
      <c r="A11" s="9" t="s">
        <v>57</v>
      </c>
      <c r="B11" s="10">
        <f t="shared" si="3"/>
        <v>0.5893268171</v>
      </c>
      <c r="C11" s="9" t="s">
        <v>58</v>
      </c>
      <c r="D11" s="9" t="s">
        <v>59</v>
      </c>
      <c r="E11" s="11" t="s">
        <v>60</v>
      </c>
      <c r="F11" s="9" t="s">
        <v>61</v>
      </c>
      <c r="G11" s="17" t="s">
        <v>62</v>
      </c>
      <c r="H11" s="11" t="s">
        <v>63</v>
      </c>
      <c r="I11" s="12">
        <v>20.0</v>
      </c>
      <c r="J11" s="17" t="s">
        <v>83</v>
      </c>
      <c r="K11" s="9" t="s">
        <v>65</v>
      </c>
      <c r="L11" s="11" t="s">
        <v>66</v>
      </c>
      <c r="M11" s="9" t="s">
        <v>67</v>
      </c>
      <c r="N11" s="9" t="s">
        <v>81</v>
      </c>
      <c r="O11" s="9" t="s">
        <v>69</v>
      </c>
      <c r="P11" s="11" t="s">
        <v>70</v>
      </c>
      <c r="Q11" s="9"/>
      <c r="R11" s="16">
        <v>238.767431497573</v>
      </c>
      <c r="S11" s="16">
        <v>166.201921463012</v>
      </c>
      <c r="T11" s="16">
        <v>1.7270130201219</v>
      </c>
      <c r="U11" s="16">
        <v>4.85216900154409</v>
      </c>
      <c r="V11" s="16">
        <v>2.20276394594248</v>
      </c>
      <c r="W11" s="16">
        <v>0.813680788828703</v>
      </c>
      <c r="X11" s="16">
        <v>0.0618946622764836</v>
      </c>
      <c r="Y11" s="16">
        <v>0.00613463892868532</v>
      </c>
      <c r="Z11" s="16">
        <v>0.0783239358605358</v>
      </c>
      <c r="AA11" s="16">
        <v>0.87096104301155</v>
      </c>
      <c r="AB11" s="16">
        <v>0.0617004657867545</v>
      </c>
      <c r="AC11" s="16">
        <v>0.0781288197614299</v>
      </c>
      <c r="AD11" s="16">
        <v>0.872227637939106</v>
      </c>
      <c r="AE11" s="16">
        <v>0.0847798738238123</v>
      </c>
      <c r="AF11" s="16">
        <v>0.106803475665044</v>
      </c>
      <c r="AG11" s="16">
        <v>0.762233974098171</v>
      </c>
      <c r="AH11" s="16">
        <v>10.0</v>
      </c>
      <c r="AI11" s="16">
        <v>1.7270130201219</v>
      </c>
      <c r="AJ11" s="16">
        <v>4.85216900154409</v>
      </c>
      <c r="AK11" s="16">
        <v>2.20276394594248</v>
      </c>
      <c r="AL11" s="16">
        <v>0.813645759153767</v>
      </c>
      <c r="AM11" s="16">
        <v>1.43882058411058</v>
      </c>
      <c r="AN11" s="16">
        <v>3.3193949348302</v>
      </c>
      <c r="AO11" s="16">
        <v>1.82192067193667</v>
      </c>
      <c r="AP11" s="16">
        <v>0.872227637939106</v>
      </c>
      <c r="AQ11" s="16">
        <v>1.97701955764141</v>
      </c>
      <c r="AR11" s="16">
        <v>6.20307698914391</v>
      </c>
      <c r="AS11" s="16">
        <v>2.49059771724457</v>
      </c>
      <c r="AT11" s="16">
        <v>0.762233974098171</v>
      </c>
      <c r="AU11" s="10">
        <f t="shared" ref="AU11:AV11" si="27">(AB11-AB$72)/AB$73</f>
        <v>-0.4796433054</v>
      </c>
      <c r="AV11" s="10">
        <f t="shared" si="27"/>
        <v>-0.4608270482</v>
      </c>
      <c r="AW11" s="10">
        <f t="shared" si="5"/>
        <v>-0.5871404262</v>
      </c>
      <c r="AX11" s="10">
        <f t="shared" si="6"/>
        <v>-0.6413836043</v>
      </c>
      <c r="AY11" s="10">
        <f t="shared" si="7"/>
        <v>-0.6397809251</v>
      </c>
      <c r="AZ11" s="10">
        <f t="shared" si="8"/>
        <v>-0.6617237781</v>
      </c>
      <c r="BA11" s="10">
        <f t="shared" si="9"/>
        <v>-0.3778771764</v>
      </c>
      <c r="BB11" s="10">
        <f t="shared" si="10"/>
        <v>-0.5592549446</v>
      </c>
      <c r="BC11" s="10">
        <f t="shared" si="11"/>
        <v>-0.5189203147</v>
      </c>
      <c r="BD11" s="10">
        <f t="shared" ref="BD11:BE11" si="28">((R11-R$72)/R$73)</f>
        <v>-0.5306197307</v>
      </c>
      <c r="BE11" s="10">
        <f t="shared" si="28"/>
        <v>-1.025423735</v>
      </c>
    </row>
    <row r="12" ht="15.75" customHeight="1">
      <c r="A12" s="9" t="s">
        <v>71</v>
      </c>
      <c r="B12" s="10">
        <f t="shared" si="3"/>
        <v>0.5521435144</v>
      </c>
      <c r="C12" s="9" t="s">
        <v>58</v>
      </c>
      <c r="D12" s="9" t="s">
        <v>59</v>
      </c>
      <c r="E12" s="11" t="s">
        <v>84</v>
      </c>
      <c r="F12" s="9" t="s">
        <v>61</v>
      </c>
      <c r="G12" s="11" t="s">
        <v>85</v>
      </c>
      <c r="H12" s="11" t="s">
        <v>72</v>
      </c>
      <c r="I12" s="12">
        <v>20.0</v>
      </c>
      <c r="J12" s="11" t="s">
        <v>64</v>
      </c>
      <c r="K12" s="9" t="s">
        <v>76</v>
      </c>
      <c r="L12" s="11" t="s">
        <v>80</v>
      </c>
      <c r="M12" s="14" t="s">
        <v>67</v>
      </c>
      <c r="N12" s="14" t="s">
        <v>74</v>
      </c>
      <c r="O12" s="14" t="s">
        <v>69</v>
      </c>
      <c r="P12" s="15" t="s">
        <v>78</v>
      </c>
      <c r="Q12" s="15" t="s">
        <v>77</v>
      </c>
      <c r="R12" s="16">
        <v>439.740293741226</v>
      </c>
      <c r="S12" s="16">
        <v>465.660078287124</v>
      </c>
      <c r="T12" s="16">
        <v>1.5589926250512</v>
      </c>
      <c r="U12" s="16">
        <v>4.10358441805968</v>
      </c>
      <c r="V12" s="16">
        <v>2.025730588716</v>
      </c>
      <c r="W12" s="16">
        <v>0.848133627657178</v>
      </c>
      <c r="X12" s="16">
        <v>0.0484962771775119</v>
      </c>
      <c r="Y12" s="16">
        <v>0.00381474020366679</v>
      </c>
      <c r="Z12" s="16">
        <v>0.0617635831511319</v>
      </c>
      <c r="AA12" s="16">
        <v>0.914626525073093</v>
      </c>
      <c r="AB12" s="16">
        <v>0.0484757956343274</v>
      </c>
      <c r="AC12" s="16">
        <v>0.0616875064934141</v>
      </c>
      <c r="AD12" s="16">
        <v>0.91524404039572</v>
      </c>
      <c r="AE12" s="16">
        <v>0.0658978524354219</v>
      </c>
      <c r="AF12" s="16">
        <v>0.0856137341105</v>
      </c>
      <c r="AG12" s="16">
        <v>0.837417448510431</v>
      </c>
      <c r="AH12" s="16">
        <v>10.0</v>
      </c>
      <c r="AI12" s="16">
        <v>1.5589926250512</v>
      </c>
      <c r="AJ12" s="16">
        <v>4.10358441805968</v>
      </c>
      <c r="AK12" s="16">
        <v>2.025730588716</v>
      </c>
      <c r="AL12" s="16">
        <v>0.848105762996465</v>
      </c>
      <c r="AM12" s="16">
        <v>1.18765699304104</v>
      </c>
      <c r="AN12" s="16">
        <v>2.28416041153935</v>
      </c>
      <c r="AO12" s="16">
        <v>1.51134390908864</v>
      </c>
      <c r="AP12" s="16">
        <v>0.91524404039572</v>
      </c>
      <c r="AQ12" s="16">
        <v>1.61449738466785</v>
      </c>
      <c r="AR12" s="16">
        <v>4.39965930887311</v>
      </c>
      <c r="AS12" s="16">
        <v>2.09753648570724</v>
      </c>
      <c r="AT12" s="16">
        <v>0.837417448510431</v>
      </c>
      <c r="AU12" s="10">
        <f t="shared" ref="AU12:AV12" si="29">(AB12-AB$72)/AB$73</f>
        <v>-0.7560504998</v>
      </c>
      <c r="AV12" s="10">
        <f t="shared" si="29"/>
        <v>-0.7435575273</v>
      </c>
      <c r="AW12" s="10">
        <f t="shared" si="5"/>
        <v>-0.998416313</v>
      </c>
      <c r="AX12" s="10">
        <f t="shared" si="6"/>
        <v>-1.016103419</v>
      </c>
      <c r="AY12" s="10">
        <f t="shared" si="7"/>
        <v>-0.8053175148</v>
      </c>
      <c r="AZ12" s="10">
        <f t="shared" si="8"/>
        <v>-0.8078733457</v>
      </c>
      <c r="BA12" s="10">
        <f t="shared" si="9"/>
        <v>-0.4661344701</v>
      </c>
      <c r="BB12" s="10">
        <f t="shared" si="10"/>
        <v>-0.7965119181</v>
      </c>
      <c r="BC12" s="10">
        <f t="shared" si="11"/>
        <v>-0.6048790905</v>
      </c>
      <c r="BD12" s="10">
        <f t="shared" ref="BD12:BE12" si="30">((R12-R$72)/R$73)</f>
        <v>-0.2737719347</v>
      </c>
      <c r="BE12" s="10">
        <f t="shared" si="30"/>
        <v>1.195037374</v>
      </c>
    </row>
    <row r="13" ht="15.75" customHeight="1">
      <c r="A13" s="9" t="s">
        <v>57</v>
      </c>
      <c r="B13" s="10">
        <f t="shared" si="3"/>
        <v>0.5663739213</v>
      </c>
      <c r="C13" s="9" t="s">
        <v>58</v>
      </c>
      <c r="D13" s="9" t="s">
        <v>59</v>
      </c>
      <c r="E13" s="11" t="s">
        <v>60</v>
      </c>
      <c r="F13" s="9" t="s">
        <v>61</v>
      </c>
      <c r="G13" s="11" t="s">
        <v>62</v>
      </c>
      <c r="H13" s="11" t="s">
        <v>72</v>
      </c>
      <c r="I13" s="12">
        <v>20.0</v>
      </c>
      <c r="J13" s="11" t="s">
        <v>64</v>
      </c>
      <c r="K13" s="9" t="s">
        <v>76</v>
      </c>
      <c r="L13" s="11" t="s">
        <v>80</v>
      </c>
      <c r="M13" s="13" t="s">
        <v>82</v>
      </c>
      <c r="N13" s="13" t="s">
        <v>68</v>
      </c>
      <c r="O13" s="14" t="s">
        <v>69</v>
      </c>
      <c r="P13" s="15" t="s">
        <v>78</v>
      </c>
      <c r="Q13" s="15" t="s">
        <v>77</v>
      </c>
      <c r="R13" s="16">
        <v>180.497941732406</v>
      </c>
      <c r="S13" s="16">
        <v>176.4144718647</v>
      </c>
      <c r="T13" s="16">
        <v>1.4872975965098</v>
      </c>
      <c r="U13" s="16">
        <v>3.75574826620639</v>
      </c>
      <c r="V13" s="16">
        <v>1.93797530072144</v>
      </c>
      <c r="W13" s="16">
        <v>0.856779222326288</v>
      </c>
      <c r="X13" s="16">
        <v>0.0590307737202428</v>
      </c>
      <c r="Y13" s="16">
        <v>0.0056542840890702</v>
      </c>
      <c r="Z13" s="16">
        <v>0.0751949738285093</v>
      </c>
      <c r="AA13" s="16">
        <v>0.881649521881403</v>
      </c>
      <c r="AB13" s="16">
        <v>0.0590880974979725</v>
      </c>
      <c r="AC13" s="16">
        <v>0.0751681676963383</v>
      </c>
      <c r="AD13" s="16">
        <v>0.882328740937604</v>
      </c>
      <c r="AE13" s="16">
        <v>0.0997148238428574</v>
      </c>
      <c r="AF13" s="16">
        <v>0.121635311204348</v>
      </c>
      <c r="AG13" s="16">
        <v>0.694142473448383</v>
      </c>
      <c r="AH13" s="16">
        <v>10.0</v>
      </c>
      <c r="AI13" s="16">
        <v>1.4872975965098</v>
      </c>
      <c r="AJ13" s="16">
        <v>3.75574826620638</v>
      </c>
      <c r="AK13" s="16">
        <v>1.93797530072144</v>
      </c>
      <c r="AL13" s="16">
        <v>0.856736806771338</v>
      </c>
      <c r="AM13" s="16">
        <v>1.37790160693189</v>
      </c>
      <c r="AN13" s="16">
        <v>3.07258798093403</v>
      </c>
      <c r="AO13" s="16">
        <v>1.75287991058544</v>
      </c>
      <c r="AP13" s="16">
        <v>0.882328740937603</v>
      </c>
      <c r="AQ13" s="16">
        <v>2.32529429489108</v>
      </c>
      <c r="AR13" s="16">
        <v>8.04555004625578</v>
      </c>
      <c r="AS13" s="16">
        <v>2.8364678821125</v>
      </c>
      <c r="AT13" s="16">
        <v>0.694142473448383</v>
      </c>
      <c r="AU13" s="10">
        <f t="shared" ref="AU13:AV13" si="31">(AB13-AB$72)/AB$73</f>
        <v>-0.5342440917</v>
      </c>
      <c r="AV13" s="10">
        <f t="shared" si="31"/>
        <v>-0.5117394396</v>
      </c>
      <c r="AW13" s="10">
        <f t="shared" si="5"/>
        <v>-0.1920280382</v>
      </c>
      <c r="AX13" s="10">
        <f t="shared" si="6"/>
        <v>-0.3116527797</v>
      </c>
      <c r="AY13" s="10">
        <f t="shared" si="7"/>
        <v>-0.8759526929</v>
      </c>
      <c r="AZ13" s="10">
        <f t="shared" si="8"/>
        <v>-0.8803195648</v>
      </c>
      <c r="BA13" s="10">
        <f t="shared" si="9"/>
        <v>-0.3986017364</v>
      </c>
      <c r="BB13" s="10">
        <f t="shared" si="10"/>
        <v>-0.3443781583</v>
      </c>
      <c r="BC13" s="10">
        <f t="shared" si="11"/>
        <v>-0.6264088024</v>
      </c>
      <c r="BD13" s="10">
        <f t="shared" ref="BD13:BE13" si="32">((R13-R$72)/R$73)</f>
        <v>-0.6050894369</v>
      </c>
      <c r="BE13" s="10">
        <f t="shared" si="32"/>
        <v>-0.9496983938</v>
      </c>
    </row>
    <row r="14" ht="15.75" customHeight="1">
      <c r="A14" s="9" t="s">
        <v>57</v>
      </c>
      <c r="B14" s="10">
        <f t="shared" si="3"/>
        <v>0.5114698901</v>
      </c>
      <c r="C14" s="9" t="s">
        <v>58</v>
      </c>
      <c r="D14" s="9" t="s">
        <v>59</v>
      </c>
      <c r="E14" s="11" t="s">
        <v>60</v>
      </c>
      <c r="F14" s="9" t="s">
        <v>61</v>
      </c>
      <c r="G14" s="11" t="s">
        <v>62</v>
      </c>
      <c r="H14" s="11" t="s">
        <v>63</v>
      </c>
      <c r="I14" s="12">
        <v>150.0</v>
      </c>
      <c r="J14" s="11" t="s">
        <v>73</v>
      </c>
      <c r="K14" s="9" t="s">
        <v>65</v>
      </c>
      <c r="L14" s="11" t="s">
        <v>66</v>
      </c>
      <c r="M14" s="13" t="s">
        <v>82</v>
      </c>
      <c r="N14" s="13" t="s">
        <v>81</v>
      </c>
      <c r="O14" s="14" t="s">
        <v>69</v>
      </c>
      <c r="P14" s="15" t="s">
        <v>75</v>
      </c>
      <c r="Q14" s="14"/>
      <c r="R14" s="16">
        <v>465.670427322387</v>
      </c>
      <c r="S14" s="16">
        <v>172.765131711959</v>
      </c>
      <c r="T14" s="16">
        <v>1.82454360663543</v>
      </c>
      <c r="U14" s="16">
        <v>5.57813053221568</v>
      </c>
      <c r="V14" s="16">
        <v>2.36180662464472</v>
      </c>
      <c r="W14" s="16">
        <v>0.785849951634208</v>
      </c>
      <c r="X14" s="16">
        <v>0.0483173003267251</v>
      </c>
      <c r="Y14" s="16">
        <v>0.00365614784422037</v>
      </c>
      <c r="Z14" s="16">
        <v>0.0604660883820044</v>
      </c>
      <c r="AA14" s="16">
        <v>0.923094821081039</v>
      </c>
      <c r="AB14" s="16">
        <v>0.0480921394122614</v>
      </c>
      <c r="AC14" s="16">
        <v>0.0602888029334747</v>
      </c>
      <c r="AD14" s="16">
        <v>0.923916984454426</v>
      </c>
      <c r="AE14" s="16">
        <v>0.0966828361748651</v>
      </c>
      <c r="AF14" s="16">
        <v>0.122955885505641</v>
      </c>
      <c r="AG14" s="16">
        <v>0.684878764445308</v>
      </c>
      <c r="AH14" s="16">
        <v>10.0</v>
      </c>
      <c r="AI14" s="16">
        <v>1.82454360663543</v>
      </c>
      <c r="AJ14" s="16">
        <v>5.57813053221568</v>
      </c>
      <c r="AK14" s="16">
        <v>2.36180662464472</v>
      </c>
      <c r="AL14" s="16">
        <v>0.785764205586936</v>
      </c>
      <c r="AM14" s="16">
        <v>1.1214819732387</v>
      </c>
      <c r="AN14" s="16">
        <v>1.97655872017318</v>
      </c>
      <c r="AO14" s="16">
        <v>1.40590139062922</v>
      </c>
      <c r="AP14" s="16">
        <v>0.923916984454426</v>
      </c>
      <c r="AQ14" s="16">
        <v>2.25459002691109</v>
      </c>
      <c r="AR14" s="16">
        <v>8.22119677378545</v>
      </c>
      <c r="AS14" s="16">
        <v>2.86726294116627</v>
      </c>
      <c r="AT14" s="16">
        <v>0.684878764445308</v>
      </c>
      <c r="AU14" s="10">
        <f t="shared" ref="AU14:AV14" si="33">(AB14-AB$72)/AB$73</f>
        <v>-0.7640692511</v>
      </c>
      <c r="AV14" s="10">
        <f t="shared" si="33"/>
        <v>-0.7676101149</v>
      </c>
      <c r="AW14" s="10">
        <f t="shared" si="5"/>
        <v>-0.272240954</v>
      </c>
      <c r="AX14" s="10">
        <f t="shared" si="6"/>
        <v>-0.2822947106</v>
      </c>
      <c r="AY14" s="10">
        <f t="shared" si="7"/>
        <v>-0.54369211</v>
      </c>
      <c r="AZ14" s="10">
        <f t="shared" si="8"/>
        <v>-0.5304263826</v>
      </c>
      <c r="BA14" s="10">
        <f t="shared" si="9"/>
        <v>-0.4839288584</v>
      </c>
      <c r="BB14" s="10">
        <f t="shared" si="10"/>
        <v>-0.3151446123</v>
      </c>
      <c r="BC14" s="10">
        <f t="shared" si="11"/>
        <v>-0.4493711578</v>
      </c>
      <c r="BD14" s="10">
        <f t="shared" ref="BD14:BE14" si="34">((R14-R$72)/R$73)</f>
        <v>-0.2406326462</v>
      </c>
      <c r="BE14" s="10">
        <f t="shared" si="34"/>
        <v>-0.9767579936</v>
      </c>
    </row>
    <row r="15" ht="15.75" customHeight="1">
      <c r="A15" s="9" t="s">
        <v>71</v>
      </c>
      <c r="B15" s="10">
        <f t="shared" si="3"/>
        <v>0.4851655041</v>
      </c>
      <c r="C15" s="9" t="s">
        <v>58</v>
      </c>
      <c r="D15" s="9" t="s">
        <v>59</v>
      </c>
      <c r="E15" s="11" t="s">
        <v>60</v>
      </c>
      <c r="F15" s="9" t="s">
        <v>86</v>
      </c>
      <c r="G15" s="11" t="s">
        <v>60</v>
      </c>
      <c r="H15" s="11" t="s">
        <v>63</v>
      </c>
      <c r="I15" s="12">
        <v>20.0</v>
      </c>
      <c r="J15" s="11" t="s">
        <v>64</v>
      </c>
      <c r="K15" s="9" t="s">
        <v>65</v>
      </c>
      <c r="L15" s="11" t="s">
        <v>80</v>
      </c>
      <c r="M15" s="14" t="s">
        <v>87</v>
      </c>
      <c r="N15" s="14" t="s">
        <v>74</v>
      </c>
      <c r="O15" s="14" t="s">
        <v>69</v>
      </c>
      <c r="P15" s="15" t="s">
        <v>78</v>
      </c>
      <c r="Q15" s="15" t="s">
        <v>75</v>
      </c>
      <c r="R15" s="16">
        <v>249.12476325035</v>
      </c>
      <c r="S15" s="16">
        <v>178.692143678665</v>
      </c>
      <c r="T15" s="16">
        <v>2.05220237403132</v>
      </c>
      <c r="U15" s="16">
        <v>6.7404251870492</v>
      </c>
      <c r="V15" s="16">
        <v>2.59623288382402</v>
      </c>
      <c r="W15" s="16">
        <v>0.741022388544214</v>
      </c>
      <c r="X15" s="16">
        <v>0.0530995494184025</v>
      </c>
      <c r="Y15" s="16">
        <v>0.00464347744138451</v>
      </c>
      <c r="Z15" s="16">
        <v>0.0681430659816867</v>
      </c>
      <c r="AA15" s="16">
        <v>0.900852098706236</v>
      </c>
      <c r="AB15" s="16">
        <v>0.0527862257484584</v>
      </c>
      <c r="AC15" s="16">
        <v>0.0677852361860527</v>
      </c>
      <c r="AD15" s="16">
        <v>0.902940119995542</v>
      </c>
      <c r="AE15" s="16">
        <v>0.092942790589634</v>
      </c>
      <c r="AF15" s="16">
        <v>0.118489502041377</v>
      </c>
      <c r="AG15" s="16">
        <v>0.71014294473145</v>
      </c>
      <c r="AH15" s="16">
        <v>10.0</v>
      </c>
      <c r="AI15" s="16">
        <v>2.05220237403132</v>
      </c>
      <c r="AJ15" s="16">
        <v>6.7404251870492</v>
      </c>
      <c r="AK15" s="16">
        <v>2.59623288382402</v>
      </c>
      <c r="AL15" s="16">
        <v>0.740771909492662</v>
      </c>
      <c r="AM15" s="16">
        <v>1.23094545877308</v>
      </c>
      <c r="AN15" s="16">
        <v>2.49865690595221</v>
      </c>
      <c r="AO15" s="16">
        <v>1.5807140493942</v>
      </c>
      <c r="AP15" s="16">
        <v>0.902940119995542</v>
      </c>
      <c r="AQ15" s="16">
        <v>2.16737424166662</v>
      </c>
      <c r="AR15" s="16">
        <v>7.63477333589322</v>
      </c>
      <c r="AS15" s="16">
        <v>2.76310936010379</v>
      </c>
      <c r="AT15" s="16">
        <v>0.71014294473145</v>
      </c>
      <c r="AU15" s="10">
        <f t="shared" ref="AU15:AV15" si="35">(AB15-AB$72)/AB$73</f>
        <v>-0.6659587334</v>
      </c>
      <c r="AV15" s="10">
        <f t="shared" si="35"/>
        <v>-0.6386988697</v>
      </c>
      <c r="AW15" s="10">
        <f t="shared" si="5"/>
        <v>-0.3711859347</v>
      </c>
      <c r="AX15" s="10">
        <f t="shared" si="6"/>
        <v>-0.3815881728</v>
      </c>
      <c r="AY15" s="10">
        <f t="shared" si="7"/>
        <v>-0.3193987678</v>
      </c>
      <c r="AZ15" s="10">
        <f t="shared" si="8"/>
        <v>-0.3368962087</v>
      </c>
      <c r="BA15" s="10">
        <f t="shared" si="9"/>
        <v>-0.4408903619</v>
      </c>
      <c r="BB15" s="10">
        <f t="shared" si="10"/>
        <v>-0.3948709484</v>
      </c>
      <c r="BC15" s="10">
        <f t="shared" si="11"/>
        <v>-0.3371400997</v>
      </c>
      <c r="BD15" s="10">
        <f t="shared" ref="BD15:BE15" si="36">((R15-R$72)/R$73)</f>
        <v>-0.5173828299</v>
      </c>
      <c r="BE15" s="10">
        <f t="shared" si="36"/>
        <v>-0.932809618</v>
      </c>
    </row>
    <row r="16" ht="15.75" customHeight="1">
      <c r="A16" s="9" t="s">
        <v>57</v>
      </c>
      <c r="B16" s="10">
        <f t="shared" si="3"/>
        <v>0.4886304059</v>
      </c>
      <c r="C16" s="9" t="s">
        <v>58</v>
      </c>
      <c r="D16" s="9" t="s">
        <v>59</v>
      </c>
      <c r="E16" s="11" t="s">
        <v>60</v>
      </c>
      <c r="F16" s="9" t="s">
        <v>86</v>
      </c>
      <c r="G16" s="17" t="s">
        <v>60</v>
      </c>
      <c r="H16" s="11" t="s">
        <v>63</v>
      </c>
      <c r="I16" s="12">
        <v>150.0</v>
      </c>
      <c r="J16" s="17" t="s">
        <v>79</v>
      </c>
      <c r="K16" s="9" t="s">
        <v>76</v>
      </c>
      <c r="L16" s="11" t="s">
        <v>66</v>
      </c>
      <c r="M16" s="9" t="s">
        <v>87</v>
      </c>
      <c r="N16" s="9" t="s">
        <v>68</v>
      </c>
      <c r="O16" s="9" t="s">
        <v>69</v>
      </c>
      <c r="P16" s="11" t="s">
        <v>88</v>
      </c>
      <c r="Q16" s="9"/>
      <c r="R16" s="16">
        <v>203.166849851608</v>
      </c>
      <c r="S16" s="16">
        <v>158.626188993453</v>
      </c>
      <c r="T16" s="16">
        <v>1.87747891598654</v>
      </c>
      <c r="U16" s="16">
        <v>5.98435542607466</v>
      </c>
      <c r="V16" s="16">
        <v>2.44629422312089</v>
      </c>
      <c r="W16" s="16">
        <v>0.770132953981072</v>
      </c>
      <c r="X16" s="16">
        <v>0.0618902525461788</v>
      </c>
      <c r="Y16" s="16">
        <v>0.00637109673580153</v>
      </c>
      <c r="Z16" s="16">
        <v>0.0798191501821557</v>
      </c>
      <c r="AA16" s="16">
        <v>0.863963833513117</v>
      </c>
      <c r="AB16" s="16">
        <v>0.0617717412269788</v>
      </c>
      <c r="AC16" s="16">
        <v>0.0794705859486293</v>
      </c>
      <c r="AD16" s="16">
        <v>0.866591852650356</v>
      </c>
      <c r="AE16" s="16">
        <v>0.0924483512554305</v>
      </c>
      <c r="AF16" s="16">
        <v>0.120806098807586</v>
      </c>
      <c r="AG16" s="16">
        <v>0.698698116273011</v>
      </c>
      <c r="AH16" s="16">
        <v>10.0</v>
      </c>
      <c r="AI16" s="16">
        <v>1.87747891598654</v>
      </c>
      <c r="AJ16" s="16">
        <v>5.98435542607466</v>
      </c>
      <c r="AK16" s="16">
        <v>2.44629422312089</v>
      </c>
      <c r="AL16" s="16">
        <v>0.769849380867071</v>
      </c>
      <c r="AM16" s="16">
        <v>1.44048268777914</v>
      </c>
      <c r="AN16" s="16">
        <v>3.43438698533493</v>
      </c>
      <c r="AO16" s="16">
        <v>1.8532099139965</v>
      </c>
      <c r="AP16" s="16">
        <v>0.866591852650356</v>
      </c>
      <c r="AQ16" s="16">
        <v>2.15584419108151</v>
      </c>
      <c r="AR16" s="16">
        <v>7.93622768920334</v>
      </c>
      <c r="AS16" s="16">
        <v>2.81713110969357</v>
      </c>
      <c r="AT16" s="16">
        <v>0.698698116273011</v>
      </c>
      <c r="AU16" s="10">
        <f t="shared" ref="AU16:AV16" si="37">(AB16-AB$72)/AB$73</f>
        <v>-0.4781535862</v>
      </c>
      <c r="AV16" s="10">
        <f t="shared" si="37"/>
        <v>-0.4377535753</v>
      </c>
      <c r="AW16" s="10">
        <f t="shared" si="5"/>
        <v>-0.3842666016</v>
      </c>
      <c r="AX16" s="10">
        <f t="shared" si="6"/>
        <v>-0.3300872403</v>
      </c>
      <c r="AY16" s="10">
        <f t="shared" si="7"/>
        <v>-0.4915393307</v>
      </c>
      <c r="AZ16" s="10">
        <f t="shared" si="8"/>
        <v>-0.4606777986</v>
      </c>
      <c r="BA16" s="10">
        <f t="shared" si="9"/>
        <v>-0.3663141649</v>
      </c>
      <c r="BB16" s="10">
        <f t="shared" si="10"/>
        <v>-0.3587544297</v>
      </c>
      <c r="BC16" s="10">
        <f t="shared" si="11"/>
        <v>-0.4096724144</v>
      </c>
      <c r="BD16" s="10">
        <f t="shared" ref="BD16:BE16" si="38">((R16-R$72)/R$73)</f>
        <v>-0.5761180673</v>
      </c>
      <c r="BE16" s="10">
        <f t="shared" si="38"/>
        <v>-1.081597256</v>
      </c>
    </row>
    <row r="17" ht="15.75" customHeight="1">
      <c r="A17" s="9" t="s">
        <v>57</v>
      </c>
      <c r="B17" s="10">
        <f t="shared" si="3"/>
        <v>0.449853009</v>
      </c>
      <c r="C17" s="9" t="s">
        <v>58</v>
      </c>
      <c r="D17" s="9" t="s">
        <v>59</v>
      </c>
      <c r="E17" s="11" t="s">
        <v>84</v>
      </c>
      <c r="F17" s="9" t="s">
        <v>61</v>
      </c>
      <c r="G17" s="11" t="s">
        <v>85</v>
      </c>
      <c r="H17" s="11" t="s">
        <v>72</v>
      </c>
      <c r="I17" s="12">
        <v>20.0</v>
      </c>
      <c r="J17" s="11" t="s">
        <v>73</v>
      </c>
      <c r="K17" s="9" t="s">
        <v>65</v>
      </c>
      <c r="L17" s="11" t="s">
        <v>66</v>
      </c>
      <c r="M17" s="13" t="s">
        <v>67</v>
      </c>
      <c r="N17" s="13" t="s">
        <v>68</v>
      </c>
      <c r="O17" s="14" t="s">
        <v>69</v>
      </c>
      <c r="P17" s="15" t="s">
        <v>78</v>
      </c>
      <c r="Q17" s="14"/>
      <c r="R17" s="16">
        <v>1154.38261532783</v>
      </c>
      <c r="S17" s="16">
        <v>422.571947574615</v>
      </c>
      <c r="T17" s="16">
        <v>1.66117665159976</v>
      </c>
      <c r="U17" s="16">
        <v>4.4337636226849</v>
      </c>
      <c r="V17" s="16">
        <v>2.10565040371969</v>
      </c>
      <c r="W17" s="16">
        <v>0.835907107525363</v>
      </c>
      <c r="X17" s="16">
        <v>0.0537534542893788</v>
      </c>
      <c r="Y17" s="16">
        <v>0.00438471570356108</v>
      </c>
      <c r="Z17" s="16">
        <v>0.0662171858625922</v>
      </c>
      <c r="AA17" s="16">
        <v>0.901870534769376</v>
      </c>
      <c r="AB17" s="16">
        <v>0.0534913600496273</v>
      </c>
      <c r="AC17" s="16">
        <v>0.0660206702309385</v>
      </c>
      <c r="AD17" s="16">
        <v>0.902918680241469</v>
      </c>
      <c r="AE17" s="16">
        <v>0.0684661049531939</v>
      </c>
      <c r="AF17" s="16">
        <v>0.0872553841553519</v>
      </c>
      <c r="AG17" s="16">
        <v>0.831122603297791</v>
      </c>
      <c r="AH17" s="16">
        <v>10.0</v>
      </c>
      <c r="AI17" s="16">
        <v>1.66117665159977</v>
      </c>
      <c r="AJ17" s="16">
        <v>4.4337636226849</v>
      </c>
      <c r="AK17" s="16">
        <v>2.10565040371969</v>
      </c>
      <c r="AL17" s="16">
        <v>0.835884174928174</v>
      </c>
      <c r="AM17" s="16">
        <v>1.31053832121579</v>
      </c>
      <c r="AN17" s="16">
        <v>2.61632702086983</v>
      </c>
      <c r="AO17" s="16">
        <v>1.61750642065799</v>
      </c>
      <c r="AP17" s="16">
        <v>0.902918680241469</v>
      </c>
      <c r="AQ17" s="16">
        <v>1.67741957135318</v>
      </c>
      <c r="AR17" s="16">
        <v>4.57000461397485</v>
      </c>
      <c r="AS17" s="16">
        <v>2.13775691180612</v>
      </c>
      <c r="AT17" s="16">
        <v>0.831122603297791</v>
      </c>
      <c r="AU17" s="10">
        <f t="shared" ref="AU17:AV17" si="39">(AB17-AB$72)/AB$73</f>
        <v>-0.6512208086</v>
      </c>
      <c r="AV17" s="10">
        <f t="shared" si="39"/>
        <v>-0.6690429529</v>
      </c>
      <c r="AW17" s="10">
        <f t="shared" si="5"/>
        <v>-0.9270320501</v>
      </c>
      <c r="AX17" s="10">
        <f t="shared" si="6"/>
        <v>-0.9777597984</v>
      </c>
      <c r="AY17" s="10">
        <f t="shared" si="7"/>
        <v>-0.7046440503</v>
      </c>
      <c r="AZ17" s="10">
        <f t="shared" si="8"/>
        <v>-0.7418956871</v>
      </c>
      <c r="BA17" s="10">
        <f t="shared" si="9"/>
        <v>-0.4408463737</v>
      </c>
      <c r="BB17" s="10">
        <f t="shared" si="10"/>
        <v>-0.7766472346</v>
      </c>
      <c r="BC17" s="10">
        <f t="shared" si="11"/>
        <v>-0.5743929433</v>
      </c>
      <c r="BD17" s="10">
        <f t="shared" ref="BD17:BE17" si="40">((R17-R$72)/R$73)</f>
        <v>0.6395568758</v>
      </c>
      <c r="BE17" s="10">
        <f t="shared" si="40"/>
        <v>0.8755419244</v>
      </c>
    </row>
    <row r="18" ht="15.75" customHeight="1">
      <c r="A18" s="9" t="s">
        <v>57</v>
      </c>
      <c r="B18" s="10">
        <f t="shared" si="3"/>
        <v>0.4432343287</v>
      </c>
      <c r="C18" s="9" t="s">
        <v>58</v>
      </c>
      <c r="D18" s="9" t="s">
        <v>59</v>
      </c>
      <c r="E18" s="11" t="s">
        <v>84</v>
      </c>
      <c r="F18" s="9" t="s">
        <v>61</v>
      </c>
      <c r="G18" s="17" t="s">
        <v>85</v>
      </c>
      <c r="H18" s="11" t="s">
        <v>72</v>
      </c>
      <c r="I18" s="12">
        <v>20.0</v>
      </c>
      <c r="J18" s="17" t="s">
        <v>83</v>
      </c>
      <c r="K18" s="9" t="s">
        <v>65</v>
      </c>
      <c r="L18" s="11" t="s">
        <v>80</v>
      </c>
      <c r="M18" s="9" t="s">
        <v>82</v>
      </c>
      <c r="N18" s="9" t="s">
        <v>68</v>
      </c>
      <c r="O18" s="9" t="s">
        <v>69</v>
      </c>
      <c r="P18" s="11" t="s">
        <v>75</v>
      </c>
      <c r="Q18" s="11" t="s">
        <v>78</v>
      </c>
      <c r="R18" s="16">
        <v>660.640508413314</v>
      </c>
      <c r="S18" s="16">
        <v>457.084951400756</v>
      </c>
      <c r="T18" s="16">
        <v>1.54199956361998</v>
      </c>
      <c r="U18" s="16">
        <v>4.00986049386201</v>
      </c>
      <c r="V18" s="16">
        <v>2.00246360612671</v>
      </c>
      <c r="W18" s="16">
        <v>0.851593638406139</v>
      </c>
      <c r="X18" s="16">
        <v>0.0541263889016729</v>
      </c>
      <c r="Y18" s="16">
        <v>0.00468394439774913</v>
      </c>
      <c r="Z18" s="16">
        <v>0.0684393483147607</v>
      </c>
      <c r="AA18" s="16">
        <v>0.895173828819094</v>
      </c>
      <c r="AB18" s="16">
        <v>0.0540929645661558</v>
      </c>
      <c r="AC18" s="16">
        <v>0.0683485281361847</v>
      </c>
      <c r="AD18" s="16">
        <v>0.895951901674363</v>
      </c>
      <c r="AE18" s="16">
        <v>0.0778628583680947</v>
      </c>
      <c r="AF18" s="16">
        <v>0.0972242051704321</v>
      </c>
      <c r="AG18" s="16">
        <v>0.790330210822494</v>
      </c>
      <c r="AH18" s="16">
        <v>10.0</v>
      </c>
      <c r="AI18" s="16">
        <v>1.54199956362</v>
      </c>
      <c r="AJ18" s="16">
        <v>4.00986049386201</v>
      </c>
      <c r="AK18" s="16">
        <v>2.00246360612671</v>
      </c>
      <c r="AL18" s="16">
        <v>0.851574955415739</v>
      </c>
      <c r="AM18" s="16">
        <v>1.32527763187083</v>
      </c>
      <c r="AN18" s="16">
        <v>2.8040806593543</v>
      </c>
      <c r="AO18" s="16">
        <v>1.67453893933652</v>
      </c>
      <c r="AP18" s="16">
        <v>0.895951901674363</v>
      </c>
      <c r="AQ18" s="16">
        <v>1.90764003001838</v>
      </c>
      <c r="AR18" s="16">
        <v>5.67389077913113</v>
      </c>
      <c r="AS18" s="16">
        <v>2.38199302667558</v>
      </c>
      <c r="AT18" s="16">
        <v>0.790330210822494</v>
      </c>
      <c r="AU18" s="10">
        <f t="shared" ref="AU18:AV18" si="41">(AB18-AB$72)/AB$73</f>
        <v>-0.6386467471</v>
      </c>
      <c r="AV18" s="10">
        <f t="shared" si="41"/>
        <v>-0.6290123076</v>
      </c>
      <c r="AW18" s="10">
        <f t="shared" si="5"/>
        <v>-0.6658504441</v>
      </c>
      <c r="AX18" s="10">
        <f t="shared" si="6"/>
        <v>-0.7449204739</v>
      </c>
      <c r="AY18" s="10">
        <f t="shared" si="7"/>
        <v>-0.8220593719</v>
      </c>
      <c r="AZ18" s="10">
        <f t="shared" si="8"/>
        <v>-0.827081361</v>
      </c>
      <c r="BA18" s="10">
        <f t="shared" si="9"/>
        <v>-0.4265525465</v>
      </c>
      <c r="BB18" s="10">
        <f t="shared" si="10"/>
        <v>-0.6479184195</v>
      </c>
      <c r="BC18" s="10">
        <f t="shared" si="11"/>
        <v>-0.6135328194</v>
      </c>
      <c r="BD18" s="10">
        <f t="shared" ref="BD18:BE18" si="42">((R18-R$72)/R$73)</f>
        <v>0.008543461688</v>
      </c>
      <c r="BE18" s="10">
        <f t="shared" si="42"/>
        <v>1.131453413</v>
      </c>
    </row>
    <row r="19" ht="15.75" customHeight="1">
      <c r="A19" s="9" t="s">
        <v>71</v>
      </c>
      <c r="B19" s="10">
        <f t="shared" si="3"/>
        <v>0.4153396229</v>
      </c>
      <c r="C19" s="9" t="s">
        <v>58</v>
      </c>
      <c r="D19" s="9" t="s">
        <v>59</v>
      </c>
      <c r="E19" s="11" t="s">
        <v>84</v>
      </c>
      <c r="F19" s="9" t="s">
        <v>61</v>
      </c>
      <c r="G19" s="17" t="s">
        <v>85</v>
      </c>
      <c r="H19" s="11" t="s">
        <v>63</v>
      </c>
      <c r="I19" s="12">
        <v>20.0</v>
      </c>
      <c r="J19" s="17" t="s">
        <v>83</v>
      </c>
      <c r="K19" s="9" t="s">
        <v>65</v>
      </c>
      <c r="L19" s="11" t="s">
        <v>66</v>
      </c>
      <c r="M19" s="9" t="s">
        <v>87</v>
      </c>
      <c r="N19" s="9" t="s">
        <v>68</v>
      </c>
      <c r="O19" s="9" t="s">
        <v>69</v>
      </c>
      <c r="P19" s="11" t="s">
        <v>78</v>
      </c>
      <c r="Q19" s="9"/>
      <c r="R19" s="16">
        <v>660.483159065246</v>
      </c>
      <c r="S19" s="16">
        <v>413.738087415695</v>
      </c>
      <c r="T19" s="16">
        <v>1.82598676402371</v>
      </c>
      <c r="U19" s="16">
        <v>5.3669495048871</v>
      </c>
      <c r="V19" s="16">
        <v>2.31666775884827</v>
      </c>
      <c r="W19" s="16">
        <v>0.801191605844258</v>
      </c>
      <c r="X19" s="16">
        <v>0.0523566743262858</v>
      </c>
      <c r="Y19" s="16">
        <v>0.00434934842421427</v>
      </c>
      <c r="Z19" s="16">
        <v>0.0659495900230947</v>
      </c>
      <c r="AA19" s="16">
        <v>0.902556838502408</v>
      </c>
      <c r="AB19" s="16">
        <v>0.0522192439684013</v>
      </c>
      <c r="AC19" s="16">
        <v>0.0657938428618492</v>
      </c>
      <c r="AD19" s="16">
        <v>0.90347219793531</v>
      </c>
      <c r="AE19" s="16">
        <v>0.078195910530925</v>
      </c>
      <c r="AF19" s="16">
        <v>0.0986400179606663</v>
      </c>
      <c r="AG19" s="16">
        <v>0.784086548010998</v>
      </c>
      <c r="AH19" s="16">
        <v>10.0</v>
      </c>
      <c r="AI19" s="16">
        <v>1.82598676402367</v>
      </c>
      <c r="AJ19" s="16">
        <v>5.3669495048871</v>
      </c>
      <c r="AK19" s="16">
        <v>2.31666775884827</v>
      </c>
      <c r="AL19" s="16">
        <v>0.801154603696138</v>
      </c>
      <c r="AM19" s="16">
        <v>1.27937147722583</v>
      </c>
      <c r="AN19" s="16">
        <v>2.59838006255746</v>
      </c>
      <c r="AO19" s="16">
        <v>1.6119491501153</v>
      </c>
      <c r="AP19" s="16">
        <v>0.90347219793531</v>
      </c>
      <c r="AQ19" s="16">
        <v>1.9157998080077</v>
      </c>
      <c r="AR19" s="16">
        <v>5.84034434925414</v>
      </c>
      <c r="AS19" s="16">
        <v>2.41668044003632</v>
      </c>
      <c r="AT19" s="16">
        <v>0.784086548010998</v>
      </c>
      <c r="AU19" s="10">
        <f t="shared" ref="AU19:AV19" si="43">(AB19-AB$72)/AB$73</f>
        <v>-0.6778091494</v>
      </c>
      <c r="AV19" s="10">
        <f t="shared" si="43"/>
        <v>-0.6729435544</v>
      </c>
      <c r="AW19" s="10">
        <f t="shared" si="5"/>
        <v>-0.6565933002</v>
      </c>
      <c r="AX19" s="10">
        <f t="shared" si="6"/>
        <v>-0.7118516794</v>
      </c>
      <c r="AY19" s="10">
        <f t="shared" si="7"/>
        <v>-0.5422702865</v>
      </c>
      <c r="AZ19" s="10">
        <f t="shared" si="8"/>
        <v>-0.5676906915</v>
      </c>
      <c r="BA19" s="10">
        <f t="shared" si="9"/>
        <v>-0.4419820329</v>
      </c>
      <c r="BB19" s="10">
        <f t="shared" si="10"/>
        <v>-0.6282152526</v>
      </c>
      <c r="BC19" s="10">
        <f t="shared" si="11"/>
        <v>-0.487761745</v>
      </c>
      <c r="BD19" s="10">
        <f t="shared" ref="BD19:BE19" si="44">((R19-R$72)/R$73)</f>
        <v>0.008342365715</v>
      </c>
      <c r="BE19" s="10">
        <f t="shared" si="44"/>
        <v>0.8100394745</v>
      </c>
    </row>
    <row r="20" ht="15.75" customHeight="1">
      <c r="A20" s="9" t="s">
        <v>71</v>
      </c>
      <c r="B20" s="10">
        <f t="shared" si="3"/>
        <v>0.390386316</v>
      </c>
      <c r="C20" s="9" t="s">
        <v>58</v>
      </c>
      <c r="D20" s="9" t="s">
        <v>59</v>
      </c>
      <c r="E20" s="11" t="s">
        <v>84</v>
      </c>
      <c r="F20" s="9" t="s">
        <v>86</v>
      </c>
      <c r="G20" s="11" t="s">
        <v>89</v>
      </c>
      <c r="H20" s="11" t="s">
        <v>72</v>
      </c>
      <c r="I20" s="12">
        <v>20.0</v>
      </c>
      <c r="J20" s="11" t="s">
        <v>73</v>
      </c>
      <c r="K20" s="9" t="s">
        <v>65</v>
      </c>
      <c r="L20" s="11" t="s">
        <v>66</v>
      </c>
      <c r="M20" s="14" t="s">
        <v>67</v>
      </c>
      <c r="N20" s="14" t="s">
        <v>74</v>
      </c>
      <c r="O20" s="14" t="s">
        <v>69</v>
      </c>
      <c r="P20" s="15" t="s">
        <v>70</v>
      </c>
      <c r="Q20" s="14"/>
      <c r="R20" s="16">
        <v>996.917415142059</v>
      </c>
      <c r="S20" s="16">
        <v>426.296114683151</v>
      </c>
      <c r="T20" s="16">
        <v>1.717597214069</v>
      </c>
      <c r="U20" s="16">
        <v>5.037100292262</v>
      </c>
      <c r="V20" s="16">
        <v>2.24434852290414</v>
      </c>
      <c r="W20" s="16">
        <v>0.813319472917432</v>
      </c>
      <c r="X20" s="16">
        <v>0.0523137069651024</v>
      </c>
      <c r="Y20" s="16">
        <v>0.00458872594780253</v>
      </c>
      <c r="Z20" s="16">
        <v>0.0677401354279907</v>
      </c>
      <c r="AA20" s="16">
        <v>0.895844997194656</v>
      </c>
      <c r="AB20" s="16">
        <v>0.0518929680846147</v>
      </c>
      <c r="AC20" s="16">
        <v>0.0672369523429711</v>
      </c>
      <c r="AD20" s="16">
        <v>0.898418591415632</v>
      </c>
      <c r="AE20" s="16">
        <v>0.0752196162253762</v>
      </c>
      <c r="AF20" s="16">
        <v>0.0988646935005107</v>
      </c>
      <c r="AG20" s="16">
        <v>0.785060202036385</v>
      </c>
      <c r="AH20" s="16">
        <v>10.0</v>
      </c>
      <c r="AI20" s="16">
        <v>1.71759721406898</v>
      </c>
      <c r="AJ20" s="16">
        <v>5.037100292262</v>
      </c>
      <c r="AK20" s="16">
        <v>2.24434852290414</v>
      </c>
      <c r="AL20" s="16">
        <v>0.813151399199093</v>
      </c>
      <c r="AM20" s="16">
        <v>1.27137771807307</v>
      </c>
      <c r="AN20" s="16">
        <v>2.71361485816268</v>
      </c>
      <c r="AO20" s="16">
        <v>1.64730533240279</v>
      </c>
      <c r="AP20" s="16">
        <v>0.898418591415632</v>
      </c>
      <c r="AQ20" s="16">
        <v>1.84288059752174</v>
      </c>
      <c r="AR20" s="16">
        <v>5.86698012947518</v>
      </c>
      <c r="AS20" s="16">
        <v>2.42218499076251</v>
      </c>
      <c r="AT20" s="16">
        <v>0.785060202036385</v>
      </c>
      <c r="AU20" s="10">
        <f t="shared" ref="AU20:AV20" si="45">(AB20-AB$72)/AB$73</f>
        <v>-0.6846286013</v>
      </c>
      <c r="AV20" s="10">
        <f t="shared" si="45"/>
        <v>-0.6481273473</v>
      </c>
      <c r="AW20" s="10">
        <f t="shared" si="5"/>
        <v>-0.7393190345</v>
      </c>
      <c r="AX20" s="10">
        <f t="shared" si="6"/>
        <v>-0.7066039875</v>
      </c>
      <c r="AY20" s="10">
        <f t="shared" si="7"/>
        <v>-0.6490575396</v>
      </c>
      <c r="AZ20" s="10">
        <f t="shared" si="8"/>
        <v>-0.6273937058</v>
      </c>
      <c r="BA20" s="10">
        <f t="shared" si="9"/>
        <v>-0.4316134849</v>
      </c>
      <c r="BB20" s="10">
        <f t="shared" si="10"/>
        <v>-0.6312878189</v>
      </c>
      <c r="BC20" s="10">
        <f t="shared" si="11"/>
        <v>-0.5176871582</v>
      </c>
      <c r="BD20" s="10">
        <f t="shared" ref="BD20:BE20" si="46">((R20-R$72)/R$73)</f>
        <v>0.4383128413</v>
      </c>
      <c r="BE20" s="10">
        <f t="shared" si="46"/>
        <v>0.9031563608</v>
      </c>
    </row>
    <row r="21" ht="15.75" customHeight="1">
      <c r="A21" s="9" t="s">
        <v>71</v>
      </c>
      <c r="B21" s="10">
        <f t="shared" si="3"/>
        <v>0.4095218601</v>
      </c>
      <c r="C21" s="9" t="s">
        <v>58</v>
      </c>
      <c r="D21" s="9" t="s">
        <v>59</v>
      </c>
      <c r="E21" s="11" t="s">
        <v>60</v>
      </c>
      <c r="F21" s="9" t="s">
        <v>61</v>
      </c>
      <c r="G21" s="11" t="s">
        <v>62</v>
      </c>
      <c r="H21" s="11" t="s">
        <v>72</v>
      </c>
      <c r="I21" s="12">
        <v>150.0</v>
      </c>
      <c r="J21" s="11" t="s">
        <v>64</v>
      </c>
      <c r="K21" s="9" t="s">
        <v>65</v>
      </c>
      <c r="L21" s="11" t="s">
        <v>66</v>
      </c>
      <c r="M21" s="14" t="s">
        <v>87</v>
      </c>
      <c r="N21" s="14" t="s">
        <v>68</v>
      </c>
      <c r="O21" s="14" t="s">
        <v>69</v>
      </c>
      <c r="P21" s="15" t="s">
        <v>75</v>
      </c>
      <c r="Q21" s="14"/>
      <c r="R21" s="16">
        <v>904.142293453216</v>
      </c>
      <c r="S21" s="16">
        <v>176.659787416458</v>
      </c>
      <c r="T21" s="16">
        <v>1.93583251240042</v>
      </c>
      <c r="U21" s="16">
        <v>5.90400534033677</v>
      </c>
      <c r="V21" s="16">
        <v>2.42981590667621</v>
      </c>
      <c r="W21" s="16">
        <v>0.774884436556127</v>
      </c>
      <c r="X21" s="16">
        <v>0.0615678167221039</v>
      </c>
      <c r="Y21" s="16">
        <v>0.00579604375603109</v>
      </c>
      <c r="Z21" s="16">
        <v>0.0761317526136834</v>
      </c>
      <c r="AA21" s="16">
        <v>0.878682333799152</v>
      </c>
      <c r="AB21" s="16">
        <v>0.0616351814014468</v>
      </c>
      <c r="AC21" s="16">
        <v>0.0761157433866215</v>
      </c>
      <c r="AD21" s="16">
        <v>0.879343295581374</v>
      </c>
      <c r="AE21" s="16">
        <v>0.0934759906935505</v>
      </c>
      <c r="AF21" s="16">
        <v>0.117292556675154</v>
      </c>
      <c r="AG21" s="16">
        <v>0.715592701823038</v>
      </c>
      <c r="AH21" s="16">
        <v>10.0</v>
      </c>
      <c r="AI21" s="16">
        <v>1.93583251240042</v>
      </c>
      <c r="AJ21" s="16">
        <v>5.90400534033677</v>
      </c>
      <c r="AK21" s="16">
        <v>2.42981590667621</v>
      </c>
      <c r="AL21" s="16">
        <v>0.774791440228748</v>
      </c>
      <c r="AM21" s="16">
        <v>1.4372981885143</v>
      </c>
      <c r="AN21" s="16">
        <v>3.15054281538023</v>
      </c>
      <c r="AO21" s="16">
        <v>1.77497684925191</v>
      </c>
      <c r="AP21" s="16">
        <v>0.879343295581374</v>
      </c>
      <c r="AQ21" s="16">
        <v>2.17980817186767</v>
      </c>
      <c r="AR21" s="16">
        <v>7.48130404636937</v>
      </c>
      <c r="AS21" s="16">
        <v>2.73519725913312</v>
      </c>
      <c r="AT21" s="16">
        <v>0.715592701823038</v>
      </c>
      <c r="AU21" s="10">
        <f t="shared" ref="AU21:AV21" si="47">(AB21-AB$72)/AB$73</f>
        <v>-0.4810078062</v>
      </c>
      <c r="AV21" s="10">
        <f t="shared" si="47"/>
        <v>-0.4954446021</v>
      </c>
      <c r="AW21" s="10">
        <f t="shared" si="5"/>
        <v>-0.3570798302</v>
      </c>
      <c r="AX21" s="10">
        <f t="shared" si="6"/>
        <v>-0.4081978114</v>
      </c>
      <c r="AY21" s="10">
        <f t="shared" si="7"/>
        <v>-0.4340483616</v>
      </c>
      <c r="AZ21" s="10">
        <f t="shared" si="8"/>
        <v>-0.4742814429</v>
      </c>
      <c r="BA21" s="10">
        <f t="shared" si="9"/>
        <v>-0.3924764606</v>
      </c>
      <c r="BB21" s="10">
        <f t="shared" si="10"/>
        <v>-0.4120687819</v>
      </c>
      <c r="BC21" s="10">
        <f t="shared" si="11"/>
        <v>-0.4220001371</v>
      </c>
      <c r="BD21" s="10">
        <f t="shared" ref="BD21:BE21" si="48">((R21-R$72)/R$73)</f>
        <v>0.3197441686</v>
      </c>
      <c r="BE21" s="10">
        <f t="shared" si="48"/>
        <v>-0.9478793963</v>
      </c>
    </row>
    <row r="22" ht="15.75" customHeight="1">
      <c r="A22" s="9" t="s">
        <v>71</v>
      </c>
      <c r="B22" s="10">
        <f t="shared" si="3"/>
        <v>0.40175422</v>
      </c>
      <c r="C22" s="9" t="s">
        <v>58</v>
      </c>
      <c r="D22" s="9" t="s">
        <v>59</v>
      </c>
      <c r="E22" s="11" t="s">
        <v>84</v>
      </c>
      <c r="F22" s="9" t="s">
        <v>86</v>
      </c>
      <c r="G22" s="17" t="s">
        <v>89</v>
      </c>
      <c r="H22" s="11" t="s">
        <v>63</v>
      </c>
      <c r="I22" s="12">
        <v>150.0</v>
      </c>
      <c r="J22" s="17" t="s">
        <v>83</v>
      </c>
      <c r="K22" s="9" t="s">
        <v>76</v>
      </c>
      <c r="L22" s="11" t="s">
        <v>80</v>
      </c>
      <c r="M22" s="9" t="s">
        <v>82</v>
      </c>
      <c r="N22" s="9" t="s">
        <v>74</v>
      </c>
      <c r="O22" s="9" t="s">
        <v>69</v>
      </c>
      <c r="P22" s="11" t="s">
        <v>78</v>
      </c>
      <c r="Q22" s="11" t="s">
        <v>77</v>
      </c>
      <c r="R22" s="16">
        <v>148.50133895874</v>
      </c>
      <c r="S22" s="16">
        <v>427.105757951736</v>
      </c>
      <c r="T22" s="16">
        <v>1.83630700481504</v>
      </c>
      <c r="U22" s="16">
        <v>5.60822270297221</v>
      </c>
      <c r="V22" s="16">
        <v>2.36816863904837</v>
      </c>
      <c r="W22" s="16">
        <v>0.791772602675942</v>
      </c>
      <c r="X22" s="16">
        <v>0.0592400807269001</v>
      </c>
      <c r="Y22" s="16">
        <v>0.00536809281717274</v>
      </c>
      <c r="Z22" s="16">
        <v>0.0732672697537771</v>
      </c>
      <c r="AA22" s="16">
        <v>0.878067478099738</v>
      </c>
      <c r="AB22" s="16">
        <v>0.0590766452992214</v>
      </c>
      <c r="AC22" s="16">
        <v>0.0729512422369244</v>
      </c>
      <c r="AD22" s="16">
        <v>0.880301241301919</v>
      </c>
      <c r="AE22" s="16">
        <v>0.0811159155450297</v>
      </c>
      <c r="AF22" s="16">
        <v>0.104951376671208</v>
      </c>
      <c r="AG22" s="16">
        <v>0.756988125667587</v>
      </c>
      <c r="AH22" s="16">
        <v>10.0</v>
      </c>
      <c r="AI22" s="16">
        <v>1.83630700481503</v>
      </c>
      <c r="AJ22" s="16">
        <v>5.60822270297221</v>
      </c>
      <c r="AK22" s="16">
        <v>2.36816863904837</v>
      </c>
      <c r="AL22" s="16">
        <v>0.791563923422485</v>
      </c>
      <c r="AM22" s="16">
        <v>1.44737780983095</v>
      </c>
      <c r="AN22" s="16">
        <v>3.19446071728221</v>
      </c>
      <c r="AO22" s="16">
        <v>1.78730543480464</v>
      </c>
      <c r="AP22" s="16">
        <v>0.880301241301919</v>
      </c>
      <c r="AQ22" s="16">
        <v>1.98733993085322</v>
      </c>
      <c r="AR22" s="16">
        <v>6.61162857697541</v>
      </c>
      <c r="AS22" s="16">
        <v>2.5713087284446</v>
      </c>
      <c r="AT22" s="16">
        <v>0.756988125667587</v>
      </c>
      <c r="AU22" s="10">
        <f t="shared" ref="AU22:AV22" si="49">(AB22-AB$72)/AB$73</f>
        <v>-0.5344834527</v>
      </c>
      <c r="AV22" s="10">
        <f t="shared" si="49"/>
        <v>-0.5498624525</v>
      </c>
      <c r="AW22" s="10">
        <f t="shared" si="5"/>
        <v>-0.5754321198</v>
      </c>
      <c r="AX22" s="10">
        <f t="shared" si="6"/>
        <v>-0.5644388112</v>
      </c>
      <c r="AY22" s="10">
        <f t="shared" si="7"/>
        <v>-0.5321026073</v>
      </c>
      <c r="AZ22" s="10">
        <f t="shared" si="8"/>
        <v>-0.5251742331</v>
      </c>
      <c r="BA22" s="10">
        <f t="shared" si="9"/>
        <v>-0.3944418899</v>
      </c>
      <c r="BB22" s="10">
        <f t="shared" si="10"/>
        <v>-0.542700587</v>
      </c>
      <c r="BC22" s="10">
        <f t="shared" si="11"/>
        <v>-0.4638382672</v>
      </c>
      <c r="BD22" s="10">
        <f t="shared" ref="BD22:BE22" si="50">((R22-R$72)/R$73)</f>
        <v>-0.6459818082</v>
      </c>
      <c r="BE22" s="10">
        <f t="shared" si="50"/>
        <v>0.9091598085</v>
      </c>
    </row>
    <row r="23" ht="15.75" customHeight="1">
      <c r="A23" s="9" t="s">
        <v>57</v>
      </c>
      <c r="B23" s="10">
        <f t="shared" si="3"/>
        <v>0.3827939471</v>
      </c>
      <c r="C23" s="9" t="s">
        <v>58</v>
      </c>
      <c r="D23" s="9" t="s">
        <v>59</v>
      </c>
      <c r="E23" s="11" t="s">
        <v>84</v>
      </c>
      <c r="F23" s="9" t="s">
        <v>61</v>
      </c>
      <c r="G23" s="17" t="s">
        <v>85</v>
      </c>
      <c r="H23" s="11" t="s">
        <v>63</v>
      </c>
      <c r="I23" s="12">
        <v>150.0</v>
      </c>
      <c r="J23" s="17" t="s">
        <v>79</v>
      </c>
      <c r="K23" s="9" t="s">
        <v>76</v>
      </c>
      <c r="L23" s="11" t="s">
        <v>80</v>
      </c>
      <c r="M23" s="9" t="s">
        <v>82</v>
      </c>
      <c r="N23" s="9" t="s">
        <v>81</v>
      </c>
      <c r="O23" s="9" t="s">
        <v>69</v>
      </c>
      <c r="P23" s="11" t="s">
        <v>88</v>
      </c>
      <c r="Q23" s="11" t="s">
        <v>88</v>
      </c>
      <c r="R23" s="16">
        <v>354.03609251976</v>
      </c>
      <c r="S23" s="16">
        <v>422.543958902359</v>
      </c>
      <c r="T23" s="16">
        <v>1.84471924698018</v>
      </c>
      <c r="U23" s="16">
        <v>5.38210961324825</v>
      </c>
      <c r="V23" s="16">
        <v>2.31993741580419</v>
      </c>
      <c r="W23" s="16">
        <v>0.800630724358903</v>
      </c>
      <c r="X23" s="16">
        <v>0.0639664503776031</v>
      </c>
      <c r="Y23" s="16">
        <v>0.0063334195274246</v>
      </c>
      <c r="Z23" s="16">
        <v>0.0795827841145596</v>
      </c>
      <c r="AA23" s="16">
        <v>0.858105545555521</v>
      </c>
      <c r="AB23" s="16">
        <v>0.0638786801381011</v>
      </c>
      <c r="AC23" s="16">
        <v>0.0794442691862783</v>
      </c>
      <c r="AD23" s="16">
        <v>0.859263398495421</v>
      </c>
      <c r="AE23" s="16">
        <v>0.0800446042083455</v>
      </c>
      <c r="AF23" s="16">
        <v>0.0997482217230453</v>
      </c>
      <c r="AG23" s="16">
        <v>0.779207793568654</v>
      </c>
      <c r="AH23" s="16">
        <v>10.0</v>
      </c>
      <c r="AI23" s="16">
        <v>1.84471924698013</v>
      </c>
      <c r="AJ23" s="16">
        <v>5.38210961324824</v>
      </c>
      <c r="AK23" s="16">
        <v>2.31993741580419</v>
      </c>
      <c r="AL23" s="16">
        <v>0.800592921915392</v>
      </c>
      <c r="AM23" s="16">
        <v>1.56502766338351</v>
      </c>
      <c r="AN23" s="16">
        <v>3.78841299190176</v>
      </c>
      <c r="AO23" s="16">
        <v>1.94638459506382</v>
      </c>
      <c r="AP23" s="16">
        <v>0.859263398495421</v>
      </c>
      <c r="AQ23" s="16">
        <v>1.96109280310454</v>
      </c>
      <c r="AR23" s="16">
        <v>5.9723120690801</v>
      </c>
      <c r="AS23" s="16">
        <v>2.4438314322146</v>
      </c>
      <c r="AT23" s="16">
        <v>0.779207793568654</v>
      </c>
      <c r="AU23" s="10">
        <f t="shared" ref="AU23:AV23" si="51">(AB23-AB$72)/AB$73</f>
        <v>-0.4341167167</v>
      </c>
      <c r="AV23" s="10">
        <f t="shared" si="51"/>
        <v>-0.4382061274</v>
      </c>
      <c r="AW23" s="10">
        <f t="shared" si="5"/>
        <v>-0.6052090867</v>
      </c>
      <c r="AX23" s="10">
        <f t="shared" si="6"/>
        <v>-0.685967634</v>
      </c>
      <c r="AY23" s="10">
        <f t="shared" si="7"/>
        <v>-0.5238147213</v>
      </c>
      <c r="AZ23" s="10">
        <f t="shared" si="8"/>
        <v>-0.5649914321</v>
      </c>
      <c r="BA23" s="10">
        <f t="shared" si="9"/>
        <v>-0.3512782833</v>
      </c>
      <c r="BB23" s="10">
        <f t="shared" si="10"/>
        <v>-0.6128193359</v>
      </c>
      <c r="BC23" s="10">
        <f t="shared" si="11"/>
        <v>-0.4863606575</v>
      </c>
      <c r="BD23" s="10">
        <f t="shared" ref="BD23:BE23" si="52">((R23-R$72)/R$73)</f>
        <v>-0.3833038135</v>
      </c>
      <c r="BE23" s="10">
        <f t="shared" si="52"/>
        <v>0.8753343904</v>
      </c>
    </row>
    <row r="24" ht="15.75" customHeight="1">
      <c r="A24" s="9" t="s">
        <v>71</v>
      </c>
      <c r="B24" s="10">
        <f t="shared" si="3"/>
        <v>0.3811266395</v>
      </c>
      <c r="C24" s="9" t="s">
        <v>58</v>
      </c>
      <c r="D24" s="9" t="s">
        <v>59</v>
      </c>
      <c r="E24" s="11" t="s">
        <v>84</v>
      </c>
      <c r="F24" s="9" t="s">
        <v>86</v>
      </c>
      <c r="G24" s="11" t="s">
        <v>89</v>
      </c>
      <c r="H24" s="11" t="s">
        <v>63</v>
      </c>
      <c r="I24" s="12">
        <v>20.0</v>
      </c>
      <c r="J24" s="11" t="s">
        <v>73</v>
      </c>
      <c r="K24" s="9" t="s">
        <v>76</v>
      </c>
      <c r="L24" s="11" t="s">
        <v>66</v>
      </c>
      <c r="M24" s="14" t="s">
        <v>82</v>
      </c>
      <c r="N24" s="14" t="s">
        <v>74</v>
      </c>
      <c r="O24" s="14" t="s">
        <v>69</v>
      </c>
      <c r="P24" s="15" t="s">
        <v>90</v>
      </c>
      <c r="Q24" s="14"/>
      <c r="R24" s="16">
        <v>194.473452568054</v>
      </c>
      <c r="S24" s="16">
        <v>407.446476459503</v>
      </c>
      <c r="T24" s="16">
        <v>1.89162088087554</v>
      </c>
      <c r="U24" s="16">
        <v>5.98021562768867</v>
      </c>
      <c r="V24" s="16">
        <v>2.44544794008964</v>
      </c>
      <c r="W24" s="16">
        <v>0.777933542835368</v>
      </c>
      <c r="X24" s="16">
        <v>0.0666032425521062</v>
      </c>
      <c r="Y24" s="16">
        <v>0.0069729602576278</v>
      </c>
      <c r="Z24" s="16">
        <v>0.0835042529313795</v>
      </c>
      <c r="AA24" s="16">
        <v>0.841614022283121</v>
      </c>
      <c r="AB24" s="16">
        <v>0.0665819033737691</v>
      </c>
      <c r="AC24" s="16">
        <v>0.083220104154869</v>
      </c>
      <c r="AD24" s="16">
        <v>0.844231092655733</v>
      </c>
      <c r="AE24" s="16">
        <v>0.0769354723531266</v>
      </c>
      <c r="AF24" s="16">
        <v>0.101502633290916</v>
      </c>
      <c r="AG24" s="16">
        <v>0.772696651053668</v>
      </c>
      <c r="AH24" s="16">
        <v>10.0</v>
      </c>
      <c r="AI24" s="16">
        <v>1.8916208808755</v>
      </c>
      <c r="AJ24" s="16">
        <v>5.98021562768867</v>
      </c>
      <c r="AK24" s="16">
        <v>2.44544794008964</v>
      </c>
      <c r="AL24" s="16">
        <v>0.777738376569397</v>
      </c>
      <c r="AM24" s="16">
        <v>1.63125663265737</v>
      </c>
      <c r="AN24" s="16">
        <v>4.15708283776223</v>
      </c>
      <c r="AO24" s="16">
        <v>2.03889255179429</v>
      </c>
      <c r="AP24" s="16">
        <v>0.844231092655733</v>
      </c>
      <c r="AQ24" s="16">
        <v>1.88491907265162</v>
      </c>
      <c r="AR24" s="16">
        <v>6.18424643513533</v>
      </c>
      <c r="AS24" s="16">
        <v>2.48681451562743</v>
      </c>
      <c r="AT24" s="16">
        <v>0.772696651053668</v>
      </c>
      <c r="AU24" s="10">
        <f t="shared" ref="AU24:AV24" si="53">(AB24-AB$72)/AB$73</f>
        <v>-0.3776169824</v>
      </c>
      <c r="AV24" s="10">
        <f t="shared" si="53"/>
        <v>-0.3732755703</v>
      </c>
      <c r="AW24" s="10">
        <f t="shared" si="5"/>
        <v>-0.6916270244</v>
      </c>
      <c r="AX24" s="10">
        <f t="shared" si="6"/>
        <v>-0.6449902703</v>
      </c>
      <c r="AY24" s="10">
        <f t="shared" si="7"/>
        <v>-0.4776064231</v>
      </c>
      <c r="AZ24" s="10">
        <f t="shared" si="8"/>
        <v>-0.461376446</v>
      </c>
      <c r="BA24" s="10">
        <f t="shared" si="9"/>
        <v>-0.3204363125</v>
      </c>
      <c r="BB24" s="10">
        <f t="shared" si="10"/>
        <v>-0.5922720816</v>
      </c>
      <c r="BC24" s="10">
        <f t="shared" si="11"/>
        <v>-0.4293511241</v>
      </c>
      <c r="BD24" s="10">
        <f t="shared" ref="BD24:BE24" si="54">((R24-R$72)/R$73)</f>
        <v>-0.5872284227</v>
      </c>
      <c r="BE24" s="10">
        <f t="shared" si="54"/>
        <v>0.7633876231</v>
      </c>
    </row>
    <row r="25" ht="15.75" customHeight="1">
      <c r="A25" s="9" t="s">
        <v>57</v>
      </c>
      <c r="B25" s="10">
        <f t="shared" si="3"/>
        <v>0.3615227986</v>
      </c>
      <c r="C25" s="9" t="s">
        <v>58</v>
      </c>
      <c r="D25" s="9" t="s">
        <v>59</v>
      </c>
      <c r="E25" s="11" t="s">
        <v>84</v>
      </c>
      <c r="F25" s="9" t="s">
        <v>61</v>
      </c>
      <c r="G25" s="11" t="s">
        <v>85</v>
      </c>
      <c r="H25" s="11" t="s">
        <v>63</v>
      </c>
      <c r="I25" s="12">
        <v>150.0</v>
      </c>
      <c r="J25" s="11" t="s">
        <v>64</v>
      </c>
      <c r="K25" s="9" t="s">
        <v>76</v>
      </c>
      <c r="L25" s="11" t="s">
        <v>66</v>
      </c>
      <c r="M25" s="13" t="s">
        <v>82</v>
      </c>
      <c r="N25" s="13" t="s">
        <v>81</v>
      </c>
      <c r="O25" s="14" t="s">
        <v>69</v>
      </c>
      <c r="P25" s="15" t="s">
        <v>90</v>
      </c>
      <c r="Q25" s="14"/>
      <c r="R25" s="16">
        <v>292.106032609939</v>
      </c>
      <c r="S25" s="16">
        <v>415.575386762619</v>
      </c>
      <c r="T25" s="16">
        <v>1.82704337263948</v>
      </c>
      <c r="U25" s="16">
        <v>5.38853946499464</v>
      </c>
      <c r="V25" s="16">
        <v>2.32132278345658</v>
      </c>
      <c r="W25" s="16">
        <v>0.800385174051907</v>
      </c>
      <c r="X25" s="16">
        <v>0.064572024893641</v>
      </c>
      <c r="Y25" s="16">
        <v>0.00668876195426165</v>
      </c>
      <c r="Z25" s="16">
        <v>0.0817848516185097</v>
      </c>
      <c r="AA25" s="16">
        <v>0.850144424461507</v>
      </c>
      <c r="AB25" s="16">
        <v>0.0644669401660231</v>
      </c>
      <c r="AC25" s="16">
        <v>0.0816250733210368</v>
      </c>
      <c r="AD25" s="16">
        <v>0.851430699113005</v>
      </c>
      <c r="AE25" s="16">
        <v>0.0837440384775956</v>
      </c>
      <c r="AF25" s="16">
        <v>0.10536287538448</v>
      </c>
      <c r="AG25" s="16">
        <v>0.753652225146556</v>
      </c>
      <c r="AH25" s="16">
        <v>10.0</v>
      </c>
      <c r="AI25" s="16">
        <v>1.82704337263945</v>
      </c>
      <c r="AJ25" s="16">
        <v>5.38853946499465</v>
      </c>
      <c r="AK25" s="16">
        <v>2.32132278345658</v>
      </c>
      <c r="AL25" s="16">
        <v>0.800354696007448</v>
      </c>
      <c r="AM25" s="16">
        <v>1.57944003406758</v>
      </c>
      <c r="AN25" s="16">
        <v>3.99925721994744</v>
      </c>
      <c r="AO25" s="16">
        <v>1.9998142963654</v>
      </c>
      <c r="AP25" s="16">
        <v>0.851430699113005</v>
      </c>
      <c r="AQ25" s="16">
        <v>2.05172894270111</v>
      </c>
      <c r="AR25" s="16">
        <v>6.6635766394487</v>
      </c>
      <c r="AS25" s="16">
        <v>2.58139044691978</v>
      </c>
      <c r="AT25" s="16">
        <v>0.753652225146556</v>
      </c>
      <c r="AU25" s="10">
        <f t="shared" ref="AU25:AV25" si="55">(AB25-AB$72)/AB$73</f>
        <v>-0.4218215667</v>
      </c>
      <c r="AV25" s="10">
        <f t="shared" si="55"/>
        <v>-0.4007042692</v>
      </c>
      <c r="AW25" s="10">
        <f t="shared" si="5"/>
        <v>-0.502383766</v>
      </c>
      <c r="AX25" s="10">
        <f t="shared" si="6"/>
        <v>-0.5548275359</v>
      </c>
      <c r="AY25" s="10">
        <f t="shared" si="7"/>
        <v>-0.5412292974</v>
      </c>
      <c r="AZ25" s="10">
        <f t="shared" si="8"/>
        <v>-0.5638477444</v>
      </c>
      <c r="BA25" s="10">
        <f t="shared" si="9"/>
        <v>-0.3352078355</v>
      </c>
      <c r="BB25" s="10">
        <f t="shared" si="10"/>
        <v>-0.5321734643</v>
      </c>
      <c r="BC25" s="10">
        <f t="shared" si="11"/>
        <v>-0.4857664148</v>
      </c>
      <c r="BD25" s="10">
        <f t="shared" ref="BD25:BE25" si="56">((R25-R$72)/R$73)</f>
        <v>-0.46245181</v>
      </c>
      <c r="BE25" s="10">
        <f t="shared" si="56"/>
        <v>0.8236629195</v>
      </c>
    </row>
    <row r="26" ht="15.75" customHeight="1">
      <c r="A26" s="9" t="s">
        <v>71</v>
      </c>
      <c r="B26" s="10">
        <f t="shared" si="3"/>
        <v>0.3510145974</v>
      </c>
      <c r="C26" s="9" t="s">
        <v>58</v>
      </c>
      <c r="D26" s="9" t="s">
        <v>59</v>
      </c>
      <c r="E26" s="11" t="s">
        <v>84</v>
      </c>
      <c r="F26" s="9" t="s">
        <v>61</v>
      </c>
      <c r="G26" s="17" t="s">
        <v>85</v>
      </c>
      <c r="H26" s="11" t="s">
        <v>72</v>
      </c>
      <c r="I26" s="12">
        <v>20.0</v>
      </c>
      <c r="J26" s="17" t="s">
        <v>83</v>
      </c>
      <c r="K26" s="9" t="s">
        <v>76</v>
      </c>
      <c r="L26" s="11" t="s">
        <v>66</v>
      </c>
      <c r="M26" s="9" t="s">
        <v>67</v>
      </c>
      <c r="N26" s="9" t="s">
        <v>81</v>
      </c>
      <c r="O26" s="9" t="s">
        <v>69</v>
      </c>
      <c r="P26" s="11" t="s">
        <v>77</v>
      </c>
      <c r="Q26" s="9"/>
      <c r="R26" s="16">
        <v>568.999272823333</v>
      </c>
      <c r="S26" s="16">
        <v>432.759088516235</v>
      </c>
      <c r="T26" s="16">
        <v>1.85378683513646</v>
      </c>
      <c r="U26" s="16">
        <v>5.53632921667521</v>
      </c>
      <c r="V26" s="16">
        <v>2.35294054677869</v>
      </c>
      <c r="W26" s="16">
        <v>0.795102449040701</v>
      </c>
      <c r="X26" s="16">
        <v>0.0687073637755126</v>
      </c>
      <c r="Y26" s="16">
        <v>0.00721720434318809</v>
      </c>
      <c r="Z26" s="16">
        <v>0.0849541308188606</v>
      </c>
      <c r="AA26" s="16">
        <v>0.8384797440614</v>
      </c>
      <c r="AB26" s="16">
        <v>0.0688544823671224</v>
      </c>
      <c r="AC26" s="16">
        <v>0.0850081162945967</v>
      </c>
      <c r="AD26" s="16">
        <v>0.839047917865598</v>
      </c>
      <c r="AE26" s="16">
        <v>0.0750578749691719</v>
      </c>
      <c r="AF26" s="16">
        <v>0.0956140058214559</v>
      </c>
      <c r="AG26" s="16">
        <v>0.797217682028529</v>
      </c>
      <c r="AH26" s="16">
        <v>10.0</v>
      </c>
      <c r="AI26" s="16">
        <v>1.85378683513641</v>
      </c>
      <c r="AJ26" s="16">
        <v>5.53632921667521</v>
      </c>
      <c r="AK26" s="16">
        <v>2.35294054677869</v>
      </c>
      <c r="AL26" s="16">
        <v>0.795072693407662</v>
      </c>
      <c r="AM26" s="16">
        <v>1.68693481799453</v>
      </c>
      <c r="AN26" s="16">
        <v>4.33763449653241</v>
      </c>
      <c r="AO26" s="16">
        <v>2.08269884921762</v>
      </c>
      <c r="AP26" s="16">
        <v>0.839047917865598</v>
      </c>
      <c r="AQ26" s="16">
        <v>1.83891793674474</v>
      </c>
      <c r="AR26" s="16">
        <v>5.48750837506256</v>
      </c>
      <c r="AS26" s="16">
        <v>2.34254314262567</v>
      </c>
      <c r="AT26" s="16">
        <v>0.797217682028529</v>
      </c>
      <c r="AU26" s="10">
        <f t="shared" ref="AU26:AV26" si="57">(AB26-AB$72)/AB$73</f>
        <v>-0.3301180901</v>
      </c>
      <c r="AV26" s="10">
        <f t="shared" si="57"/>
        <v>-0.3425282984</v>
      </c>
      <c r="AW26" s="10">
        <f t="shared" si="5"/>
        <v>-0.7438146129</v>
      </c>
      <c r="AX26" s="10">
        <f t="shared" si="6"/>
        <v>-0.7825295079</v>
      </c>
      <c r="AY26" s="10">
        <f t="shared" si="7"/>
        <v>-0.5148811772</v>
      </c>
      <c r="AZ26" s="10">
        <f t="shared" si="8"/>
        <v>-0.5377457571</v>
      </c>
      <c r="BA26" s="10">
        <f t="shared" si="9"/>
        <v>-0.3098019276</v>
      </c>
      <c r="BB26" s="10">
        <f t="shared" si="10"/>
        <v>-0.6696532566</v>
      </c>
      <c r="BC26" s="10">
        <f t="shared" si="11"/>
        <v>-0.4725907204</v>
      </c>
      <c r="BD26" s="10">
        <f t="shared" ref="BD26:BE26" si="58">((R26-R$72)/R$73)</f>
        <v>-0.1085760793</v>
      </c>
      <c r="BE26" s="10">
        <f t="shared" si="58"/>
        <v>0.9510788559</v>
      </c>
    </row>
    <row r="27" ht="15.75" customHeight="1">
      <c r="A27" s="9" t="s">
        <v>71</v>
      </c>
      <c r="B27" s="10">
        <f t="shared" si="3"/>
        <v>0.3684347705</v>
      </c>
      <c r="C27" s="9" t="s">
        <v>58</v>
      </c>
      <c r="D27" s="9" t="s">
        <v>59</v>
      </c>
      <c r="E27" s="11" t="s">
        <v>60</v>
      </c>
      <c r="F27" s="9" t="s">
        <v>86</v>
      </c>
      <c r="G27" s="17" t="s">
        <v>60</v>
      </c>
      <c r="H27" s="11" t="s">
        <v>63</v>
      </c>
      <c r="I27" s="12">
        <v>20.0</v>
      </c>
      <c r="J27" s="17" t="s">
        <v>79</v>
      </c>
      <c r="K27" s="9" t="s">
        <v>65</v>
      </c>
      <c r="L27" s="11" t="s">
        <v>80</v>
      </c>
      <c r="M27" s="9" t="s">
        <v>67</v>
      </c>
      <c r="N27" s="9" t="s">
        <v>74</v>
      </c>
      <c r="O27" s="9" t="s">
        <v>69</v>
      </c>
      <c r="P27" s="11" t="s">
        <v>73</v>
      </c>
      <c r="Q27" s="11" t="s">
        <v>73</v>
      </c>
      <c r="R27" s="16">
        <v>316.086546182632</v>
      </c>
      <c r="S27" s="16">
        <v>178.094048738479</v>
      </c>
      <c r="T27" s="16">
        <v>2.11800895264799</v>
      </c>
      <c r="U27" s="16">
        <v>6.70092700832292</v>
      </c>
      <c r="V27" s="16">
        <v>2.58861488219528</v>
      </c>
      <c r="W27" s="16">
        <v>0.742430093447829</v>
      </c>
      <c r="X27" s="16">
        <v>0.0802251087343368</v>
      </c>
      <c r="Y27" s="16">
        <v>0.00841744106176859</v>
      </c>
      <c r="Z27" s="16">
        <v>0.0917466133531292</v>
      </c>
      <c r="AA27" s="16">
        <v>0.820270125983541</v>
      </c>
      <c r="AB27" s="16">
        <v>0.0795706255344642</v>
      </c>
      <c r="AC27" s="16">
        <v>0.0910842005107815</v>
      </c>
      <c r="AD27" s="16">
        <v>0.824750969459178</v>
      </c>
      <c r="AE27" s="16">
        <v>0.0951560175773541</v>
      </c>
      <c r="AF27" s="16">
        <v>0.117657165869405</v>
      </c>
      <c r="AG27" s="16">
        <v>0.714200876289371</v>
      </c>
      <c r="AH27" s="16">
        <v>10.0</v>
      </c>
      <c r="AI27" s="16">
        <v>2.11800895264799</v>
      </c>
      <c r="AJ27" s="16">
        <v>6.70092700832291</v>
      </c>
      <c r="AK27" s="16">
        <v>2.58861488219528</v>
      </c>
      <c r="AL27" s="16">
        <v>0.742290958686978</v>
      </c>
      <c r="AM27" s="16">
        <v>1.85554278156064</v>
      </c>
      <c r="AN27" s="16">
        <v>4.51151598788445</v>
      </c>
      <c r="AO27" s="16">
        <v>2.1240329535778</v>
      </c>
      <c r="AP27" s="16">
        <v>0.824750969459178</v>
      </c>
      <c r="AQ27" s="16">
        <v>2.2189854654497</v>
      </c>
      <c r="AR27" s="16">
        <v>7.52788827964164</v>
      </c>
      <c r="AS27" s="16">
        <v>2.74369974298239</v>
      </c>
      <c r="AT27" s="16">
        <v>0.714200876289371</v>
      </c>
      <c r="AU27" s="10">
        <f t="shared" ref="AU27:AV27" si="59">(AB27-AB$72)/AB$73</f>
        <v>-0.1061413077</v>
      </c>
      <c r="AV27" s="10">
        <f t="shared" si="59"/>
        <v>-0.238041864</v>
      </c>
      <c r="AW27" s="10">
        <f t="shared" si="5"/>
        <v>-0.312633787</v>
      </c>
      <c r="AX27" s="10">
        <f t="shared" si="6"/>
        <v>-0.4000920789</v>
      </c>
      <c r="AY27" s="10">
        <f t="shared" si="7"/>
        <v>-0.2545649922</v>
      </c>
      <c r="AZ27" s="10">
        <f t="shared" si="8"/>
        <v>-0.3431852361</v>
      </c>
      <c r="BA27" s="10">
        <f t="shared" si="9"/>
        <v>-0.2804686988</v>
      </c>
      <c r="BB27" s="10">
        <f t="shared" si="10"/>
        <v>-0.4076765891</v>
      </c>
      <c r="BC27" s="10">
        <f t="shared" si="11"/>
        <v>-0.3409292928</v>
      </c>
      <c r="BD27" s="10">
        <f t="shared" ref="BD27:BE27" si="60">((R27-R$72)/R$73)</f>
        <v>-0.4318041793</v>
      </c>
      <c r="BE27" s="10">
        <f t="shared" si="60"/>
        <v>-0.9372444497</v>
      </c>
    </row>
    <row r="28" ht="15.75" customHeight="1">
      <c r="A28" s="9" t="s">
        <v>57</v>
      </c>
      <c r="B28" s="10">
        <f t="shared" si="3"/>
        <v>0.3563602732</v>
      </c>
      <c r="C28" s="9" t="s">
        <v>58</v>
      </c>
      <c r="D28" s="9" t="s">
        <v>59</v>
      </c>
      <c r="E28" s="11" t="s">
        <v>60</v>
      </c>
      <c r="F28" s="9" t="s">
        <v>61</v>
      </c>
      <c r="G28" s="11" t="s">
        <v>62</v>
      </c>
      <c r="H28" s="11" t="s">
        <v>72</v>
      </c>
      <c r="I28" s="12">
        <v>150.0</v>
      </c>
      <c r="J28" s="11" t="s">
        <v>73</v>
      </c>
      <c r="K28" s="9" t="s">
        <v>76</v>
      </c>
      <c r="L28" s="11" t="s">
        <v>80</v>
      </c>
      <c r="M28" s="14" t="s">
        <v>67</v>
      </c>
      <c r="N28" s="14" t="s">
        <v>74</v>
      </c>
      <c r="O28" s="14" t="s">
        <v>69</v>
      </c>
      <c r="P28" s="15" t="s">
        <v>78</v>
      </c>
      <c r="Q28" s="15" t="s">
        <v>78</v>
      </c>
      <c r="R28" s="16">
        <v>708.620740175247</v>
      </c>
      <c r="S28" s="16">
        <v>178.238870382308</v>
      </c>
      <c r="T28" s="16">
        <v>2.06211516164134</v>
      </c>
      <c r="U28" s="16">
        <v>6.83384858578939</v>
      </c>
      <c r="V28" s="16">
        <v>2.61416307559214</v>
      </c>
      <c r="W28" s="16">
        <v>0.739427814756824</v>
      </c>
      <c r="X28" s="16">
        <v>0.0662777910260171</v>
      </c>
      <c r="Y28" s="16">
        <v>0.0067950112416392</v>
      </c>
      <c r="Z28" s="16">
        <v>0.0824318581716996</v>
      </c>
      <c r="AA28" s="16">
        <v>0.857772829132559</v>
      </c>
      <c r="AB28" s="16">
        <v>0.0659600512880123</v>
      </c>
      <c r="AC28" s="16">
        <v>0.0821841088511626</v>
      </c>
      <c r="AD28" s="16">
        <v>0.859337551451631</v>
      </c>
      <c r="AE28" s="16">
        <v>0.0957801842351639</v>
      </c>
      <c r="AF28" s="16">
        <v>0.121553495401564</v>
      </c>
      <c r="AG28" s="16">
        <v>0.694553794188387</v>
      </c>
      <c r="AH28" s="16">
        <v>10.0</v>
      </c>
      <c r="AI28" s="16">
        <v>2.06211516164134</v>
      </c>
      <c r="AJ28" s="16">
        <v>6.83384858578939</v>
      </c>
      <c r="AK28" s="16">
        <v>2.61416307559214</v>
      </c>
      <c r="AL28" s="16">
        <v>0.739322526152619</v>
      </c>
      <c r="AM28" s="16">
        <v>1.53815175156353</v>
      </c>
      <c r="AN28" s="16">
        <v>3.67292533641791</v>
      </c>
      <c r="AO28" s="16">
        <v>1.91648776057086</v>
      </c>
      <c r="AP28" s="16">
        <v>0.85933755145163</v>
      </c>
      <c r="AQ28" s="16">
        <v>2.23354068515056</v>
      </c>
      <c r="AR28" s="16">
        <v>8.03473029747904</v>
      </c>
      <c r="AS28" s="16">
        <v>2.83455998304481</v>
      </c>
      <c r="AT28" s="16">
        <v>0.694553794188387</v>
      </c>
      <c r="AU28" s="10">
        <f t="shared" ref="AU28:AV28" si="61">(AB28-AB$72)/AB$73</f>
        <v>-0.3906142359</v>
      </c>
      <c r="AV28" s="10">
        <f t="shared" si="61"/>
        <v>-0.3910909019</v>
      </c>
      <c r="AW28" s="10">
        <f t="shared" si="5"/>
        <v>-0.2961211118</v>
      </c>
      <c r="AX28" s="10">
        <f t="shared" si="6"/>
        <v>-0.3134716505</v>
      </c>
      <c r="AY28" s="10">
        <f t="shared" si="7"/>
        <v>-0.3096325186</v>
      </c>
      <c r="AZ28" s="10">
        <f t="shared" si="8"/>
        <v>-0.3220939713</v>
      </c>
      <c r="BA28" s="10">
        <f t="shared" si="9"/>
        <v>-0.3514304239</v>
      </c>
      <c r="BB28" s="10">
        <f t="shared" si="10"/>
        <v>-0.3456761658</v>
      </c>
      <c r="BC28" s="10">
        <f t="shared" si="11"/>
        <v>-0.3335246846</v>
      </c>
      <c r="BD28" s="10">
        <f t="shared" ref="BD28:BE28" si="62">((R28-R$72)/R$73)</f>
        <v>0.06986326696</v>
      </c>
      <c r="BE28" s="10">
        <f t="shared" si="62"/>
        <v>-0.9361706075</v>
      </c>
    </row>
    <row r="29" ht="15.75" customHeight="1">
      <c r="A29" s="9" t="s">
        <v>57</v>
      </c>
      <c r="B29" s="10">
        <f t="shared" si="3"/>
        <v>0.3468305286</v>
      </c>
      <c r="C29" s="9" t="s">
        <v>58</v>
      </c>
      <c r="D29" s="9" t="s">
        <v>59</v>
      </c>
      <c r="E29" s="11" t="s">
        <v>60</v>
      </c>
      <c r="F29" s="9" t="s">
        <v>86</v>
      </c>
      <c r="G29" s="17" t="s">
        <v>60</v>
      </c>
      <c r="H29" s="11" t="s">
        <v>72</v>
      </c>
      <c r="I29" s="12">
        <v>20.0</v>
      </c>
      <c r="J29" s="17" t="s">
        <v>79</v>
      </c>
      <c r="K29" s="9" t="s">
        <v>65</v>
      </c>
      <c r="L29" s="11" t="s">
        <v>66</v>
      </c>
      <c r="M29" s="9" t="s">
        <v>67</v>
      </c>
      <c r="N29" s="9" t="s">
        <v>74</v>
      </c>
      <c r="O29" s="9" t="s">
        <v>69</v>
      </c>
      <c r="P29" s="11" t="s">
        <v>75</v>
      </c>
      <c r="Q29" s="9"/>
      <c r="R29" s="16">
        <v>527.464151620864</v>
      </c>
      <c r="S29" s="16">
        <v>164.395395755767</v>
      </c>
      <c r="T29" s="16">
        <v>2.14610252891214</v>
      </c>
      <c r="U29" s="16">
        <v>7.51769401142078</v>
      </c>
      <c r="V29" s="16">
        <v>2.74184135416708</v>
      </c>
      <c r="W29" s="16">
        <v>0.71233506914187</v>
      </c>
      <c r="X29" s="16">
        <v>0.0747221457720526</v>
      </c>
      <c r="Y29" s="16">
        <v>0.0090061499614126</v>
      </c>
      <c r="Z29" s="16">
        <v>0.0949007374123752</v>
      </c>
      <c r="AA29" s="16">
        <v>0.808506172001382</v>
      </c>
      <c r="AB29" s="16">
        <v>0.0747128105189614</v>
      </c>
      <c r="AC29" s="16">
        <v>0.0945830326924617</v>
      </c>
      <c r="AD29" s="16">
        <v>0.81192043524139</v>
      </c>
      <c r="AE29" s="16">
        <v>0.0904249730070992</v>
      </c>
      <c r="AF29" s="16">
        <v>0.117027250998615</v>
      </c>
      <c r="AG29" s="16">
        <v>0.716079813235753</v>
      </c>
      <c r="AH29" s="16">
        <v>10.0</v>
      </c>
      <c r="AI29" s="16">
        <v>2.14610252891214</v>
      </c>
      <c r="AJ29" s="16">
        <v>7.51769401142078</v>
      </c>
      <c r="AK29" s="16">
        <v>2.74184135416708</v>
      </c>
      <c r="AL29" s="16">
        <v>0.712208860356419</v>
      </c>
      <c r="AM29" s="16">
        <v>1.74226123418525</v>
      </c>
      <c r="AN29" s="16">
        <v>4.86477624239872</v>
      </c>
      <c r="AO29" s="16">
        <v>2.20562377625893</v>
      </c>
      <c r="AP29" s="16">
        <v>0.81192043524139</v>
      </c>
      <c r="AQ29" s="16">
        <v>2.10866013442945</v>
      </c>
      <c r="AR29" s="16">
        <v>7.44749818984303</v>
      </c>
      <c r="AS29" s="16">
        <v>2.72901047814826</v>
      </c>
      <c r="AT29" s="16">
        <v>0.716079813235753</v>
      </c>
      <c r="AU29" s="10">
        <f t="shared" ref="AU29:AV29" si="63">(AB29-AB$72)/AB$73</f>
        <v>-0.2076738983</v>
      </c>
      <c r="AV29" s="10">
        <f t="shared" si="63"/>
        <v>-0.1778747421</v>
      </c>
      <c r="AW29" s="10">
        <f t="shared" si="5"/>
        <v>-0.4377961956</v>
      </c>
      <c r="AX29" s="10">
        <f t="shared" si="6"/>
        <v>-0.4140958986</v>
      </c>
      <c r="AY29" s="10">
        <f t="shared" si="7"/>
        <v>-0.2268867165</v>
      </c>
      <c r="AZ29" s="10">
        <f t="shared" si="8"/>
        <v>-0.2166893996</v>
      </c>
      <c r="BA29" s="10">
        <f t="shared" si="9"/>
        <v>-0.2541441305</v>
      </c>
      <c r="BB29" s="10">
        <f t="shared" si="10"/>
        <v>-0.4136059625</v>
      </c>
      <c r="BC29" s="10">
        <f t="shared" si="11"/>
        <v>-0.2658909858</v>
      </c>
      <c r="BD29" s="10">
        <f t="shared" ref="BD29:BE29" si="64">((R29-R$72)/R$73)</f>
        <v>-0.1616588897</v>
      </c>
      <c r="BE29" s="10">
        <f t="shared" si="64"/>
        <v>-1.038818995</v>
      </c>
    </row>
    <row r="30" ht="15.75" customHeight="1">
      <c r="A30" s="9" t="s">
        <v>71</v>
      </c>
      <c r="B30" s="10">
        <f t="shared" si="3"/>
        <v>0.3116053691</v>
      </c>
      <c r="C30" s="9" t="s">
        <v>58</v>
      </c>
      <c r="D30" s="9" t="s">
        <v>59</v>
      </c>
      <c r="E30" s="11" t="s">
        <v>60</v>
      </c>
      <c r="F30" s="9" t="s">
        <v>86</v>
      </c>
      <c r="G30" s="17" t="s">
        <v>60</v>
      </c>
      <c r="H30" s="11" t="s">
        <v>72</v>
      </c>
      <c r="I30" s="12">
        <v>150.0</v>
      </c>
      <c r="J30" s="17" t="s">
        <v>83</v>
      </c>
      <c r="K30" s="9" t="s">
        <v>76</v>
      </c>
      <c r="L30" s="11" t="s">
        <v>66</v>
      </c>
      <c r="M30" s="9" t="s">
        <v>87</v>
      </c>
      <c r="N30" s="9" t="s">
        <v>68</v>
      </c>
      <c r="O30" s="9" t="s">
        <v>69</v>
      </c>
      <c r="P30" s="11" t="s">
        <v>78</v>
      </c>
      <c r="Q30" s="9"/>
      <c r="R30" s="16">
        <v>382.832958459854</v>
      </c>
      <c r="S30" s="16">
        <v>164.31522989273</v>
      </c>
      <c r="T30" s="16">
        <v>2.11129984258296</v>
      </c>
      <c r="U30" s="16">
        <v>7.26144649948056</v>
      </c>
      <c r="V30" s="16">
        <v>2.6947071268471</v>
      </c>
      <c r="W30" s="16">
        <v>0.722191356578257</v>
      </c>
      <c r="X30" s="16">
        <v>0.0733016386099544</v>
      </c>
      <c r="Y30" s="16">
        <v>0.00843612990096533</v>
      </c>
      <c r="Z30" s="16">
        <v>0.0918484071770726</v>
      </c>
      <c r="AA30" s="16">
        <v>0.820626259261613</v>
      </c>
      <c r="AB30" s="16">
        <v>0.073050701839553</v>
      </c>
      <c r="AC30" s="16">
        <v>0.0913417179984735</v>
      </c>
      <c r="AD30" s="16">
        <v>0.824590345735934</v>
      </c>
      <c r="AE30" s="16">
        <v>0.10014482329705</v>
      </c>
      <c r="AF30" s="16">
        <v>0.130810823685121</v>
      </c>
      <c r="AG30" s="16">
        <v>0.645260437767663</v>
      </c>
      <c r="AH30" s="16">
        <v>10.0</v>
      </c>
      <c r="AI30" s="16">
        <v>2.11129984258296</v>
      </c>
      <c r="AJ30" s="16">
        <v>7.26144649948056</v>
      </c>
      <c r="AK30" s="16">
        <v>2.6947071268471</v>
      </c>
      <c r="AL30" s="16">
        <v>0.722018485938422</v>
      </c>
      <c r="AM30" s="16">
        <v>1.70350178317515</v>
      </c>
      <c r="AN30" s="16">
        <v>4.53706238551968</v>
      </c>
      <c r="AO30" s="16">
        <v>2.13003811832551</v>
      </c>
      <c r="AP30" s="16">
        <v>0.824590345735934</v>
      </c>
      <c r="AQ30" s="16">
        <v>2.33532164327427</v>
      </c>
      <c r="AR30" s="16">
        <v>9.30515817737455</v>
      </c>
      <c r="AS30" s="16">
        <v>3.05043573565721</v>
      </c>
      <c r="AT30" s="16">
        <v>0.645260437767663</v>
      </c>
      <c r="AU30" s="10">
        <f t="shared" ref="AU30:AV30" si="65">(AB30-AB$72)/AB$73</f>
        <v>-0.2424134261</v>
      </c>
      <c r="AV30" s="10">
        <f t="shared" si="65"/>
        <v>-0.2336135047</v>
      </c>
      <c r="AW30" s="10">
        <f t="shared" si="5"/>
        <v>-0.1806521641</v>
      </c>
      <c r="AX30" s="10">
        <f t="shared" si="6"/>
        <v>-0.1076693086</v>
      </c>
      <c r="AY30" s="10">
        <f t="shared" si="7"/>
        <v>-0.2611749231</v>
      </c>
      <c r="AZ30" s="10">
        <f t="shared" si="8"/>
        <v>-0.2556009756</v>
      </c>
      <c r="BA30" s="10">
        <f t="shared" si="9"/>
        <v>-0.2801391451</v>
      </c>
      <c r="BB30" s="10">
        <f t="shared" si="10"/>
        <v>-0.1901208041</v>
      </c>
      <c r="BC30" s="10">
        <f t="shared" si="11"/>
        <v>-0.2903606118</v>
      </c>
      <c r="BD30" s="10">
        <f t="shared" ref="BD30:BE30" si="66">((R30-R$72)/R$73)</f>
        <v>-0.3465007772</v>
      </c>
      <c r="BE30" s="10">
        <f t="shared" si="66"/>
        <v>-1.03941342</v>
      </c>
    </row>
    <row r="31" ht="15.75" customHeight="1">
      <c r="A31" s="9" t="s">
        <v>57</v>
      </c>
      <c r="B31" s="10">
        <f t="shared" si="3"/>
        <v>0.2963003258</v>
      </c>
      <c r="C31" s="9" t="s">
        <v>58</v>
      </c>
      <c r="D31" s="9" t="s">
        <v>59</v>
      </c>
      <c r="E31" s="11" t="s">
        <v>60</v>
      </c>
      <c r="F31" s="9" t="s">
        <v>86</v>
      </c>
      <c r="G31" s="17" t="s">
        <v>60</v>
      </c>
      <c r="H31" s="11" t="s">
        <v>63</v>
      </c>
      <c r="I31" s="12">
        <v>20.0</v>
      </c>
      <c r="J31" s="17" t="s">
        <v>83</v>
      </c>
      <c r="K31" s="9" t="s">
        <v>76</v>
      </c>
      <c r="L31" s="11" t="s">
        <v>80</v>
      </c>
      <c r="M31" s="9" t="s">
        <v>82</v>
      </c>
      <c r="N31" s="9" t="s">
        <v>68</v>
      </c>
      <c r="O31" s="9" t="s">
        <v>69</v>
      </c>
      <c r="P31" s="11" t="s">
        <v>78</v>
      </c>
      <c r="Q31" s="11" t="s">
        <v>77</v>
      </c>
      <c r="R31" s="16">
        <v>84.8734290599823</v>
      </c>
      <c r="S31" s="16">
        <v>166.462764501571</v>
      </c>
      <c r="T31" s="16">
        <v>2.62206635364642</v>
      </c>
      <c r="U31" s="16">
        <v>11.088373599726</v>
      </c>
      <c r="V31" s="16">
        <v>3.32992095998178</v>
      </c>
      <c r="W31" s="16">
        <v>0.57378754696935</v>
      </c>
      <c r="X31" s="16">
        <v>0.0676758349819093</v>
      </c>
      <c r="Y31" s="16">
        <v>0.00790422420776392</v>
      </c>
      <c r="Z31" s="16">
        <v>0.0889057040226549</v>
      </c>
      <c r="AA31" s="16">
        <v>0.831228373250912</v>
      </c>
      <c r="AB31" s="16">
        <v>0.0676889402413252</v>
      </c>
      <c r="AC31" s="16">
        <v>0.0887691703052119</v>
      </c>
      <c r="AD31" s="16">
        <v>0.833546150157009</v>
      </c>
      <c r="AE31" s="16">
        <v>0.0912406211342025</v>
      </c>
      <c r="AF31" s="16">
        <v>0.119131051594254</v>
      </c>
      <c r="AG31" s="16">
        <v>0.70699564331527</v>
      </c>
      <c r="AH31" s="16">
        <v>10.0</v>
      </c>
      <c r="AI31" s="16">
        <v>2.62206635364643</v>
      </c>
      <c r="AJ31" s="16">
        <v>11.088373599726</v>
      </c>
      <c r="AK31" s="16">
        <v>3.32992095998178</v>
      </c>
      <c r="AL31" s="16">
        <v>0.573555401132297</v>
      </c>
      <c r="AM31" s="16">
        <v>1.57846848146092</v>
      </c>
      <c r="AN31" s="16">
        <v>4.28509762646958</v>
      </c>
      <c r="AO31" s="16">
        <v>2.07004773531181</v>
      </c>
      <c r="AP31" s="16">
        <v>0.833546150157009</v>
      </c>
      <c r="AQ31" s="16">
        <v>2.12768059561564</v>
      </c>
      <c r="AR31" s="16">
        <v>7.71767258742258</v>
      </c>
      <c r="AS31" s="16">
        <v>2.77806993926045</v>
      </c>
      <c r="AT31" s="16">
        <v>0.70699564331527</v>
      </c>
      <c r="AU31" s="10">
        <f t="shared" ref="AU31:AV31" si="67">(AB31-AB$72)/AB$73</f>
        <v>-0.3544789418</v>
      </c>
      <c r="AV31" s="10">
        <f t="shared" si="67"/>
        <v>-0.2778519198</v>
      </c>
      <c r="AW31" s="10">
        <f t="shared" si="5"/>
        <v>-0.4162177719</v>
      </c>
      <c r="AX31" s="10">
        <f t="shared" si="6"/>
        <v>-0.3673256992</v>
      </c>
      <c r="AY31" s="10">
        <f t="shared" si="7"/>
        <v>0.2420410486</v>
      </c>
      <c r="AZ31" s="10">
        <f t="shared" si="8"/>
        <v>0.2687986545</v>
      </c>
      <c r="BA31" s="10">
        <f t="shared" si="9"/>
        <v>-0.2985138816</v>
      </c>
      <c r="BB31" s="10">
        <f t="shared" si="10"/>
        <v>-0.3849389891</v>
      </c>
      <c r="BC31" s="10">
        <f t="shared" si="11"/>
        <v>0.07997321294</v>
      </c>
      <c r="BD31" s="10">
        <f t="shared" ref="BD31:BE31" si="68">((R31-R$72)/R$73)</f>
        <v>-0.7272996948</v>
      </c>
      <c r="BE31" s="10">
        <f t="shared" si="68"/>
        <v>-1.023489602</v>
      </c>
    </row>
    <row r="32" ht="15.75" customHeight="1">
      <c r="A32" s="9" t="s">
        <v>57</v>
      </c>
      <c r="B32" s="10">
        <f t="shared" si="3"/>
        <v>0.267871581</v>
      </c>
      <c r="C32" s="9" t="s">
        <v>58</v>
      </c>
      <c r="D32" s="9" t="s">
        <v>59</v>
      </c>
      <c r="E32" s="11" t="s">
        <v>60</v>
      </c>
      <c r="F32" s="9" t="s">
        <v>86</v>
      </c>
      <c r="G32" s="11" t="s">
        <v>60</v>
      </c>
      <c r="H32" s="11" t="s">
        <v>72</v>
      </c>
      <c r="I32" s="12">
        <v>150.0</v>
      </c>
      <c r="J32" s="11" t="s">
        <v>64</v>
      </c>
      <c r="K32" s="9" t="s">
        <v>65</v>
      </c>
      <c r="L32" s="11" t="s">
        <v>80</v>
      </c>
      <c r="M32" s="14" t="s">
        <v>67</v>
      </c>
      <c r="N32" s="14" t="s">
        <v>68</v>
      </c>
      <c r="O32" s="14" t="s">
        <v>69</v>
      </c>
      <c r="P32" s="15" t="s">
        <v>75</v>
      </c>
      <c r="Q32" s="15" t="s">
        <v>73</v>
      </c>
      <c r="R32" s="16">
        <v>1423.15570974349</v>
      </c>
      <c r="S32" s="16">
        <v>197.473453521728</v>
      </c>
      <c r="T32" s="16">
        <v>1.97881624396164</v>
      </c>
      <c r="U32" s="16">
        <v>6.64776052101398</v>
      </c>
      <c r="V32" s="16">
        <v>2.57832513873134</v>
      </c>
      <c r="W32" s="16">
        <v>0.745705162982565</v>
      </c>
      <c r="X32" s="16">
        <v>0.0657229555347509</v>
      </c>
      <c r="Y32" s="16">
        <v>0.00709394170794325</v>
      </c>
      <c r="Z32" s="16">
        <v>0.084225540710305</v>
      </c>
      <c r="AA32" s="16">
        <v>0.849164619834951</v>
      </c>
      <c r="AB32" s="16">
        <v>0.065057935778275</v>
      </c>
      <c r="AC32" s="16">
        <v>0.0835556163702286</v>
      </c>
      <c r="AD32" s="16">
        <v>0.853220151359582</v>
      </c>
      <c r="AE32" s="16">
        <v>0.0945384913596027</v>
      </c>
      <c r="AF32" s="16">
        <v>0.123057499721637</v>
      </c>
      <c r="AG32" s="16">
        <v>0.68606593843065</v>
      </c>
      <c r="AH32" s="16">
        <v>10.0</v>
      </c>
      <c r="AI32" s="16">
        <v>1.97881624396164</v>
      </c>
      <c r="AJ32" s="16">
        <v>6.64776052101398</v>
      </c>
      <c r="AK32" s="16">
        <v>2.57832513873134</v>
      </c>
      <c r="AL32" s="16">
        <v>0.74551151277057</v>
      </c>
      <c r="AM32" s="16">
        <v>1.51711491905173</v>
      </c>
      <c r="AN32" s="16">
        <v>3.79653749967592</v>
      </c>
      <c r="AO32" s="16">
        <v>1.94847055396686</v>
      </c>
      <c r="AP32" s="16">
        <v>0.853220151359582</v>
      </c>
      <c r="AQ32" s="16">
        <v>2.20458509712185</v>
      </c>
      <c r="AR32" s="16">
        <v>8.23479084708121</v>
      </c>
      <c r="AS32" s="16">
        <v>2.86963252823096</v>
      </c>
      <c r="AT32" s="16">
        <v>0.68606593843065</v>
      </c>
      <c r="AU32" s="10">
        <f t="shared" ref="AU32:AV32" si="69">(AB32-AB$72)/AB$73</f>
        <v>-0.4094692405</v>
      </c>
      <c r="AV32" s="10">
        <f t="shared" si="69"/>
        <v>-0.3675059868</v>
      </c>
      <c r="AW32" s="10">
        <f t="shared" si="5"/>
        <v>-0.3289707856</v>
      </c>
      <c r="AX32" s="10">
        <f t="shared" si="6"/>
        <v>-0.2800356955</v>
      </c>
      <c r="AY32" s="10">
        <f t="shared" si="7"/>
        <v>-0.3917000483</v>
      </c>
      <c r="AZ32" s="10">
        <f t="shared" si="8"/>
        <v>-0.3516799152</v>
      </c>
      <c r="BA32" s="10">
        <f t="shared" si="9"/>
        <v>-0.3388792772</v>
      </c>
      <c r="BB32" s="10">
        <f t="shared" si="10"/>
        <v>-0.3188909849</v>
      </c>
      <c r="BC32" s="10">
        <f t="shared" si="11"/>
        <v>-0.3489628057</v>
      </c>
      <c r="BD32" s="10">
        <f t="shared" ref="BD32:BE32" si="70">((R32-R$72)/R$73)</f>
        <v>0.9830548792</v>
      </c>
      <c r="BE32" s="10">
        <f t="shared" si="70"/>
        <v>-0.7935475303</v>
      </c>
    </row>
    <row r="33" ht="15.75" customHeight="1">
      <c r="A33" s="9" t="s">
        <v>57</v>
      </c>
      <c r="B33" s="10">
        <f t="shared" si="3"/>
        <v>0.2974261209</v>
      </c>
      <c r="C33" s="9" t="s">
        <v>58</v>
      </c>
      <c r="D33" s="9" t="s">
        <v>59</v>
      </c>
      <c r="E33" s="11" t="s">
        <v>60</v>
      </c>
      <c r="F33" s="9" t="s">
        <v>86</v>
      </c>
      <c r="G33" s="11" t="s">
        <v>60</v>
      </c>
      <c r="H33" s="11" t="s">
        <v>63</v>
      </c>
      <c r="I33" s="12">
        <v>20.0</v>
      </c>
      <c r="J33" s="11" t="s">
        <v>73</v>
      </c>
      <c r="K33" s="9" t="s">
        <v>76</v>
      </c>
      <c r="L33" s="11" t="s">
        <v>80</v>
      </c>
      <c r="M33" s="13" t="s">
        <v>67</v>
      </c>
      <c r="N33" s="13" t="s">
        <v>74</v>
      </c>
      <c r="O33" s="14" t="s">
        <v>69</v>
      </c>
      <c r="P33" s="15" t="s">
        <v>77</v>
      </c>
      <c r="Q33" s="15" t="s">
        <v>90</v>
      </c>
      <c r="R33" s="16">
        <v>78.3854303359985</v>
      </c>
      <c r="S33" s="16">
        <v>164.147175312042</v>
      </c>
      <c r="T33" s="16">
        <v>2.04569469010359</v>
      </c>
      <c r="U33" s="16">
        <v>7.32961986869531</v>
      </c>
      <c r="V33" s="16">
        <v>2.70732707087549</v>
      </c>
      <c r="W33" s="16">
        <v>0.718329822997733</v>
      </c>
      <c r="X33" s="16">
        <v>0.0810463007493768</v>
      </c>
      <c r="Y33" s="16">
        <v>0.0108049566344382</v>
      </c>
      <c r="Z33" s="16">
        <v>0.103946893337118</v>
      </c>
      <c r="AA33" s="16">
        <v>0.769291702738356</v>
      </c>
      <c r="AB33" s="16">
        <v>0.0805379187310101</v>
      </c>
      <c r="AC33" s="16">
        <v>0.103277391027616</v>
      </c>
      <c r="AD33" s="16">
        <v>0.774690222077437</v>
      </c>
      <c r="AE33" s="16">
        <v>0.101989475417448</v>
      </c>
      <c r="AF33" s="16">
        <v>0.132903701006789</v>
      </c>
      <c r="AG33" s="16">
        <v>0.63533147772598</v>
      </c>
      <c r="AH33" s="16">
        <v>10.0</v>
      </c>
      <c r="AI33" s="16">
        <v>2.04569469010359</v>
      </c>
      <c r="AJ33" s="16">
        <v>7.32961986869531</v>
      </c>
      <c r="AK33" s="16">
        <v>2.70732707087549</v>
      </c>
      <c r="AL33" s="16">
        <v>0.718112239216422</v>
      </c>
      <c r="AM33" s="16">
        <v>1.87809952151899</v>
      </c>
      <c r="AN33" s="16">
        <v>5.80025271573505</v>
      </c>
      <c r="AO33" s="16">
        <v>2.40837138243566</v>
      </c>
      <c r="AP33" s="16">
        <v>0.774690222077437</v>
      </c>
      <c r="AQ33" s="16">
        <v>2.37833790591522</v>
      </c>
      <c r="AR33" s="16">
        <v>9.60529150383372</v>
      </c>
      <c r="AS33" s="16">
        <v>3.09924047208888</v>
      </c>
      <c r="AT33" s="16">
        <v>0.63533147772598</v>
      </c>
      <c r="AU33" s="10">
        <f t="shared" ref="AU33:AV33" si="71">(AB33-AB$72)/AB$73</f>
        <v>-0.0859240323</v>
      </c>
      <c r="AV33" s="10">
        <f t="shared" si="71"/>
        <v>-0.02836356518</v>
      </c>
      <c r="AW33" s="10">
        <f t="shared" si="5"/>
        <v>-0.1318508689</v>
      </c>
      <c r="AX33" s="10">
        <f t="shared" si="6"/>
        <v>-0.06114194769</v>
      </c>
      <c r="AY33" s="10">
        <f t="shared" si="7"/>
        <v>-0.3258102502</v>
      </c>
      <c r="AZ33" s="10">
        <f t="shared" si="8"/>
        <v>-0.2451826037</v>
      </c>
      <c r="BA33" s="10">
        <f t="shared" si="9"/>
        <v>-0.1777584341</v>
      </c>
      <c r="BB33" s="10">
        <f t="shared" si="10"/>
        <v>-0.1587879211</v>
      </c>
      <c r="BC33" s="10">
        <f t="shared" si="11"/>
        <v>-0.2806166725</v>
      </c>
      <c r="BD33" s="10">
        <f t="shared" ref="BD33:BE33" si="72">((R33-R$72)/R$73)</f>
        <v>-0.7355915018</v>
      </c>
      <c r="BE33" s="10">
        <f t="shared" si="72"/>
        <v>-1.040659532</v>
      </c>
    </row>
    <row r="34" ht="15.75" customHeight="1">
      <c r="A34" s="9" t="s">
        <v>71</v>
      </c>
      <c r="B34" s="10">
        <f t="shared" si="3"/>
        <v>0.2549820716</v>
      </c>
      <c r="C34" s="9" t="s">
        <v>58</v>
      </c>
      <c r="D34" s="9" t="s">
        <v>59</v>
      </c>
      <c r="E34" s="11" t="s">
        <v>84</v>
      </c>
      <c r="F34" s="9" t="s">
        <v>61</v>
      </c>
      <c r="G34" s="11" t="s">
        <v>85</v>
      </c>
      <c r="H34" s="11" t="s">
        <v>72</v>
      </c>
      <c r="I34" s="12">
        <v>150.0</v>
      </c>
      <c r="J34" s="11" t="s">
        <v>73</v>
      </c>
      <c r="K34" s="9" t="s">
        <v>76</v>
      </c>
      <c r="L34" s="11" t="s">
        <v>66</v>
      </c>
      <c r="M34" s="13" t="s">
        <v>87</v>
      </c>
      <c r="N34" s="13" t="s">
        <v>68</v>
      </c>
      <c r="O34" s="14" t="s">
        <v>69</v>
      </c>
      <c r="P34" s="15" t="s">
        <v>90</v>
      </c>
      <c r="Q34" s="14"/>
      <c r="R34" s="16">
        <v>485.000253200531</v>
      </c>
      <c r="S34" s="16">
        <v>431.422343730926</v>
      </c>
      <c r="T34" s="16">
        <v>1.98113404481468</v>
      </c>
      <c r="U34" s="16">
        <v>6.3341949627075</v>
      </c>
      <c r="V34" s="16">
        <v>2.51678266099945</v>
      </c>
      <c r="W34" s="16">
        <v>0.76556942044884</v>
      </c>
      <c r="X34" s="16">
        <v>0.0683691281840303</v>
      </c>
      <c r="Y34" s="16">
        <v>0.00722539048551046</v>
      </c>
      <c r="Z34" s="16">
        <v>0.085002296942556</v>
      </c>
      <c r="AA34" s="16">
        <v>0.838296539077837</v>
      </c>
      <c r="AB34" s="16">
        <v>0.0685663080321903</v>
      </c>
      <c r="AC34" s="16">
        <v>0.0851094244641138</v>
      </c>
      <c r="AD34" s="16">
        <v>0.83866406094221</v>
      </c>
      <c r="AE34" s="16">
        <v>0.0863292323468714</v>
      </c>
      <c r="AF34" s="16">
        <v>0.109648250744429</v>
      </c>
      <c r="AG34" s="16">
        <v>0.733319984929179</v>
      </c>
      <c r="AH34" s="16">
        <v>10.0</v>
      </c>
      <c r="AI34" s="16">
        <v>1.9811340448146</v>
      </c>
      <c r="AJ34" s="16">
        <v>6.3341949627075</v>
      </c>
      <c r="AK34" s="16">
        <v>2.51678266099945</v>
      </c>
      <c r="AL34" s="16">
        <v>0.765539681197294</v>
      </c>
      <c r="AM34" s="16">
        <v>1.67987454678869</v>
      </c>
      <c r="AN34" s="16">
        <v>4.34797938310077</v>
      </c>
      <c r="AO34" s="16">
        <v>2.08518089937078</v>
      </c>
      <c r="AP34" s="16">
        <v>0.83866406094221</v>
      </c>
      <c r="AQ34" s="16">
        <v>2.11506619249841</v>
      </c>
      <c r="AR34" s="16">
        <v>7.2166490195108</v>
      </c>
      <c r="AS34" s="16">
        <v>2.68638214323852</v>
      </c>
      <c r="AT34" s="16">
        <v>0.733319984929179</v>
      </c>
      <c r="AU34" s="10">
        <f t="shared" ref="AU34:AV34" si="73">(AB34-AB$72)/AB$73</f>
        <v>-0.3361411862</v>
      </c>
      <c r="AV34" s="10">
        <f t="shared" si="73"/>
        <v>-0.3407861683</v>
      </c>
      <c r="AW34" s="10">
        <f t="shared" si="5"/>
        <v>-0.4305286203</v>
      </c>
      <c r="AX34" s="10">
        <f t="shared" si="6"/>
        <v>-0.4547350674</v>
      </c>
      <c r="AY34" s="10">
        <f t="shared" si="7"/>
        <v>-0.3894165109</v>
      </c>
      <c r="AZ34" s="10">
        <f t="shared" si="8"/>
        <v>-0.4024861963</v>
      </c>
      <c r="BA34" s="10">
        <f t="shared" si="9"/>
        <v>-0.3090143635</v>
      </c>
      <c r="BB34" s="10">
        <f t="shared" si="10"/>
        <v>-0.4680108832</v>
      </c>
      <c r="BC34" s="10">
        <f t="shared" si="11"/>
        <v>-0.3989220816</v>
      </c>
      <c r="BD34" s="10">
        <f t="shared" ref="BD34:BE34" si="74">((R34-R$72)/R$73)</f>
        <v>-0.215928698</v>
      </c>
      <c r="BE34" s="10">
        <f t="shared" si="74"/>
        <v>0.9411669876</v>
      </c>
    </row>
    <row r="35" ht="15.75" customHeight="1">
      <c r="A35" s="9" t="s">
        <v>57</v>
      </c>
      <c r="B35" s="10">
        <f t="shared" si="3"/>
        <v>0.2096741446</v>
      </c>
      <c r="C35" s="9" t="s">
        <v>58</v>
      </c>
      <c r="D35" s="9" t="s">
        <v>59</v>
      </c>
      <c r="E35" s="11" t="s">
        <v>84</v>
      </c>
      <c r="F35" s="9" t="s">
        <v>61</v>
      </c>
      <c r="G35" s="11" t="s">
        <v>85</v>
      </c>
      <c r="H35" s="11" t="s">
        <v>63</v>
      </c>
      <c r="I35" s="12">
        <v>20.0</v>
      </c>
      <c r="J35" s="11" t="s">
        <v>73</v>
      </c>
      <c r="K35" s="9" t="s">
        <v>76</v>
      </c>
      <c r="L35" s="11" t="s">
        <v>80</v>
      </c>
      <c r="M35" s="13" t="s">
        <v>82</v>
      </c>
      <c r="N35" s="13" t="s">
        <v>68</v>
      </c>
      <c r="O35" s="14" t="s">
        <v>69</v>
      </c>
      <c r="P35" s="15" t="s">
        <v>90</v>
      </c>
      <c r="Q35" s="15" t="s">
        <v>77</v>
      </c>
      <c r="R35" s="16">
        <v>227.979334115982</v>
      </c>
      <c r="S35" s="16">
        <v>425.73728442192</v>
      </c>
      <c r="T35" s="16">
        <v>2.07295582416179</v>
      </c>
      <c r="U35" s="16">
        <v>6.75267935731356</v>
      </c>
      <c r="V35" s="16">
        <v>2.59859180274885</v>
      </c>
      <c r="W35" s="16">
        <v>0.74983726885322</v>
      </c>
      <c r="X35" s="16">
        <v>0.0754732762384296</v>
      </c>
      <c r="Y35" s="16">
        <v>0.00902630891411504</v>
      </c>
      <c r="Z35" s="16">
        <v>0.095006888771894</v>
      </c>
      <c r="AA35" s="16">
        <v>0.797773829213474</v>
      </c>
      <c r="AB35" s="16">
        <v>0.0753398224476389</v>
      </c>
      <c r="AC35" s="16">
        <v>0.0948162916493265</v>
      </c>
      <c r="AD35" s="16">
        <v>0.799530714602915</v>
      </c>
      <c r="AE35" s="16">
        <v>0.0911470011604847</v>
      </c>
      <c r="AF35" s="16">
        <v>0.113463815204741</v>
      </c>
      <c r="AG35" s="16">
        <v>0.714314511568062</v>
      </c>
      <c r="AH35" s="16">
        <v>10.0</v>
      </c>
      <c r="AI35" s="16">
        <v>2.0729558241617</v>
      </c>
      <c r="AJ35" s="16">
        <v>6.75267935731356</v>
      </c>
      <c r="AK35" s="16">
        <v>2.59859180274885</v>
      </c>
      <c r="AL35" s="16">
        <v>0.749813334055923</v>
      </c>
      <c r="AM35" s="16">
        <v>1.84582564996722</v>
      </c>
      <c r="AN35" s="16">
        <v>5.39632502956859</v>
      </c>
      <c r="AO35" s="16">
        <v>2.32299914540849</v>
      </c>
      <c r="AP35" s="16">
        <v>0.799530714602915</v>
      </c>
      <c r="AQ35" s="16">
        <v>2.23310152843181</v>
      </c>
      <c r="AR35" s="16">
        <v>7.72764092582971</v>
      </c>
      <c r="AS35" s="16">
        <v>2.77986347251617</v>
      </c>
      <c r="AT35" s="16">
        <v>0.714314511568062</v>
      </c>
      <c r="AU35" s="10">
        <f t="shared" ref="AU35:AV35" si="75">(AB35-AB$72)/AB$73</f>
        <v>-0.1945687995</v>
      </c>
      <c r="AV35" s="10">
        <f t="shared" si="75"/>
        <v>-0.1738635409</v>
      </c>
      <c r="AW35" s="10">
        <f t="shared" si="5"/>
        <v>-0.2966193284</v>
      </c>
      <c r="AX35" s="10">
        <f t="shared" si="6"/>
        <v>-0.3656158576</v>
      </c>
      <c r="AY35" s="10">
        <f t="shared" si="7"/>
        <v>-0.298952111</v>
      </c>
      <c r="AZ35" s="10">
        <f t="shared" si="8"/>
        <v>-0.3349488074</v>
      </c>
      <c r="BA35" s="10">
        <f t="shared" si="9"/>
        <v>-0.2287239849</v>
      </c>
      <c r="BB35" s="10">
        <f t="shared" si="10"/>
        <v>-0.4080351887</v>
      </c>
      <c r="BC35" s="10">
        <f t="shared" si="11"/>
        <v>-0.3596934862</v>
      </c>
      <c r="BD35" s="10">
        <f t="shared" ref="BD35:BE35" si="76">((R35-R$72)/R$73)</f>
        <v>-0.5444071595</v>
      </c>
      <c r="BE35" s="10">
        <f t="shared" si="76"/>
        <v>0.8990126738</v>
      </c>
    </row>
    <row r="36" ht="15.75" customHeight="1">
      <c r="A36" s="9" t="s">
        <v>57</v>
      </c>
      <c r="B36" s="10">
        <f t="shared" si="3"/>
        <v>0.1776969344</v>
      </c>
      <c r="C36" s="9" t="s">
        <v>58</v>
      </c>
      <c r="D36" s="9" t="s">
        <v>59</v>
      </c>
      <c r="E36" s="11" t="s">
        <v>84</v>
      </c>
      <c r="F36" s="9" t="s">
        <v>86</v>
      </c>
      <c r="G36" s="11" t="s">
        <v>89</v>
      </c>
      <c r="H36" s="11" t="s">
        <v>63</v>
      </c>
      <c r="I36" s="12">
        <v>20.0</v>
      </c>
      <c r="J36" s="11" t="s">
        <v>64</v>
      </c>
      <c r="K36" s="9" t="s">
        <v>65</v>
      </c>
      <c r="L36" s="11" t="s">
        <v>66</v>
      </c>
      <c r="M36" s="14" t="s">
        <v>67</v>
      </c>
      <c r="N36" s="14" t="s">
        <v>68</v>
      </c>
      <c r="O36" s="14" t="s">
        <v>69</v>
      </c>
      <c r="P36" s="15" t="s">
        <v>73</v>
      </c>
      <c r="Q36" s="14"/>
      <c r="R36" s="16">
        <v>749.205843687057</v>
      </c>
      <c r="S36" s="16">
        <v>416.313429355621</v>
      </c>
      <c r="T36" s="16">
        <v>2.13875495833566</v>
      </c>
      <c r="U36" s="16">
        <v>7.20986923223144</v>
      </c>
      <c r="V36" s="16">
        <v>2.68511996607813</v>
      </c>
      <c r="W36" s="16">
        <v>0.732205316456469</v>
      </c>
      <c r="X36" s="16">
        <v>0.0697727343433666</v>
      </c>
      <c r="Y36" s="16">
        <v>0.00745792813905505</v>
      </c>
      <c r="Z36" s="16">
        <v>0.0863592967725829</v>
      </c>
      <c r="AA36" s="16">
        <v>0.830598311706381</v>
      </c>
      <c r="AB36" s="16">
        <v>0.0689232672825333</v>
      </c>
      <c r="AC36" s="16">
        <v>0.08559173647368</v>
      </c>
      <c r="AD36" s="16">
        <v>0.835226283175164</v>
      </c>
      <c r="AE36" s="16">
        <v>0.0888373480956608</v>
      </c>
      <c r="AF36" s="16">
        <v>0.113726226259709</v>
      </c>
      <c r="AG36" s="16">
        <v>0.714653550955342</v>
      </c>
      <c r="AH36" s="16">
        <v>10.0</v>
      </c>
      <c r="AI36" s="16">
        <v>2.13875495833559</v>
      </c>
      <c r="AJ36" s="16">
        <v>7.20986923223144</v>
      </c>
      <c r="AK36" s="16">
        <v>2.68511996607813</v>
      </c>
      <c r="AL36" s="16">
        <v>0.732036879597021</v>
      </c>
      <c r="AM36" s="16">
        <v>1.68862004842208</v>
      </c>
      <c r="AN36" s="16">
        <v>4.39739869788607</v>
      </c>
      <c r="AO36" s="16">
        <v>2.09699754360516</v>
      </c>
      <c r="AP36" s="16">
        <v>0.835226283175164</v>
      </c>
      <c r="AQ36" s="16">
        <v>2.17651502834361</v>
      </c>
      <c r="AR36" s="16">
        <v>7.7634261371996</v>
      </c>
      <c r="AS36" s="16">
        <v>2.78629254336288</v>
      </c>
      <c r="AT36" s="16">
        <v>0.714653550955342</v>
      </c>
      <c r="AU36" s="10">
        <f t="shared" ref="AU36:AV36" si="77">(AB36-AB$72)/AB$73</f>
        <v>-0.328680425</v>
      </c>
      <c r="AV36" s="10">
        <f t="shared" si="77"/>
        <v>-0.3324921651</v>
      </c>
      <c r="AW36" s="10">
        <f t="shared" si="5"/>
        <v>-0.3608158514</v>
      </c>
      <c r="AX36" s="10">
        <f t="shared" si="6"/>
        <v>-0.3594867865</v>
      </c>
      <c r="AY36" s="10">
        <f t="shared" si="7"/>
        <v>-0.2341256697</v>
      </c>
      <c r="AZ36" s="10">
        <f t="shared" si="8"/>
        <v>-0.2635156388</v>
      </c>
      <c r="BA36" s="10">
        <f t="shared" si="9"/>
        <v>-0.3019610316</v>
      </c>
      <c r="BB36" s="10">
        <f t="shared" si="10"/>
        <v>-0.4091050975</v>
      </c>
      <c r="BC36" s="10">
        <f t="shared" si="11"/>
        <v>-0.3153509995</v>
      </c>
      <c r="BD36" s="10">
        <f t="shared" ref="BD36:BE36" si="78">((R36-R$72)/R$73)</f>
        <v>0.1217319336</v>
      </c>
      <c r="BE36" s="10">
        <f t="shared" si="78"/>
        <v>0.8291354533</v>
      </c>
    </row>
    <row r="37" ht="15.75" customHeight="1">
      <c r="A37" s="9" t="s">
        <v>71</v>
      </c>
      <c r="B37" s="10">
        <f t="shared" si="3"/>
        <v>0.1047484178</v>
      </c>
      <c r="C37" s="9" t="s">
        <v>58</v>
      </c>
      <c r="D37" s="9" t="s">
        <v>59</v>
      </c>
      <c r="E37" s="11" t="s">
        <v>84</v>
      </c>
      <c r="F37" s="9" t="s">
        <v>61</v>
      </c>
      <c r="G37" s="11" t="s">
        <v>85</v>
      </c>
      <c r="H37" s="11" t="s">
        <v>63</v>
      </c>
      <c r="I37" s="12">
        <v>150.0</v>
      </c>
      <c r="J37" s="11" t="s">
        <v>73</v>
      </c>
      <c r="K37" s="9" t="s">
        <v>65</v>
      </c>
      <c r="L37" s="11" t="s">
        <v>80</v>
      </c>
      <c r="M37" s="14" t="s">
        <v>67</v>
      </c>
      <c r="N37" s="14" t="s">
        <v>68</v>
      </c>
      <c r="O37" s="14" t="s">
        <v>69</v>
      </c>
      <c r="P37" s="15" t="s">
        <v>75</v>
      </c>
      <c r="Q37" s="15" t="s">
        <v>75</v>
      </c>
      <c r="R37" s="16">
        <v>1720.75284075737</v>
      </c>
      <c r="S37" s="16">
        <v>459.114831686019</v>
      </c>
      <c r="T37" s="16">
        <v>2.03847461919589</v>
      </c>
      <c r="U37" s="16">
        <v>6.59439301725976</v>
      </c>
      <c r="V37" s="16">
        <v>2.56795502633121</v>
      </c>
      <c r="W37" s="16">
        <v>0.755804814212143</v>
      </c>
      <c r="X37" s="16">
        <v>0.0360607673063208</v>
      </c>
      <c r="Y37" s="16">
        <v>0.00213883977285734</v>
      </c>
      <c r="Z37" s="16">
        <v>0.0462475920763162</v>
      </c>
      <c r="AA37" s="16">
        <v>0.952081256989278</v>
      </c>
      <c r="AB37" s="16">
        <v>0.035885035615434</v>
      </c>
      <c r="AC37" s="16">
        <v>0.0461116696016872</v>
      </c>
      <c r="AD37" s="16">
        <v>0.952586326402196</v>
      </c>
      <c r="AE37" s="16">
        <v>0.105142559851324</v>
      </c>
      <c r="AF37" s="16">
        <v>0.129803299806026</v>
      </c>
      <c r="AG37" s="16">
        <v>0.626109111587594</v>
      </c>
      <c r="AH37" s="16">
        <v>10.0</v>
      </c>
      <c r="AI37" s="16">
        <v>2.03847461919594</v>
      </c>
      <c r="AJ37" s="16">
        <v>6.59439301725976</v>
      </c>
      <c r="AK37" s="16">
        <v>2.56795502633121</v>
      </c>
      <c r="AL37" s="16">
        <v>0.755677840511373</v>
      </c>
      <c r="AM37" s="16">
        <v>0.879183372578123</v>
      </c>
      <c r="AN37" s="16">
        <v>1.27630321559146</v>
      </c>
      <c r="AO37" s="16">
        <v>1.12973590524133</v>
      </c>
      <c r="AP37" s="16">
        <v>0.952586326402196</v>
      </c>
      <c r="AQ37" s="16">
        <v>2.57599271635757</v>
      </c>
      <c r="AR37" s="16">
        <v>10.11355020848</v>
      </c>
      <c r="AS37" s="16">
        <v>3.18018084524764</v>
      </c>
      <c r="AT37" s="16">
        <v>0.626109111587594</v>
      </c>
      <c r="AU37" s="10">
        <f t="shared" ref="AU37:AV37" si="79">(AB37-AB$72)/AB$73</f>
        <v>-1.019208417</v>
      </c>
      <c r="AV37" s="10">
        <f t="shared" si="79"/>
        <v>-1.011404977</v>
      </c>
      <c r="AW37" s="10">
        <f t="shared" si="5"/>
        <v>0.09238550478</v>
      </c>
      <c r="AX37" s="10">
        <f t="shared" si="6"/>
        <v>0.01602150465</v>
      </c>
      <c r="AY37" s="10">
        <f t="shared" si="7"/>
        <v>-0.3329235885</v>
      </c>
      <c r="AZ37" s="10">
        <f t="shared" si="8"/>
        <v>-0.3602409427</v>
      </c>
      <c r="BA37" s="10">
        <f t="shared" si="9"/>
        <v>-0.5427501077</v>
      </c>
      <c r="BB37" s="10">
        <f t="shared" si="10"/>
        <v>-0.129684841</v>
      </c>
      <c r="BC37" s="10">
        <f t="shared" si="11"/>
        <v>-0.3743222076</v>
      </c>
      <c r="BD37" s="10">
        <f t="shared" ref="BD37:BE37" si="80">((R37-R$72)/R$73)</f>
        <v>1.363390644</v>
      </c>
      <c r="BE37" s="10">
        <f t="shared" si="80"/>
        <v>1.146504832</v>
      </c>
    </row>
    <row r="38" ht="15.75" customHeight="1">
      <c r="A38" s="9" t="s">
        <v>57</v>
      </c>
      <c r="B38" s="10">
        <f t="shared" si="3"/>
        <v>0.1522436624</v>
      </c>
      <c r="C38" s="9" t="s">
        <v>58</v>
      </c>
      <c r="D38" s="9" t="s">
        <v>59</v>
      </c>
      <c r="E38" s="11" t="s">
        <v>84</v>
      </c>
      <c r="F38" s="9" t="s">
        <v>86</v>
      </c>
      <c r="G38" s="11" t="s">
        <v>89</v>
      </c>
      <c r="H38" s="11" t="s">
        <v>72</v>
      </c>
      <c r="I38" s="12">
        <v>20.0</v>
      </c>
      <c r="J38" s="11" t="s">
        <v>64</v>
      </c>
      <c r="K38" s="9" t="s">
        <v>76</v>
      </c>
      <c r="L38" s="11" t="s">
        <v>66</v>
      </c>
      <c r="M38" s="13" t="s">
        <v>67</v>
      </c>
      <c r="N38" s="13" t="s">
        <v>74</v>
      </c>
      <c r="O38" s="14" t="s">
        <v>69</v>
      </c>
      <c r="P38" s="15" t="s">
        <v>77</v>
      </c>
      <c r="Q38" s="14"/>
      <c r="R38" s="16">
        <v>353.311714410781</v>
      </c>
      <c r="S38" s="16">
        <v>408.070708513259</v>
      </c>
      <c r="T38" s="16">
        <v>2.1487068194497</v>
      </c>
      <c r="U38" s="16">
        <v>7.50082040311643</v>
      </c>
      <c r="V38" s="16">
        <v>2.73876256786097</v>
      </c>
      <c r="W38" s="16">
        <v>0.721973229320156</v>
      </c>
      <c r="X38" s="16">
        <v>0.0729847493133338</v>
      </c>
      <c r="Y38" s="16">
        <v>0.00831591124899518</v>
      </c>
      <c r="Z38" s="16">
        <v>0.0911916183045086</v>
      </c>
      <c r="AA38" s="16">
        <v>0.811245262994434</v>
      </c>
      <c r="AB38" s="16">
        <v>0.0726859153746441</v>
      </c>
      <c r="AC38" s="16">
        <v>0.0906793672943221</v>
      </c>
      <c r="AD38" s="16">
        <v>0.815236937005545</v>
      </c>
      <c r="AE38" s="16">
        <v>0.0944484801822747</v>
      </c>
      <c r="AF38" s="16">
        <v>0.123943876950086</v>
      </c>
      <c r="AG38" s="16">
        <v>0.662180635088795</v>
      </c>
      <c r="AH38" s="16">
        <v>10.0</v>
      </c>
      <c r="AI38" s="16">
        <v>2.14870681944964</v>
      </c>
      <c r="AJ38" s="16">
        <v>7.50082040311643</v>
      </c>
      <c r="AK38" s="16">
        <v>2.73876256786097</v>
      </c>
      <c r="AL38" s="16">
        <v>0.721760990279623</v>
      </c>
      <c r="AM38" s="16">
        <v>1.78080492667882</v>
      </c>
      <c r="AN38" s="16">
        <v>4.93570427865239</v>
      </c>
      <c r="AO38" s="16">
        <v>2.22164449871089</v>
      </c>
      <c r="AP38" s="16">
        <v>0.815236937005545</v>
      </c>
      <c r="AQ38" s="16">
        <v>2.31398776446565</v>
      </c>
      <c r="AR38" s="16">
        <v>9.22109130120928</v>
      </c>
      <c r="AS38" s="16">
        <v>3.03662498527712</v>
      </c>
      <c r="AT38" s="16">
        <v>0.662180635088795</v>
      </c>
      <c r="AU38" s="10">
        <f t="shared" ref="AU38:AV38" si="81">(AB38-AB$72)/AB$73</f>
        <v>-0.2500377829</v>
      </c>
      <c r="AV38" s="10">
        <f t="shared" si="81"/>
        <v>-0.2450035152</v>
      </c>
      <c r="AW38" s="10">
        <f t="shared" si="5"/>
        <v>-0.2048551249</v>
      </c>
      <c r="AX38" s="10">
        <f t="shared" si="6"/>
        <v>-0.1208356079</v>
      </c>
      <c r="AY38" s="10">
        <f t="shared" si="7"/>
        <v>-0.2243209246</v>
      </c>
      <c r="AZ38" s="10">
        <f t="shared" si="8"/>
        <v>-0.219231086</v>
      </c>
      <c r="BA38" s="10">
        <f t="shared" si="9"/>
        <v>-0.2609486388</v>
      </c>
      <c r="BB38" s="10">
        <f t="shared" si="10"/>
        <v>-0.2435159796</v>
      </c>
      <c r="BC38" s="10">
        <f t="shared" si="11"/>
        <v>-0.2897183016</v>
      </c>
      <c r="BD38" s="10">
        <f t="shared" ref="BD38:BE38" si="82">((R38-R$72)/R$73)</f>
        <v>-0.3842295849</v>
      </c>
      <c r="BE38" s="10">
        <f t="shared" si="82"/>
        <v>0.7680162597</v>
      </c>
    </row>
    <row r="39" ht="15.75" customHeight="1">
      <c r="A39" s="9" t="s">
        <v>71</v>
      </c>
      <c r="B39" s="10">
        <f t="shared" si="3"/>
        <v>0.128033122</v>
      </c>
      <c r="C39" s="9" t="s">
        <v>58</v>
      </c>
      <c r="D39" s="9" t="s">
        <v>59</v>
      </c>
      <c r="E39" s="11" t="s">
        <v>60</v>
      </c>
      <c r="F39" s="9" t="s">
        <v>86</v>
      </c>
      <c r="G39" s="17" t="s">
        <v>60</v>
      </c>
      <c r="H39" s="11" t="s">
        <v>63</v>
      </c>
      <c r="I39" s="12">
        <v>20.0</v>
      </c>
      <c r="J39" s="17" t="s">
        <v>83</v>
      </c>
      <c r="K39" s="9" t="s">
        <v>65</v>
      </c>
      <c r="L39" s="11" t="s">
        <v>80</v>
      </c>
      <c r="M39" s="9" t="s">
        <v>67</v>
      </c>
      <c r="N39" s="9" t="s">
        <v>81</v>
      </c>
      <c r="O39" s="9" t="s">
        <v>69</v>
      </c>
      <c r="P39" s="11" t="s">
        <v>70</v>
      </c>
      <c r="Q39" s="11" t="s">
        <v>70</v>
      </c>
      <c r="R39" s="16">
        <v>762.528671026229</v>
      </c>
      <c r="S39" s="16">
        <v>170.922168254852</v>
      </c>
      <c r="T39" s="16">
        <v>2.23905107059175</v>
      </c>
      <c r="U39" s="16">
        <v>8.49615058208479</v>
      </c>
      <c r="V39" s="16">
        <v>2.91481570293643</v>
      </c>
      <c r="W39" s="16">
        <v>0.673524443689894</v>
      </c>
      <c r="X39" s="16">
        <v>0.0863868246879989</v>
      </c>
      <c r="Y39" s="16">
        <v>0.0120549436024176</v>
      </c>
      <c r="Z39" s="16">
        <v>0.109795007183467</v>
      </c>
      <c r="AA39" s="16">
        <v>0.742601881137164</v>
      </c>
      <c r="AB39" s="16">
        <v>0.0855032259970965</v>
      </c>
      <c r="AC39" s="16">
        <v>0.108850344288268</v>
      </c>
      <c r="AD39" s="16">
        <v>0.749718276545127</v>
      </c>
      <c r="AE39" s="16">
        <v>0.103049433800944</v>
      </c>
      <c r="AF39" s="16">
        <v>0.137574511172658</v>
      </c>
      <c r="AG39" s="16">
        <v>0.60924901286098</v>
      </c>
      <c r="AH39" s="16">
        <v>10.0</v>
      </c>
      <c r="AI39" s="16">
        <v>2.23905107059175</v>
      </c>
      <c r="AJ39" s="16">
        <v>8.49615058208479</v>
      </c>
      <c r="AK39" s="16">
        <v>2.91481570293643</v>
      </c>
      <c r="AL39" s="16">
        <v>0.673248967099533</v>
      </c>
      <c r="AM39" s="16">
        <v>1.99388772846009</v>
      </c>
      <c r="AN39" s="16">
        <v>6.44311693683755</v>
      </c>
      <c r="AO39" s="16">
        <v>2.53832955638891</v>
      </c>
      <c r="AP39" s="16">
        <v>0.749718276545127</v>
      </c>
      <c r="AQ39" s="16">
        <v>2.40305554655256</v>
      </c>
      <c r="AR39" s="16">
        <v>10.2922980943794</v>
      </c>
      <c r="AS39" s="16">
        <v>3.2081611702624</v>
      </c>
      <c r="AT39" s="16">
        <v>0.60924901286098</v>
      </c>
      <c r="AU39" s="10">
        <f t="shared" ref="AU39:AV39" si="83">(AB39-AB$72)/AB$73</f>
        <v>0.01785524048</v>
      </c>
      <c r="AV39" s="10">
        <f t="shared" si="83"/>
        <v>0.06747085628</v>
      </c>
      <c r="AW39" s="10">
        <f t="shared" si="5"/>
        <v>-0.1038090819</v>
      </c>
      <c r="AX39" s="10">
        <f t="shared" si="6"/>
        <v>0.04269618369</v>
      </c>
      <c r="AY39" s="10">
        <f t="shared" si="7"/>
        <v>-0.135312211</v>
      </c>
      <c r="AZ39" s="10">
        <f t="shared" si="8"/>
        <v>-0.07389073905</v>
      </c>
      <c r="BA39" s="10">
        <f t="shared" si="9"/>
        <v>-0.1265231795</v>
      </c>
      <c r="BB39" s="10">
        <f t="shared" si="10"/>
        <v>-0.07647931904</v>
      </c>
      <c r="BC39" s="10">
        <f t="shared" si="11"/>
        <v>-0.1687074583</v>
      </c>
      <c r="BD39" s="10">
        <f t="shared" ref="BD39:BE39" si="84">((R39-R$72)/R$73)</f>
        <v>0.1387588038</v>
      </c>
      <c r="BE39" s="10">
        <f t="shared" si="84"/>
        <v>-0.9904234376</v>
      </c>
    </row>
    <row r="40" ht="15.75" customHeight="1">
      <c r="A40" s="9" t="s">
        <v>57</v>
      </c>
      <c r="B40" s="10">
        <f t="shared" si="3"/>
        <v>0.05397502152</v>
      </c>
      <c r="C40" s="9" t="s">
        <v>58</v>
      </c>
      <c r="D40" s="9" t="s">
        <v>59</v>
      </c>
      <c r="E40" s="11" t="s">
        <v>84</v>
      </c>
      <c r="F40" s="9" t="s">
        <v>61</v>
      </c>
      <c r="G40" s="11" t="s">
        <v>85</v>
      </c>
      <c r="H40" s="11" t="s">
        <v>72</v>
      </c>
      <c r="I40" s="12">
        <v>150.0</v>
      </c>
      <c r="J40" s="11" t="s">
        <v>64</v>
      </c>
      <c r="K40" s="9" t="s">
        <v>65</v>
      </c>
      <c r="L40" s="11" t="s">
        <v>80</v>
      </c>
      <c r="M40" s="14" t="s">
        <v>82</v>
      </c>
      <c r="N40" s="14" t="s">
        <v>74</v>
      </c>
      <c r="O40" s="14" t="s">
        <v>69</v>
      </c>
      <c r="P40" s="15" t="s">
        <v>75</v>
      </c>
      <c r="Q40" s="15" t="s">
        <v>75</v>
      </c>
      <c r="R40" s="16">
        <v>3068.06471204757</v>
      </c>
      <c r="S40" s="16">
        <v>500.266392230987</v>
      </c>
      <c r="T40" s="16">
        <v>1.81110468291815</v>
      </c>
      <c r="U40" s="16">
        <v>5.31482665000266</v>
      </c>
      <c r="V40" s="16">
        <v>2.30539078032394</v>
      </c>
      <c r="W40" s="16">
        <v>0.803298070048677</v>
      </c>
      <c r="X40" s="16">
        <v>0.0623468060548975</v>
      </c>
      <c r="Y40" s="16">
        <v>0.00624358488590796</v>
      </c>
      <c r="Z40" s="16">
        <v>0.0790163583437503</v>
      </c>
      <c r="AA40" s="16">
        <v>0.86026924266069</v>
      </c>
      <c r="AB40" s="16">
        <v>0.0621836398233193</v>
      </c>
      <c r="AC40" s="16">
        <v>0.0788338654371974</v>
      </c>
      <c r="AD40" s="16">
        <v>0.861579167370532</v>
      </c>
      <c r="AE40" s="16">
        <v>0.0746492565633857</v>
      </c>
      <c r="AF40" s="16">
        <v>0.0950133525140146</v>
      </c>
      <c r="AG40" s="16">
        <v>0.799757462374797</v>
      </c>
      <c r="AH40" s="16">
        <v>10.0</v>
      </c>
      <c r="AI40" s="16">
        <v>1.81110468291811</v>
      </c>
      <c r="AJ40" s="16">
        <v>5.31482665000266</v>
      </c>
      <c r="AK40" s="16">
        <v>2.30539078032394</v>
      </c>
      <c r="AL40" s="16">
        <v>0.80327161413925</v>
      </c>
      <c r="AM40" s="16">
        <v>1.52349917567132</v>
      </c>
      <c r="AN40" s="16">
        <v>3.73042069844704</v>
      </c>
      <c r="AO40" s="16">
        <v>1.93142970321133</v>
      </c>
      <c r="AP40" s="16">
        <v>0.861579167370532</v>
      </c>
      <c r="AQ40" s="16">
        <v>1.82890678580295</v>
      </c>
      <c r="AR40" s="16">
        <v>5.41877917786045</v>
      </c>
      <c r="AS40" s="16">
        <v>2.32782713659336</v>
      </c>
      <c r="AT40" s="16">
        <v>0.799757462374797</v>
      </c>
      <c r="AU40" s="10">
        <f t="shared" ref="AU40:AV40" si="85">(AB40-AB$72)/AB$73</f>
        <v>-0.4695445446</v>
      </c>
      <c r="AV40" s="10">
        <f t="shared" si="85"/>
        <v>-0.4487028402</v>
      </c>
      <c r="AW40" s="10">
        <f t="shared" si="5"/>
        <v>-0.7551721112</v>
      </c>
      <c r="AX40" s="10">
        <f t="shared" si="6"/>
        <v>-0.7965588209</v>
      </c>
      <c r="AY40" s="10">
        <f t="shared" si="7"/>
        <v>-0.5569323693</v>
      </c>
      <c r="AZ40" s="10">
        <f t="shared" si="8"/>
        <v>-0.5770003807</v>
      </c>
      <c r="BA40" s="10">
        <f t="shared" si="9"/>
        <v>-0.3560295754</v>
      </c>
      <c r="BB40" s="10">
        <f t="shared" si="10"/>
        <v>-0.6776680578</v>
      </c>
      <c r="BC40" s="10">
        <f t="shared" si="11"/>
        <v>-0.4930425228</v>
      </c>
      <c r="BD40" s="10">
        <f t="shared" ref="BD40:BE40" si="86">((R40-R$72)/R$73)</f>
        <v>3.085285236</v>
      </c>
      <c r="BE40" s="10">
        <f t="shared" si="86"/>
        <v>1.451640751</v>
      </c>
    </row>
    <row r="41" ht="15.75" customHeight="1">
      <c r="A41" s="9" t="s">
        <v>57</v>
      </c>
      <c r="B41" s="10">
        <f t="shared" si="3"/>
        <v>0.1038901866</v>
      </c>
      <c r="C41" s="9" t="s">
        <v>58</v>
      </c>
      <c r="D41" s="9" t="s">
        <v>59</v>
      </c>
      <c r="E41" s="11" t="s">
        <v>60</v>
      </c>
      <c r="F41" s="9" t="s">
        <v>86</v>
      </c>
      <c r="G41" s="17" t="s">
        <v>60</v>
      </c>
      <c r="H41" s="11" t="s">
        <v>72</v>
      </c>
      <c r="I41" s="12">
        <v>150.0</v>
      </c>
      <c r="J41" s="17" t="s">
        <v>83</v>
      </c>
      <c r="K41" s="9" t="s">
        <v>65</v>
      </c>
      <c r="L41" s="11" t="s">
        <v>66</v>
      </c>
      <c r="M41" s="9" t="s">
        <v>67</v>
      </c>
      <c r="N41" s="9" t="s">
        <v>68</v>
      </c>
      <c r="O41" s="9" t="s">
        <v>69</v>
      </c>
      <c r="P41" s="11" t="s">
        <v>75</v>
      </c>
      <c r="Q41" s="9"/>
      <c r="R41" s="16">
        <v>289.667145490646</v>
      </c>
      <c r="S41" s="16">
        <v>166.880414485931</v>
      </c>
      <c r="T41" s="16">
        <v>2.46461257100895</v>
      </c>
      <c r="U41" s="16">
        <v>9.4691984939222</v>
      </c>
      <c r="V41" s="16">
        <v>3.07720628069068</v>
      </c>
      <c r="W41" s="16">
        <v>0.637658428380842</v>
      </c>
      <c r="X41" s="16">
        <v>0.0932368906359137</v>
      </c>
      <c r="Y41" s="16">
        <v>0.0130196034014397</v>
      </c>
      <c r="Z41" s="16">
        <v>0.114103476728098</v>
      </c>
      <c r="AA41" s="16">
        <v>0.723169866696904</v>
      </c>
      <c r="AB41" s="16">
        <v>0.093283660142733</v>
      </c>
      <c r="AC41" s="16">
        <v>0.113864499381441</v>
      </c>
      <c r="AD41" s="16">
        <v>0.727421358241152</v>
      </c>
      <c r="AE41" s="16">
        <v>0.110242451500855</v>
      </c>
      <c r="AF41" s="16">
        <v>0.136688608149878</v>
      </c>
      <c r="AG41" s="16">
        <v>0.612664852325971</v>
      </c>
      <c r="AH41" s="16">
        <v>10.0</v>
      </c>
      <c r="AI41" s="16">
        <v>2.46461257100895</v>
      </c>
      <c r="AJ41" s="16">
        <v>9.46919849392221</v>
      </c>
      <c r="AK41" s="16">
        <v>3.07720628069068</v>
      </c>
      <c r="AL41" s="16">
        <v>0.637501683104268</v>
      </c>
      <c r="AM41" s="16">
        <v>2.17532313027291</v>
      </c>
      <c r="AN41" s="16">
        <v>7.05038903251213</v>
      </c>
      <c r="AO41" s="16">
        <v>2.65525686752</v>
      </c>
      <c r="AP41" s="16">
        <v>0.727421358241152</v>
      </c>
      <c r="AQ41" s="16">
        <v>2.57079272319355</v>
      </c>
      <c r="AR41" s="16">
        <v>10.1601715751201</v>
      </c>
      <c r="AS41" s="16">
        <v>3.18750240393951</v>
      </c>
      <c r="AT41" s="16">
        <v>0.612664852325971</v>
      </c>
      <c r="AU41" s="10">
        <f t="shared" ref="AU41:AV41" si="87">(AB41-AB$72)/AB$73</f>
        <v>0.1804731318</v>
      </c>
      <c r="AV41" s="10">
        <f t="shared" si="87"/>
        <v>0.1536959922</v>
      </c>
      <c r="AW41" s="10">
        <f t="shared" si="5"/>
        <v>0.08648619169</v>
      </c>
      <c r="AX41" s="10">
        <f t="shared" si="6"/>
        <v>0.02300141743</v>
      </c>
      <c r="AY41" s="10">
        <f t="shared" si="7"/>
        <v>0.08691486762</v>
      </c>
      <c r="AZ41" s="10">
        <f t="shared" si="8"/>
        <v>0.06017050845</v>
      </c>
      <c r="BA41" s="10">
        <f t="shared" si="9"/>
        <v>-0.08077631189</v>
      </c>
      <c r="BB41" s="10">
        <f t="shared" si="10"/>
        <v>-0.0872587056</v>
      </c>
      <c r="BC41" s="10">
        <f t="shared" si="11"/>
        <v>-0.07953762582</v>
      </c>
      <c r="BD41" s="10">
        <f t="shared" ref="BD41:BE41" si="88">((R41-R$72)/R$73)</f>
        <v>-0.4655687621</v>
      </c>
      <c r="BE41" s="10">
        <f t="shared" si="88"/>
        <v>-1.020392757</v>
      </c>
    </row>
    <row r="42" ht="15.75" customHeight="1">
      <c r="A42" s="9" t="s">
        <v>71</v>
      </c>
      <c r="B42" s="10">
        <f t="shared" si="3"/>
        <v>0.04364957014</v>
      </c>
      <c r="C42" s="9" t="s">
        <v>58</v>
      </c>
      <c r="D42" s="9" t="s">
        <v>59</v>
      </c>
      <c r="E42" s="11" t="s">
        <v>84</v>
      </c>
      <c r="F42" s="9" t="s">
        <v>86</v>
      </c>
      <c r="G42" s="17" t="s">
        <v>89</v>
      </c>
      <c r="H42" s="11" t="s">
        <v>72</v>
      </c>
      <c r="I42" s="12">
        <v>20.0</v>
      </c>
      <c r="J42" s="17" t="s">
        <v>83</v>
      </c>
      <c r="K42" s="9" t="s">
        <v>65</v>
      </c>
      <c r="L42" s="11" t="s">
        <v>80</v>
      </c>
      <c r="M42" s="9" t="s">
        <v>87</v>
      </c>
      <c r="N42" s="9" t="s">
        <v>68</v>
      </c>
      <c r="O42" s="9" t="s">
        <v>69</v>
      </c>
      <c r="P42" s="11" t="s">
        <v>78</v>
      </c>
      <c r="Q42" s="11" t="s">
        <v>70</v>
      </c>
      <c r="R42" s="16">
        <v>1031.76707935333</v>
      </c>
      <c r="S42" s="16">
        <v>456.525387525558</v>
      </c>
      <c r="T42" s="16">
        <v>2.11220919566846</v>
      </c>
      <c r="U42" s="16">
        <v>7.20460628169976</v>
      </c>
      <c r="V42" s="16">
        <v>2.68413976567908</v>
      </c>
      <c r="W42" s="16">
        <v>0.733023692263028</v>
      </c>
      <c r="X42" s="16">
        <v>0.071684691570284</v>
      </c>
      <c r="Y42" s="16">
        <v>0.00781641696592492</v>
      </c>
      <c r="Z42" s="16">
        <v>0.0884105025770407</v>
      </c>
      <c r="AA42" s="16">
        <v>0.822582795252021</v>
      </c>
      <c r="AB42" s="16">
        <v>0.0716849885530764</v>
      </c>
      <c r="AC42" s="16">
        <v>0.0881602360634795</v>
      </c>
      <c r="AD42" s="16">
        <v>0.82536001728554</v>
      </c>
      <c r="AE42" s="16">
        <v>0.0987331513194772</v>
      </c>
      <c r="AF42" s="16">
        <v>0.124990950774826</v>
      </c>
      <c r="AG42" s="16">
        <v>0.656448751620275</v>
      </c>
      <c r="AH42" s="16">
        <v>10.0</v>
      </c>
      <c r="AI42" s="16">
        <v>2.11220919566841</v>
      </c>
      <c r="AJ42" s="16">
        <v>7.20460628169976</v>
      </c>
      <c r="AK42" s="16">
        <v>2.68413976567908</v>
      </c>
      <c r="AL42" s="16">
        <v>0.732748898185527</v>
      </c>
      <c r="AM42" s="16">
        <v>1.75628221955042</v>
      </c>
      <c r="AN42" s="16">
        <v>4.66527939046673</v>
      </c>
      <c r="AO42" s="16">
        <v>2.15992578355524</v>
      </c>
      <c r="AP42" s="16">
        <v>0.82536001728554</v>
      </c>
      <c r="AQ42" s="16">
        <v>2.41896220732716</v>
      </c>
      <c r="AR42" s="16">
        <v>9.37754834980094</v>
      </c>
      <c r="AS42" s="16">
        <v>3.06227829398324</v>
      </c>
      <c r="AT42" s="16">
        <v>0.656448751620275</v>
      </c>
      <c r="AU42" s="10">
        <f t="shared" ref="AU42:AV42" si="89">(AB42-AB$72)/AB$73</f>
        <v>-0.2709580305</v>
      </c>
      <c r="AV42" s="10">
        <f t="shared" si="89"/>
        <v>-0.2883233625</v>
      </c>
      <c r="AW42" s="10">
        <f t="shared" si="5"/>
        <v>-0.08576321738</v>
      </c>
      <c r="AX42" s="10">
        <f t="shared" si="6"/>
        <v>-0.0963793596</v>
      </c>
      <c r="AY42" s="10">
        <f t="shared" si="7"/>
        <v>-0.2602790127</v>
      </c>
      <c r="AZ42" s="10">
        <f t="shared" si="8"/>
        <v>-0.2643248415</v>
      </c>
      <c r="BA42" s="10">
        <f t="shared" si="9"/>
        <v>-0.2817182899</v>
      </c>
      <c r="BB42" s="10">
        <f t="shared" si="10"/>
        <v>-0.2254278381</v>
      </c>
      <c r="BC42" s="10">
        <f t="shared" si="11"/>
        <v>-0.3171270947</v>
      </c>
      <c r="BD42" s="10">
        <f t="shared" ref="BD42:BE42" si="90">((R42-R$72)/R$73)</f>
        <v>0.4828514887</v>
      </c>
      <c r="BE42" s="10">
        <f t="shared" si="90"/>
        <v>1.127304287</v>
      </c>
    </row>
    <row r="43" ht="15.75" customHeight="1">
      <c r="A43" s="9" t="s">
        <v>71</v>
      </c>
      <c r="B43" s="10">
        <f t="shared" si="3"/>
        <v>-0.007074735161</v>
      </c>
      <c r="C43" s="9" t="s">
        <v>58</v>
      </c>
      <c r="D43" s="9" t="s">
        <v>59</v>
      </c>
      <c r="E43" s="11" t="s">
        <v>60</v>
      </c>
      <c r="F43" s="9" t="s">
        <v>61</v>
      </c>
      <c r="G43" s="17" t="s">
        <v>62</v>
      </c>
      <c r="H43" s="11" t="s">
        <v>72</v>
      </c>
      <c r="I43" s="12">
        <v>20.0</v>
      </c>
      <c r="J43" s="17" t="s">
        <v>83</v>
      </c>
      <c r="K43" s="9" t="s">
        <v>65</v>
      </c>
      <c r="L43" s="11" t="s">
        <v>80</v>
      </c>
      <c r="M43" s="9" t="s">
        <v>67</v>
      </c>
      <c r="N43" s="9" t="s">
        <v>81</v>
      </c>
      <c r="O43" s="9" t="s">
        <v>69</v>
      </c>
      <c r="P43" s="11" t="s">
        <v>70</v>
      </c>
      <c r="Q43" s="11" t="s">
        <v>75</v>
      </c>
      <c r="R43" s="16">
        <v>425.850970745086</v>
      </c>
      <c r="S43" s="16">
        <v>190.165628910064</v>
      </c>
      <c r="T43" s="16">
        <v>2.47794663351936</v>
      </c>
      <c r="U43" s="16">
        <v>9.2512514889541</v>
      </c>
      <c r="V43" s="16">
        <v>3.04158700170718</v>
      </c>
      <c r="W43" s="16">
        <v>0.647184136440698</v>
      </c>
      <c r="X43" s="16">
        <v>0.0991183293478514</v>
      </c>
      <c r="Y43" s="16">
        <v>0.0146686866909212</v>
      </c>
      <c r="Z43" s="16">
        <v>0.121114353777416</v>
      </c>
      <c r="AA43" s="16">
        <v>0.692968012237268</v>
      </c>
      <c r="AB43" s="16">
        <v>0.0989568047332293</v>
      </c>
      <c r="AC43" s="16">
        <v>0.120879045270465</v>
      </c>
      <c r="AD43" s="16">
        <v>0.695698204578695</v>
      </c>
      <c r="AE43" s="16">
        <v>0.120530014146798</v>
      </c>
      <c r="AF43" s="16">
        <v>0.14508811773463</v>
      </c>
      <c r="AG43" s="16">
        <v>0.564825414916542</v>
      </c>
      <c r="AH43" s="16">
        <v>10.0</v>
      </c>
      <c r="AI43" s="16">
        <v>2.47794663351936</v>
      </c>
      <c r="AJ43" s="16">
        <v>9.2512514889541</v>
      </c>
      <c r="AK43" s="16">
        <v>3.04158700170718</v>
      </c>
      <c r="AL43" s="16">
        <v>0.647110579376583</v>
      </c>
      <c r="AM43" s="16">
        <v>2.30761771037628</v>
      </c>
      <c r="AN43" s="16">
        <v>7.94581486284906</v>
      </c>
      <c r="AO43" s="16">
        <v>2.81883218068211</v>
      </c>
      <c r="AP43" s="16">
        <v>0.695698204578695</v>
      </c>
      <c r="AQ43" s="16">
        <v>2.81069296878438</v>
      </c>
      <c r="AR43" s="16">
        <v>11.447221661085</v>
      </c>
      <c r="AS43" s="16">
        <v>3.38337430106174</v>
      </c>
      <c r="AT43" s="16">
        <v>0.564825414916542</v>
      </c>
      <c r="AU43" s="10">
        <f t="shared" ref="AU43:AV43" si="91">(AB43-AB$72)/AB$73</f>
        <v>0.2990468249</v>
      </c>
      <c r="AV43" s="10">
        <f t="shared" si="91"/>
        <v>0.2743205365</v>
      </c>
      <c r="AW43" s="10">
        <f t="shared" si="5"/>
        <v>0.3586493685</v>
      </c>
      <c r="AX43" s="10">
        <f t="shared" si="6"/>
        <v>0.2097333438</v>
      </c>
      <c r="AY43" s="10">
        <f t="shared" si="7"/>
        <v>0.1000518159</v>
      </c>
      <c r="AZ43" s="10">
        <f t="shared" si="8"/>
        <v>0.03076507716</v>
      </c>
      <c r="BA43" s="10">
        <f t="shared" si="9"/>
        <v>-0.01568951871</v>
      </c>
      <c r="BB43" s="10">
        <f t="shared" si="10"/>
        <v>0.06370851456</v>
      </c>
      <c r="BC43" s="10">
        <f t="shared" si="11"/>
        <v>-0.1035065425</v>
      </c>
      <c r="BD43" s="10">
        <f t="shared" ref="BD43:BE43" si="92">((R43-R$72)/R$73)</f>
        <v>-0.291522799</v>
      </c>
      <c r="BE43" s="10">
        <f t="shared" si="92"/>
        <v>-0.8477345343</v>
      </c>
    </row>
    <row r="44" ht="15.75" customHeight="1">
      <c r="A44" s="9" t="s">
        <v>71</v>
      </c>
      <c r="B44" s="10">
        <f t="shared" si="3"/>
        <v>-0.0234353144</v>
      </c>
      <c r="C44" s="9" t="s">
        <v>58</v>
      </c>
      <c r="D44" s="9" t="s">
        <v>59</v>
      </c>
      <c r="E44" s="11" t="s">
        <v>60</v>
      </c>
      <c r="F44" s="9" t="s">
        <v>86</v>
      </c>
      <c r="G44" s="11" t="s">
        <v>60</v>
      </c>
      <c r="H44" s="11" t="s">
        <v>63</v>
      </c>
      <c r="I44" s="12">
        <v>150.0</v>
      </c>
      <c r="J44" s="11" t="s">
        <v>73</v>
      </c>
      <c r="K44" s="9" t="s">
        <v>65</v>
      </c>
      <c r="L44" s="11" t="s">
        <v>80</v>
      </c>
      <c r="M44" s="14" t="s">
        <v>82</v>
      </c>
      <c r="N44" s="14" t="s">
        <v>81</v>
      </c>
      <c r="O44" s="14" t="s">
        <v>69</v>
      </c>
      <c r="P44" s="15" t="s">
        <v>78</v>
      </c>
      <c r="Q44" s="15" t="s">
        <v>78</v>
      </c>
      <c r="R44" s="16">
        <v>379.280157804489</v>
      </c>
      <c r="S44" s="16">
        <v>172.466758728027</v>
      </c>
      <c r="T44" s="16">
        <v>2.58240190251149</v>
      </c>
      <c r="U44" s="16">
        <v>11.558954290386</v>
      </c>
      <c r="V44" s="16">
        <v>3.39984621569652</v>
      </c>
      <c r="W44" s="16">
        <v>0.555937163999436</v>
      </c>
      <c r="X44" s="16">
        <v>0.0828455707035777</v>
      </c>
      <c r="Y44" s="16">
        <v>0.0110845634089508</v>
      </c>
      <c r="Z44" s="16">
        <v>0.105283253221729</v>
      </c>
      <c r="AA44" s="16">
        <v>0.763321516551302</v>
      </c>
      <c r="AB44" s="16">
        <v>0.0824835595486272</v>
      </c>
      <c r="AC44" s="16">
        <v>0.104630782157014</v>
      </c>
      <c r="AD44" s="16">
        <v>0.768746419021721</v>
      </c>
      <c r="AE44" s="16">
        <v>0.117401072004671</v>
      </c>
      <c r="AF44" s="16">
        <v>0.1593889781349</v>
      </c>
      <c r="AG44" s="16">
        <v>0.475505788238531</v>
      </c>
      <c r="AH44" s="16">
        <v>10.0</v>
      </c>
      <c r="AI44" s="16">
        <v>2.58240190251149</v>
      </c>
      <c r="AJ44" s="16">
        <v>11.5589542903859</v>
      </c>
      <c r="AK44" s="16">
        <v>3.39984621569652</v>
      </c>
      <c r="AL44" s="16">
        <v>0.55545747251738</v>
      </c>
      <c r="AM44" s="16">
        <v>1.92347078447425</v>
      </c>
      <c r="AN44" s="16">
        <v>5.95326675770689</v>
      </c>
      <c r="AO44" s="16">
        <v>2.43993171168926</v>
      </c>
      <c r="AP44" s="16">
        <v>0.768746419021721</v>
      </c>
      <c r="AQ44" s="16">
        <v>2.73772777633116</v>
      </c>
      <c r="AR44" s="16">
        <v>13.8150662542153</v>
      </c>
      <c r="AS44" s="16">
        <v>3.71686242067357</v>
      </c>
      <c r="AT44" s="16">
        <v>0.475505788238531</v>
      </c>
      <c r="AU44" s="10">
        <f t="shared" ref="AU44:AV44" si="93">(AB44-AB$72)/AB$73</f>
        <v>-0.04525843432</v>
      </c>
      <c r="AV44" s="10">
        <f t="shared" si="93"/>
        <v>-0.005090185728</v>
      </c>
      <c r="AW44" s="10">
        <f t="shared" si="5"/>
        <v>0.2758714684</v>
      </c>
      <c r="AX44" s="10">
        <f t="shared" si="6"/>
        <v>0.5276599065</v>
      </c>
      <c r="AY44" s="10">
        <f t="shared" si="7"/>
        <v>0.2029629476</v>
      </c>
      <c r="AZ44" s="10">
        <f t="shared" si="8"/>
        <v>0.3265253227</v>
      </c>
      <c r="BA44" s="10">
        <f t="shared" si="9"/>
        <v>-0.1655634586</v>
      </c>
      <c r="BB44" s="10">
        <f t="shared" si="10"/>
        <v>0.3455750346</v>
      </c>
      <c r="BC44" s="10">
        <f t="shared" si="11"/>
        <v>0.1251176011</v>
      </c>
      <c r="BD44" s="10">
        <f t="shared" ref="BD44:BE44" si="94">((R44-R$72)/R$73)</f>
        <v>-0.3510413356</v>
      </c>
      <c r="BE44" s="10">
        <f t="shared" si="94"/>
        <v>-0.9789704082</v>
      </c>
    </row>
    <row r="45" ht="15.75" customHeight="1">
      <c r="A45" s="9" t="s">
        <v>57</v>
      </c>
      <c r="B45" s="10">
        <f t="shared" si="3"/>
        <v>-0.07243848318</v>
      </c>
      <c r="C45" s="9" t="s">
        <v>58</v>
      </c>
      <c r="D45" s="9" t="s">
        <v>59</v>
      </c>
      <c r="E45" s="11" t="s">
        <v>84</v>
      </c>
      <c r="F45" s="9" t="s">
        <v>86</v>
      </c>
      <c r="G45" s="17" t="s">
        <v>89</v>
      </c>
      <c r="H45" s="11" t="s">
        <v>63</v>
      </c>
      <c r="I45" s="12">
        <v>20.0</v>
      </c>
      <c r="J45" s="17" t="s">
        <v>83</v>
      </c>
      <c r="K45" s="9" t="s">
        <v>65</v>
      </c>
      <c r="L45" s="11" t="s">
        <v>66</v>
      </c>
      <c r="M45" s="9" t="s">
        <v>67</v>
      </c>
      <c r="N45" s="9" t="s">
        <v>74</v>
      </c>
      <c r="O45" s="9" t="s">
        <v>69</v>
      </c>
      <c r="P45" s="11" t="s">
        <v>78</v>
      </c>
      <c r="Q45" s="9"/>
      <c r="R45" s="16">
        <v>429.737086057662</v>
      </c>
      <c r="S45" s="16">
        <v>402.887254476547</v>
      </c>
      <c r="T45" s="16">
        <v>2.51133858684843</v>
      </c>
      <c r="U45" s="16">
        <v>9.64708632475311</v>
      </c>
      <c r="V45" s="16">
        <v>3.10597590537227</v>
      </c>
      <c r="W45" s="16">
        <v>0.641571141478529</v>
      </c>
      <c r="X45" s="16">
        <v>0.0862615987066653</v>
      </c>
      <c r="Y45" s="16">
        <v>0.0108685739297156</v>
      </c>
      <c r="Z45" s="16">
        <v>0.104252452871458</v>
      </c>
      <c r="AA45" s="16">
        <v>0.75312784747868</v>
      </c>
      <c r="AB45" s="16">
        <v>0.0861244511488195</v>
      </c>
      <c r="AC45" s="16">
        <v>0.103850788552814</v>
      </c>
      <c r="AD45" s="16">
        <v>0.757426217336472</v>
      </c>
      <c r="AE45" s="16">
        <v>0.108234225107339</v>
      </c>
      <c r="AF45" s="16">
        <v>0.136922963364192</v>
      </c>
      <c r="AG45" s="16">
        <v>0.586377842739359</v>
      </c>
      <c r="AH45" s="16">
        <v>10.0</v>
      </c>
      <c r="AI45" s="16">
        <v>2.5113385868483</v>
      </c>
      <c r="AJ45" s="16">
        <v>9.64708632475311</v>
      </c>
      <c r="AK45" s="16">
        <v>3.10597590537227</v>
      </c>
      <c r="AL45" s="16">
        <v>0.641454890357605</v>
      </c>
      <c r="AM45" s="16">
        <v>2.11004905314613</v>
      </c>
      <c r="AN45" s="16">
        <v>6.47368801639558</v>
      </c>
      <c r="AO45" s="16">
        <v>2.54434431954395</v>
      </c>
      <c r="AP45" s="16">
        <v>0.757426217336472</v>
      </c>
      <c r="AQ45" s="16">
        <v>2.65173851512967</v>
      </c>
      <c r="AR45" s="16">
        <v>11.2534257123332</v>
      </c>
      <c r="AS45" s="16">
        <v>3.35461260242271</v>
      </c>
      <c r="AT45" s="16">
        <v>0.586377842739359</v>
      </c>
      <c r="AU45" s="10">
        <f t="shared" ref="AU45:AV45" si="95">(AB45-AB$72)/AB$73</f>
        <v>0.0308393905</v>
      </c>
      <c r="AV45" s="10">
        <f t="shared" si="95"/>
        <v>-0.01850322408</v>
      </c>
      <c r="AW45" s="10">
        <f t="shared" si="5"/>
        <v>0.1783179605</v>
      </c>
      <c r="AX45" s="10">
        <f t="shared" si="6"/>
        <v>0.1823137523</v>
      </c>
      <c r="AY45" s="10">
        <f t="shared" si="7"/>
        <v>0.1329501439</v>
      </c>
      <c r="AZ45" s="10">
        <f t="shared" si="8"/>
        <v>0.08392122003</v>
      </c>
      <c r="BA45" s="10">
        <f t="shared" si="9"/>
        <v>-0.1423376585</v>
      </c>
      <c r="BB45" s="10">
        <f t="shared" si="10"/>
        <v>-0.004304620466</v>
      </c>
      <c r="BC45" s="10">
        <f t="shared" si="11"/>
        <v>-0.08939870586</v>
      </c>
      <c r="BD45" s="10">
        <f t="shared" ref="BD45:BE45" si="96">((R45-R$72)/R$73)</f>
        <v>-0.286556257</v>
      </c>
      <c r="BE45" s="10">
        <f t="shared" si="96"/>
        <v>0.7295813137</v>
      </c>
    </row>
    <row r="46" ht="15.75" customHeight="1">
      <c r="A46" s="9" t="s">
        <v>57</v>
      </c>
      <c r="B46" s="10">
        <f t="shared" si="3"/>
        <v>-0.04562705991</v>
      </c>
      <c r="C46" s="9" t="s">
        <v>58</v>
      </c>
      <c r="D46" s="9" t="s">
        <v>59</v>
      </c>
      <c r="E46" s="11" t="s">
        <v>60</v>
      </c>
      <c r="F46" s="9" t="s">
        <v>86</v>
      </c>
      <c r="G46" s="11" t="s">
        <v>60</v>
      </c>
      <c r="H46" s="11" t="s">
        <v>63</v>
      </c>
      <c r="I46" s="12">
        <v>150.0</v>
      </c>
      <c r="J46" s="11" t="s">
        <v>64</v>
      </c>
      <c r="K46" s="9" t="s">
        <v>76</v>
      </c>
      <c r="L46" s="11" t="s">
        <v>66</v>
      </c>
      <c r="M46" s="14" t="s">
        <v>82</v>
      </c>
      <c r="N46" s="14" t="s">
        <v>68</v>
      </c>
      <c r="O46" s="14" t="s">
        <v>69</v>
      </c>
      <c r="P46" s="15" t="s">
        <v>78</v>
      </c>
      <c r="Q46" s="14"/>
      <c r="R46" s="16">
        <v>219.924874782562</v>
      </c>
      <c r="S46" s="16">
        <v>162.536518096923</v>
      </c>
      <c r="T46" s="16">
        <v>2.58316064789201</v>
      </c>
      <c r="U46" s="16">
        <v>11.8962781596147</v>
      </c>
      <c r="V46" s="16">
        <v>3.44909816613194</v>
      </c>
      <c r="W46" s="16">
        <v>0.542718744583185</v>
      </c>
      <c r="X46" s="16">
        <v>0.0983913360233705</v>
      </c>
      <c r="Y46" s="16">
        <v>0.0157644671138441</v>
      </c>
      <c r="Z46" s="16">
        <v>0.125556629111505</v>
      </c>
      <c r="AA46" s="16">
        <v>0.663395838769021</v>
      </c>
      <c r="AB46" s="16">
        <v>0.0976573777433428</v>
      </c>
      <c r="AC46" s="16">
        <v>0.124589619001112</v>
      </c>
      <c r="AD46" s="16">
        <v>0.6721061747383</v>
      </c>
      <c r="AE46" s="16">
        <v>0.110696531013151</v>
      </c>
      <c r="AF46" s="16">
        <v>0.153910052077851</v>
      </c>
      <c r="AG46" s="16">
        <v>0.51094455635176</v>
      </c>
      <c r="AH46" s="16">
        <v>10.0</v>
      </c>
      <c r="AI46" s="16">
        <v>2.58316064789202</v>
      </c>
      <c r="AJ46" s="16">
        <v>11.8962781596147</v>
      </c>
      <c r="AK46" s="16">
        <v>3.44909816613194</v>
      </c>
      <c r="AL46" s="16">
        <v>0.542484430005058</v>
      </c>
      <c r="AM46" s="16">
        <v>2.27731579487601</v>
      </c>
      <c r="AN46" s="16">
        <v>8.44112078926546</v>
      </c>
      <c r="AO46" s="16">
        <v>2.90536069865093</v>
      </c>
      <c r="AP46" s="16">
        <v>0.6721061747383</v>
      </c>
      <c r="AQ46" s="16">
        <v>2.58138160515388</v>
      </c>
      <c r="AR46" s="16">
        <v>12.8816166212675</v>
      </c>
      <c r="AS46" s="16">
        <v>3.58909690887101</v>
      </c>
      <c r="AT46" s="16">
        <v>0.51094455635176</v>
      </c>
      <c r="AU46" s="10">
        <f t="shared" ref="AU46:AV46" si="97">(AB46-AB$72)/AB$73</f>
        <v>0.2718876622</v>
      </c>
      <c r="AV46" s="10">
        <f t="shared" si="97"/>
        <v>0.3381288388</v>
      </c>
      <c r="AW46" s="10">
        <f t="shared" si="5"/>
        <v>0.09849911709</v>
      </c>
      <c r="AX46" s="10">
        <f t="shared" si="6"/>
        <v>0.4058563171</v>
      </c>
      <c r="AY46" s="10">
        <f t="shared" si="7"/>
        <v>0.2037104766</v>
      </c>
      <c r="AZ46" s="10">
        <f t="shared" si="8"/>
        <v>0.3671851813</v>
      </c>
      <c r="BA46" s="10">
        <f t="shared" si="9"/>
        <v>0.0327145455</v>
      </c>
      <c r="BB46" s="10">
        <f t="shared" si="10"/>
        <v>0.2337406863</v>
      </c>
      <c r="BC46" s="10">
        <f t="shared" si="11"/>
        <v>0.1574782142</v>
      </c>
      <c r="BD46" s="10">
        <f t="shared" ref="BD46:BE46" si="98">((R46-R$72)/R$73)</f>
        <v>-0.554700938</v>
      </c>
      <c r="BE46" s="10">
        <f t="shared" si="98"/>
        <v>-1.052602442</v>
      </c>
    </row>
    <row r="47" ht="15.75" customHeight="1">
      <c r="A47" s="9" t="s">
        <v>71</v>
      </c>
      <c r="B47" s="10">
        <f t="shared" si="3"/>
        <v>-0.08515435932</v>
      </c>
      <c r="C47" s="9" t="s">
        <v>58</v>
      </c>
      <c r="D47" s="9" t="s">
        <v>59</v>
      </c>
      <c r="E47" s="11" t="s">
        <v>84</v>
      </c>
      <c r="F47" s="9" t="s">
        <v>86</v>
      </c>
      <c r="G47" s="17" t="s">
        <v>89</v>
      </c>
      <c r="H47" s="11" t="s">
        <v>63</v>
      </c>
      <c r="I47" s="12">
        <v>20.0</v>
      </c>
      <c r="J47" s="17" t="s">
        <v>79</v>
      </c>
      <c r="K47" s="9" t="s">
        <v>76</v>
      </c>
      <c r="L47" s="11" t="s">
        <v>80</v>
      </c>
      <c r="M47" s="9" t="s">
        <v>87</v>
      </c>
      <c r="N47" s="9" t="s">
        <v>74</v>
      </c>
      <c r="O47" s="9" t="s">
        <v>69</v>
      </c>
      <c r="P47" s="11" t="s">
        <v>88</v>
      </c>
      <c r="Q47" s="11" t="s">
        <v>90</v>
      </c>
      <c r="R47" s="16">
        <v>654.597395181655</v>
      </c>
      <c r="S47" s="16">
        <v>425.265865325927</v>
      </c>
      <c r="T47" s="16">
        <v>2.28537888337103</v>
      </c>
      <c r="U47" s="16">
        <v>8.36411113236668</v>
      </c>
      <c r="V47" s="16">
        <v>2.89207730400946</v>
      </c>
      <c r="W47" s="16">
        <v>0.689321126972496</v>
      </c>
      <c r="X47" s="16">
        <v>0.0932026332554662</v>
      </c>
      <c r="Y47" s="16">
        <v>0.0130261495194609</v>
      </c>
      <c r="Z47" s="16">
        <v>0.114132158130217</v>
      </c>
      <c r="AA47" s="16">
        <v>0.704120007672616</v>
      </c>
      <c r="AB47" s="16">
        <v>0.09385967472483</v>
      </c>
      <c r="AC47" s="16">
        <v>0.114463270292108</v>
      </c>
      <c r="AD47" s="16">
        <v>0.705315995318954</v>
      </c>
      <c r="AE47" s="16">
        <v>0.105208360165683</v>
      </c>
      <c r="AF47" s="16">
        <v>0.133073514140144</v>
      </c>
      <c r="AG47" s="16">
        <v>0.609308046259827</v>
      </c>
      <c r="AH47" s="16">
        <v>10.0</v>
      </c>
      <c r="AI47" s="16">
        <v>2.28537888337094</v>
      </c>
      <c r="AJ47" s="16">
        <v>8.36411113236668</v>
      </c>
      <c r="AK47" s="16">
        <v>2.89207730400946</v>
      </c>
      <c r="AL47" s="16">
        <v>0.689138145750724</v>
      </c>
      <c r="AM47" s="16">
        <v>2.29956203075825</v>
      </c>
      <c r="AN47" s="16">
        <v>7.86437960764002</v>
      </c>
      <c r="AO47" s="16">
        <v>2.80435012215665</v>
      </c>
      <c r="AP47" s="16">
        <v>0.705315995318954</v>
      </c>
      <c r="AQ47" s="16">
        <v>2.57760482405913</v>
      </c>
      <c r="AR47" s="16">
        <v>10.6295632394056</v>
      </c>
      <c r="AS47" s="16">
        <v>3.26030109643352</v>
      </c>
      <c r="AT47" s="16">
        <v>0.609308046259827</v>
      </c>
      <c r="AU47" s="10">
        <f t="shared" ref="AU47:AV47" si="99">(AB47-AB$72)/AB$73</f>
        <v>0.1925123413</v>
      </c>
      <c r="AV47" s="10">
        <f t="shared" si="99"/>
        <v>0.1639926628</v>
      </c>
      <c r="AW47" s="10">
        <f t="shared" si="5"/>
        <v>0.09421441643</v>
      </c>
      <c r="AX47" s="10">
        <f t="shared" si="6"/>
        <v>0.09240310437</v>
      </c>
      <c r="AY47" s="10">
        <f t="shared" si="7"/>
        <v>-0.08966925119</v>
      </c>
      <c r="AZ47" s="10">
        <f t="shared" si="8"/>
        <v>-0.09266238313</v>
      </c>
      <c r="BA47" s="10">
        <f t="shared" si="9"/>
        <v>-0.03542246088</v>
      </c>
      <c r="BB47" s="10">
        <f t="shared" si="10"/>
        <v>-0.07666561112</v>
      </c>
      <c r="BC47" s="10">
        <f t="shared" si="11"/>
        <v>-0.2083422289</v>
      </c>
      <c r="BD47" s="10">
        <f t="shared" ref="BD47:BE47" si="100">((R47-R$72)/R$73)</f>
        <v>0.0008202283271</v>
      </c>
      <c r="BE47" s="10">
        <f t="shared" si="100"/>
        <v>0.8955171345</v>
      </c>
    </row>
    <row r="48" ht="15.75" customHeight="1">
      <c r="A48" s="9" t="s">
        <v>57</v>
      </c>
      <c r="B48" s="10">
        <f t="shared" si="3"/>
        <v>-0.1532369589</v>
      </c>
      <c r="C48" s="9" t="s">
        <v>58</v>
      </c>
      <c r="D48" s="9" t="s">
        <v>59</v>
      </c>
      <c r="E48" s="11" t="s">
        <v>84</v>
      </c>
      <c r="F48" s="9" t="s">
        <v>86</v>
      </c>
      <c r="G48" s="17" t="s">
        <v>89</v>
      </c>
      <c r="H48" s="11" t="s">
        <v>72</v>
      </c>
      <c r="I48" s="12">
        <v>150.0</v>
      </c>
      <c r="J48" s="17" t="s">
        <v>83</v>
      </c>
      <c r="K48" s="9" t="s">
        <v>76</v>
      </c>
      <c r="L48" s="11" t="s">
        <v>66</v>
      </c>
      <c r="M48" s="9" t="s">
        <v>67</v>
      </c>
      <c r="N48" s="9" t="s">
        <v>74</v>
      </c>
      <c r="O48" s="9" t="s">
        <v>69</v>
      </c>
      <c r="P48" s="11" t="s">
        <v>88</v>
      </c>
      <c r="Q48" s="9"/>
      <c r="R48" s="16">
        <v>494.825473308563</v>
      </c>
      <c r="S48" s="16">
        <v>409.494121789932</v>
      </c>
      <c r="T48" s="16">
        <v>2.46490603072543</v>
      </c>
      <c r="U48" s="16">
        <v>10.4041696579201</v>
      </c>
      <c r="V48" s="16">
        <v>3.22554951255133</v>
      </c>
      <c r="W48" s="16">
        <v>0.614169161236833</v>
      </c>
      <c r="X48" s="16">
        <v>0.09756096829627</v>
      </c>
      <c r="Y48" s="16">
        <v>0.0150562376428009</v>
      </c>
      <c r="Z48" s="16">
        <v>0.122703861564341</v>
      </c>
      <c r="AA48" s="16">
        <v>0.658253185794451</v>
      </c>
      <c r="AB48" s="16">
        <v>0.0983384831511408</v>
      </c>
      <c r="AC48" s="16">
        <v>0.12306738244558</v>
      </c>
      <c r="AD48" s="16">
        <v>0.65968262864482</v>
      </c>
      <c r="AE48" s="16">
        <v>0.101732229388399</v>
      </c>
      <c r="AF48" s="16">
        <v>0.137724689918231</v>
      </c>
      <c r="AG48" s="16">
        <v>0.582882900187941</v>
      </c>
      <c r="AH48" s="16">
        <v>10.0</v>
      </c>
      <c r="AI48" s="16">
        <v>2.46490603072532</v>
      </c>
      <c r="AJ48" s="16">
        <v>10.4041696579201</v>
      </c>
      <c r="AK48" s="16">
        <v>3.22554951255133</v>
      </c>
      <c r="AL48" s="16">
        <v>0.614062768203363</v>
      </c>
      <c r="AM48" s="16">
        <v>2.40929283720288</v>
      </c>
      <c r="AN48" s="16">
        <v>9.09113476835955</v>
      </c>
      <c r="AO48" s="16">
        <v>3.01515086991672</v>
      </c>
      <c r="AP48" s="16">
        <v>0.65968262864482</v>
      </c>
      <c r="AQ48" s="16">
        <v>2.49243962001572</v>
      </c>
      <c r="AR48" s="16">
        <v>11.3855961503971</v>
      </c>
      <c r="AS48" s="16">
        <v>3.37425490299668</v>
      </c>
      <c r="AT48" s="16">
        <v>0.582882900187941</v>
      </c>
      <c r="AU48" s="10">
        <f t="shared" ref="AU48:AV48" si="101">(AB48-AB$72)/AB$73</f>
        <v>0.286123362</v>
      </c>
      <c r="AV48" s="10">
        <f t="shared" si="101"/>
        <v>0.3119519353</v>
      </c>
      <c r="AW48" s="10">
        <f t="shared" si="5"/>
        <v>-0.002404211165</v>
      </c>
      <c r="AX48" s="10">
        <f t="shared" si="6"/>
        <v>0.2010394842</v>
      </c>
      <c r="AY48" s="10">
        <f t="shared" si="7"/>
        <v>0.0872039892</v>
      </c>
      <c r="AZ48" s="10">
        <f t="shared" si="8"/>
        <v>0.182634995</v>
      </c>
      <c r="BA48" s="10">
        <f t="shared" si="9"/>
        <v>0.0582040912</v>
      </c>
      <c r="BB48" s="10">
        <f t="shared" si="10"/>
        <v>0.00672439221</v>
      </c>
      <c r="BC48" s="10">
        <f t="shared" si="11"/>
        <v>-0.02107041146</v>
      </c>
      <c r="BD48" s="10">
        <f t="shared" ref="BD48:BE48" si="102">((R48-R$72)/R$73)</f>
        <v>-0.2033718478</v>
      </c>
      <c r="BE48" s="10">
        <f t="shared" si="102"/>
        <v>0.7785707687</v>
      </c>
    </row>
    <row r="49" ht="15.75" customHeight="1">
      <c r="A49" s="9" t="s">
        <v>71</v>
      </c>
      <c r="B49" s="10">
        <f t="shared" si="3"/>
        <v>-0.1521759685</v>
      </c>
      <c r="C49" s="9" t="s">
        <v>58</v>
      </c>
      <c r="D49" s="9" t="s">
        <v>59</v>
      </c>
      <c r="E49" s="11" t="s">
        <v>60</v>
      </c>
      <c r="F49" s="9" t="s">
        <v>86</v>
      </c>
      <c r="G49" s="11" t="s">
        <v>60</v>
      </c>
      <c r="H49" s="11" t="s">
        <v>72</v>
      </c>
      <c r="I49" s="12">
        <v>150.0</v>
      </c>
      <c r="J49" s="11" t="s">
        <v>73</v>
      </c>
      <c r="K49" s="9" t="s">
        <v>76</v>
      </c>
      <c r="L49" s="11" t="s">
        <v>66</v>
      </c>
      <c r="M49" s="13" t="s">
        <v>67</v>
      </c>
      <c r="N49" s="13" t="s">
        <v>68</v>
      </c>
      <c r="O49" s="14" t="s">
        <v>69</v>
      </c>
      <c r="P49" s="15" t="s">
        <v>88</v>
      </c>
      <c r="Q49" s="14"/>
      <c r="R49" s="16">
        <v>471.750284433364</v>
      </c>
      <c r="S49" s="16">
        <v>165.204228639602</v>
      </c>
      <c r="T49" s="16">
        <v>2.75289642440597</v>
      </c>
      <c r="U49" s="16">
        <v>12.9259249654595</v>
      </c>
      <c r="V49" s="16">
        <v>3.59526424139583</v>
      </c>
      <c r="W49" s="16">
        <v>0.505329130963248</v>
      </c>
      <c r="X49" s="16">
        <v>0.102940263471472</v>
      </c>
      <c r="Y49" s="16">
        <v>0.0164541789752556</v>
      </c>
      <c r="Z49" s="16">
        <v>0.128273843690971</v>
      </c>
      <c r="AA49" s="16">
        <v>0.65014198830286</v>
      </c>
      <c r="AB49" s="16">
        <v>0.102719177833784</v>
      </c>
      <c r="AC49" s="16">
        <v>0.127651563668076</v>
      </c>
      <c r="AD49" s="16">
        <v>0.657415729207322</v>
      </c>
      <c r="AE49" s="16">
        <v>0.116516218532733</v>
      </c>
      <c r="AF49" s="16">
        <v>0.156273274985553</v>
      </c>
      <c r="AG49" s="16">
        <v>0.493718926335934</v>
      </c>
      <c r="AH49" s="16">
        <v>10.0</v>
      </c>
      <c r="AI49" s="16">
        <v>2.75289642440597</v>
      </c>
      <c r="AJ49" s="16">
        <v>12.9259249654595</v>
      </c>
      <c r="AK49" s="16">
        <v>3.59526424139583</v>
      </c>
      <c r="AL49" s="16">
        <v>0.505171842441885</v>
      </c>
      <c r="AM49" s="16">
        <v>2.39535416087395</v>
      </c>
      <c r="AN49" s="16">
        <v>8.86112121596359</v>
      </c>
      <c r="AO49" s="16">
        <v>2.97676354720417</v>
      </c>
      <c r="AP49" s="16">
        <v>0.657415729207322</v>
      </c>
      <c r="AQ49" s="16">
        <v>2.71709348495081</v>
      </c>
      <c r="AR49" s="16">
        <v>13.280237036459</v>
      </c>
      <c r="AS49" s="16">
        <v>3.64420595417699</v>
      </c>
      <c r="AT49" s="16">
        <v>0.493718926335934</v>
      </c>
      <c r="AU49" s="10">
        <f t="shared" ref="AU49:AV49" si="103">(AB49-AB$72)/AB$73</f>
        <v>0.3776837195</v>
      </c>
      <c r="AV49" s="10">
        <f t="shared" si="103"/>
        <v>0.3907830927</v>
      </c>
      <c r="AW49" s="10">
        <f t="shared" si="5"/>
        <v>0.2524621789</v>
      </c>
      <c r="AX49" s="10">
        <f t="shared" si="6"/>
        <v>0.4583938088</v>
      </c>
      <c r="AY49" s="10">
        <f t="shared" si="7"/>
        <v>0.3709370896</v>
      </c>
      <c r="AZ49" s="10">
        <f t="shared" si="8"/>
        <v>0.4878523201</v>
      </c>
      <c r="BA49" s="10">
        <f t="shared" si="9"/>
        <v>0.06285511728</v>
      </c>
      <c r="BB49" s="10">
        <f t="shared" si="10"/>
        <v>0.2880997177</v>
      </c>
      <c r="BC49" s="10">
        <f t="shared" si="11"/>
        <v>0.2505526191</v>
      </c>
      <c r="BD49" s="10">
        <f t="shared" ref="BD49:BE49" si="104">((R49-R$72)/R$73)</f>
        <v>-0.2328624534</v>
      </c>
      <c r="BE49" s="10">
        <f t="shared" si="104"/>
        <v>-1.032821557</v>
      </c>
    </row>
    <row r="50" ht="15.75" customHeight="1">
      <c r="A50" s="9" t="s">
        <v>71</v>
      </c>
      <c r="B50" s="10">
        <f t="shared" si="3"/>
        <v>-0.2329302575</v>
      </c>
      <c r="C50" s="9" t="s">
        <v>58</v>
      </c>
      <c r="D50" s="9" t="s">
        <v>59</v>
      </c>
      <c r="E50" s="11" t="s">
        <v>84</v>
      </c>
      <c r="F50" s="9" t="s">
        <v>86</v>
      </c>
      <c r="G50" s="17" t="s">
        <v>89</v>
      </c>
      <c r="H50" s="11" t="s">
        <v>72</v>
      </c>
      <c r="I50" s="12">
        <v>20.0</v>
      </c>
      <c r="J50" s="17" t="s">
        <v>79</v>
      </c>
      <c r="K50" s="9" t="s">
        <v>65</v>
      </c>
      <c r="L50" s="11" t="s">
        <v>80</v>
      </c>
      <c r="M50" s="9" t="s">
        <v>67</v>
      </c>
      <c r="N50" s="9" t="s">
        <v>74</v>
      </c>
      <c r="O50" s="9" t="s">
        <v>69</v>
      </c>
      <c r="P50" s="11" t="s">
        <v>75</v>
      </c>
      <c r="Q50" s="11" t="s">
        <v>78</v>
      </c>
      <c r="R50" s="16">
        <v>3419.15184283256</v>
      </c>
      <c r="S50" s="16">
        <v>468.111183643341</v>
      </c>
      <c r="T50" s="16">
        <v>2.12050764972641</v>
      </c>
      <c r="U50" s="16">
        <v>7.6630321111735</v>
      </c>
      <c r="V50" s="16">
        <v>2.76821821957256</v>
      </c>
      <c r="W50" s="16">
        <v>0.715924799485917</v>
      </c>
      <c r="X50" s="16">
        <v>0.0736716333130717</v>
      </c>
      <c r="Y50" s="16">
        <v>0.00901046469521769</v>
      </c>
      <c r="Z50" s="16">
        <v>0.0949234675684453</v>
      </c>
      <c r="AA50" s="16">
        <v>0.795480273547982</v>
      </c>
      <c r="AB50" s="16">
        <v>0.0730009239442815</v>
      </c>
      <c r="AC50" s="16">
        <v>0.0941503100244252</v>
      </c>
      <c r="AD50" s="16">
        <v>0.800821847472257</v>
      </c>
      <c r="AE50" s="16">
        <v>0.0911968155626812</v>
      </c>
      <c r="AF50" s="16">
        <v>0.120383981339707</v>
      </c>
      <c r="AG50" s="16">
        <v>0.681307537358665</v>
      </c>
      <c r="AH50" s="16">
        <v>10.0</v>
      </c>
      <c r="AI50" s="16">
        <v>2.12050764972636</v>
      </c>
      <c r="AJ50" s="16">
        <v>7.6630321111735</v>
      </c>
      <c r="AK50" s="16">
        <v>2.76821821957256</v>
      </c>
      <c r="AL50" s="16">
        <v>0.715743831810385</v>
      </c>
      <c r="AM50" s="16">
        <v>1.78852263663492</v>
      </c>
      <c r="AN50" s="16">
        <v>5.32078459683667</v>
      </c>
      <c r="AO50" s="16">
        <v>2.30668259559842</v>
      </c>
      <c r="AP50" s="16">
        <v>0.800821847472257</v>
      </c>
      <c r="AQ50" s="16">
        <v>2.23432198128568</v>
      </c>
      <c r="AR50" s="16">
        <v>8.69900485366019</v>
      </c>
      <c r="AS50" s="16">
        <v>2.94940754282282</v>
      </c>
      <c r="AT50" s="16">
        <v>0.681307537358665</v>
      </c>
      <c r="AU50" s="10">
        <f t="shared" ref="AU50:AV50" si="105">(AB50-AB$72)/AB$73</f>
        <v>-0.2434538277</v>
      </c>
      <c r="AV50" s="10">
        <f t="shared" si="105"/>
        <v>-0.18531599</v>
      </c>
      <c r="AW50" s="10">
        <f t="shared" si="5"/>
        <v>-0.2952347432</v>
      </c>
      <c r="AX50" s="10">
        <f t="shared" si="6"/>
        <v>-0.2039832226</v>
      </c>
      <c r="AY50" s="10">
        <f t="shared" si="7"/>
        <v>-0.2521032327</v>
      </c>
      <c r="AZ50" s="10">
        <f t="shared" si="8"/>
        <v>-0.1949140261</v>
      </c>
      <c r="BA50" s="10">
        <f t="shared" si="9"/>
        <v>-0.2313730184</v>
      </c>
      <c r="BB50" s="10">
        <f t="shared" si="10"/>
        <v>-0.303874868</v>
      </c>
      <c r="BC50" s="10">
        <f t="shared" si="11"/>
        <v>-0.2747087973</v>
      </c>
      <c r="BD50" s="10">
        <f t="shared" ref="BD50:BE50" si="106">((R50-R$72)/R$73)</f>
        <v>3.533982412</v>
      </c>
      <c r="BE50" s="10">
        <f t="shared" si="106"/>
        <v>1.213212147</v>
      </c>
    </row>
    <row r="51" ht="15.75" customHeight="1">
      <c r="A51" s="9" t="s">
        <v>71</v>
      </c>
      <c r="B51" s="10">
        <f t="shared" si="3"/>
        <v>-0.2109766756</v>
      </c>
      <c r="C51" s="9" t="s">
        <v>58</v>
      </c>
      <c r="D51" s="9" t="s">
        <v>59</v>
      </c>
      <c r="E51" s="11" t="s">
        <v>84</v>
      </c>
      <c r="F51" s="9" t="s">
        <v>61</v>
      </c>
      <c r="G51" s="17" t="s">
        <v>85</v>
      </c>
      <c r="H51" s="11" t="s">
        <v>63</v>
      </c>
      <c r="I51" s="12">
        <v>20.0</v>
      </c>
      <c r="J51" s="17" t="s">
        <v>79</v>
      </c>
      <c r="K51" s="9" t="s">
        <v>65</v>
      </c>
      <c r="L51" s="11" t="s">
        <v>80</v>
      </c>
      <c r="M51" s="9" t="s">
        <v>67</v>
      </c>
      <c r="N51" s="9" t="s">
        <v>74</v>
      </c>
      <c r="O51" s="9" t="s">
        <v>69</v>
      </c>
      <c r="P51" s="11" t="s">
        <v>73</v>
      </c>
      <c r="Q51" s="11" t="s">
        <v>75</v>
      </c>
      <c r="R51" s="16">
        <v>783.675652742385</v>
      </c>
      <c r="S51" s="16">
        <v>463.602841138839</v>
      </c>
      <c r="T51" s="16">
        <v>2.34054302181419</v>
      </c>
      <c r="U51" s="16">
        <v>8.88192327028723</v>
      </c>
      <c r="V51" s="16">
        <v>2.98025557130378</v>
      </c>
      <c r="W51" s="16">
        <v>0.670962374027632</v>
      </c>
      <c r="X51" s="16">
        <v>0.105243194756094</v>
      </c>
      <c r="Y51" s="16">
        <v>0.016057914735992</v>
      </c>
      <c r="Z51" s="16">
        <v>0.126719827714498</v>
      </c>
      <c r="AA51" s="16">
        <v>0.640237151334567</v>
      </c>
      <c r="AB51" s="16">
        <v>0.105803473200268</v>
      </c>
      <c r="AC51" s="16">
        <v>0.127264964726494</v>
      </c>
      <c r="AD51" s="16">
        <v>0.638840008711316</v>
      </c>
      <c r="AE51" s="16">
        <v>0.105929331758227</v>
      </c>
      <c r="AF51" s="16">
        <v>0.13612624487881</v>
      </c>
      <c r="AG51" s="16">
        <v>0.588796176321303</v>
      </c>
      <c r="AH51" s="16">
        <v>10.0</v>
      </c>
      <c r="AI51" s="16">
        <v>2.34054302181411</v>
      </c>
      <c r="AJ51" s="16">
        <v>8.88192327028724</v>
      </c>
      <c r="AK51" s="16">
        <v>2.98025557130378</v>
      </c>
      <c r="AL51" s="16">
        <v>0.67092487995042</v>
      </c>
      <c r="AM51" s="16">
        <v>2.59218509340645</v>
      </c>
      <c r="AN51" s="16">
        <v>9.72187184091314</v>
      </c>
      <c r="AO51" s="16">
        <v>3.1179916357991</v>
      </c>
      <c r="AP51" s="16">
        <v>0.638840008711316</v>
      </c>
      <c r="AQ51" s="16">
        <v>2.59526862807645</v>
      </c>
      <c r="AR51" s="16">
        <v>11.1228453155197</v>
      </c>
      <c r="AS51" s="16">
        <v>3.33509299953086</v>
      </c>
      <c r="AT51" s="16">
        <v>0.588796176321303</v>
      </c>
      <c r="AU51" s="10">
        <f t="shared" ref="AU51:AV51" si="107">(AB51-AB$72)/AB$73</f>
        <v>0.4421481954</v>
      </c>
      <c r="AV51" s="10">
        <f t="shared" si="107"/>
        <v>0.3841350043</v>
      </c>
      <c r="AW51" s="10">
        <f t="shared" si="5"/>
        <v>0.1142537332</v>
      </c>
      <c r="AX51" s="10">
        <f t="shared" si="6"/>
        <v>0.1637049927</v>
      </c>
      <c r="AY51" s="10">
        <f t="shared" si="7"/>
        <v>-0.03532059104</v>
      </c>
      <c r="AZ51" s="10">
        <f t="shared" si="8"/>
        <v>-0.01986697418</v>
      </c>
      <c r="BA51" s="10">
        <f t="shared" si="9"/>
        <v>0.1009671565</v>
      </c>
      <c r="BB51" s="10">
        <f t="shared" si="10"/>
        <v>-0.0119361713</v>
      </c>
      <c r="BC51" s="10">
        <f t="shared" si="11"/>
        <v>-0.1629101379</v>
      </c>
      <c r="BD51" s="10">
        <f t="shared" ref="BD51:BE51" si="108">((R51-R$72)/R$73)</f>
        <v>0.1657851176</v>
      </c>
      <c r="BE51" s="10">
        <f t="shared" si="108"/>
        <v>1.179783106</v>
      </c>
    </row>
    <row r="52" ht="15.75" customHeight="1">
      <c r="A52" s="9" t="s">
        <v>71</v>
      </c>
      <c r="B52" s="10">
        <f t="shared" si="3"/>
        <v>-0.3465224735</v>
      </c>
      <c r="C52" s="9" t="s">
        <v>58</v>
      </c>
      <c r="D52" s="9" t="s">
        <v>59</v>
      </c>
      <c r="E52" s="11" t="s">
        <v>84</v>
      </c>
      <c r="F52" s="9" t="s">
        <v>86</v>
      </c>
      <c r="G52" s="11" t="s">
        <v>89</v>
      </c>
      <c r="H52" s="11" t="s">
        <v>72</v>
      </c>
      <c r="I52" s="12">
        <v>150.0</v>
      </c>
      <c r="J52" s="11" t="s">
        <v>64</v>
      </c>
      <c r="K52" s="9" t="s">
        <v>65</v>
      </c>
      <c r="L52" s="11" t="s">
        <v>80</v>
      </c>
      <c r="M52" s="13" t="s">
        <v>67</v>
      </c>
      <c r="N52" s="13" t="s">
        <v>74</v>
      </c>
      <c r="O52" s="14" t="s">
        <v>69</v>
      </c>
      <c r="P52" s="15" t="s">
        <v>75</v>
      </c>
      <c r="Q52" s="15" t="s">
        <v>75</v>
      </c>
      <c r="R52" s="16">
        <v>3339.36573553085</v>
      </c>
      <c r="S52" s="16">
        <v>490.373898744583</v>
      </c>
      <c r="T52" s="16">
        <v>2.34990639697905</v>
      </c>
      <c r="U52" s="16">
        <v>9.83449432883098</v>
      </c>
      <c r="V52" s="16">
        <v>3.13599973355084</v>
      </c>
      <c r="W52" s="16">
        <v>0.636162707305723</v>
      </c>
      <c r="X52" s="16">
        <v>0.0333733952171905</v>
      </c>
      <c r="Y52" s="16">
        <v>0.0018396674654189</v>
      </c>
      <c r="Z52" s="16">
        <v>0.0428913448777128</v>
      </c>
      <c r="AA52" s="16">
        <v>0.958243187280913</v>
      </c>
      <c r="AB52" s="16">
        <v>0.0330702223283427</v>
      </c>
      <c r="AC52" s="16">
        <v>0.0426097708756065</v>
      </c>
      <c r="AD52" s="16">
        <v>0.959204093413079</v>
      </c>
      <c r="AE52" s="16">
        <v>0.119865273751864</v>
      </c>
      <c r="AF52" s="16">
        <v>0.160191765046991</v>
      </c>
      <c r="AG52" s="16">
        <v>0.435693879161066</v>
      </c>
      <c r="AH52" s="16">
        <v>10.0</v>
      </c>
      <c r="AI52" s="16">
        <v>2.34990639697896</v>
      </c>
      <c r="AJ52" s="16">
        <v>9.83449432883099</v>
      </c>
      <c r="AK52" s="16">
        <v>3.13599973355084</v>
      </c>
      <c r="AL52" s="16">
        <v>0.635194576580223</v>
      </c>
      <c r="AM52" s="16">
        <v>0.810220447044395</v>
      </c>
      <c r="AN52" s="16">
        <v>1.08980944258653</v>
      </c>
      <c r="AO52" s="16">
        <v>1.04393938645236</v>
      </c>
      <c r="AP52" s="16">
        <v>0.959204093413079</v>
      </c>
      <c r="AQ52" s="16">
        <v>2.93669920692046</v>
      </c>
      <c r="AR52" s="16">
        <v>15.4032563037195</v>
      </c>
      <c r="AS52" s="16">
        <v>3.92469824365129</v>
      </c>
      <c r="AT52" s="16">
        <v>0.435693879161066</v>
      </c>
      <c r="AU52" s="10">
        <f t="shared" ref="AU52:AV52" si="109">(AB52-AB$72)/AB$73</f>
        <v>-1.078040481</v>
      </c>
      <c r="AV52" s="10">
        <f t="shared" si="109"/>
        <v>-1.071624832</v>
      </c>
      <c r="AW52" s="10">
        <f t="shared" si="5"/>
        <v>0.5016015276</v>
      </c>
      <c r="AX52" s="10">
        <f t="shared" si="6"/>
        <v>0.725797486</v>
      </c>
      <c r="AY52" s="10">
        <f t="shared" si="7"/>
        <v>-0.02609563241</v>
      </c>
      <c r="AZ52" s="10">
        <f t="shared" si="8"/>
        <v>0.108707337</v>
      </c>
      <c r="BA52" s="10">
        <f t="shared" si="9"/>
        <v>-0.5563278635</v>
      </c>
      <c r="BB52" s="10">
        <f t="shared" si="10"/>
        <v>0.471209732</v>
      </c>
      <c r="BC52" s="10">
        <f t="shared" si="11"/>
        <v>-0.07378266266</v>
      </c>
      <c r="BD52" s="10">
        <f t="shared" ref="BD52:BE52" si="110">((R52-R$72)/R$73)</f>
        <v>3.432013989</v>
      </c>
      <c r="BE52" s="10">
        <f t="shared" si="110"/>
        <v>1.37828861</v>
      </c>
    </row>
    <row r="53" ht="15.75" customHeight="1">
      <c r="A53" s="9" t="s">
        <v>57</v>
      </c>
      <c r="B53" s="10">
        <f t="shared" si="3"/>
        <v>-0.3159588287</v>
      </c>
      <c r="C53" s="9" t="s">
        <v>58</v>
      </c>
      <c r="D53" s="9" t="s">
        <v>59</v>
      </c>
      <c r="E53" s="11" t="s">
        <v>84</v>
      </c>
      <c r="F53" s="9" t="s">
        <v>86</v>
      </c>
      <c r="G53" s="11" t="s">
        <v>89</v>
      </c>
      <c r="H53" s="11" t="s">
        <v>63</v>
      </c>
      <c r="I53" s="12">
        <v>150.0</v>
      </c>
      <c r="J53" s="11" t="s">
        <v>73</v>
      </c>
      <c r="K53" s="9" t="s">
        <v>65</v>
      </c>
      <c r="L53" s="11" t="s">
        <v>80</v>
      </c>
      <c r="M53" s="14" t="s">
        <v>67</v>
      </c>
      <c r="N53" s="14" t="s">
        <v>68</v>
      </c>
      <c r="O53" s="14" t="s">
        <v>69</v>
      </c>
      <c r="P53" s="15" t="s">
        <v>75</v>
      </c>
      <c r="Q53" s="15" t="s">
        <v>70</v>
      </c>
      <c r="R53" s="16">
        <v>1306.28808426857</v>
      </c>
      <c r="S53" s="16">
        <v>430.070690631866</v>
      </c>
      <c r="T53" s="16">
        <v>2.45549909996353</v>
      </c>
      <c r="U53" s="16">
        <v>10.8347212593642</v>
      </c>
      <c r="V53" s="16">
        <v>3.29161377736882</v>
      </c>
      <c r="W53" s="16">
        <v>0.597854397639163</v>
      </c>
      <c r="X53" s="16">
        <v>0.0800382891130895</v>
      </c>
      <c r="Y53" s="16">
        <v>0.0104234357713041</v>
      </c>
      <c r="Z53" s="16">
        <v>0.102095228935068</v>
      </c>
      <c r="AA53" s="16">
        <v>0.763238853397863</v>
      </c>
      <c r="AB53" s="16">
        <v>0.0787115682423386</v>
      </c>
      <c r="AC53" s="16">
        <v>0.101116016355569</v>
      </c>
      <c r="AD53" s="16">
        <v>0.770033716580557</v>
      </c>
      <c r="AE53" s="16">
        <v>0.120991411481429</v>
      </c>
      <c r="AF53" s="16">
        <v>0.160125937847713</v>
      </c>
      <c r="AG53" s="16">
        <v>0.434315096892003</v>
      </c>
      <c r="AH53" s="16">
        <v>10.0</v>
      </c>
      <c r="AI53" s="16">
        <v>2.45549909996342</v>
      </c>
      <c r="AJ53" s="16">
        <v>10.8347212593642</v>
      </c>
      <c r="AK53" s="16">
        <v>3.29161377736882</v>
      </c>
      <c r="AL53" s="16">
        <v>0.597315065802218</v>
      </c>
      <c r="AM53" s="16">
        <v>1.92843342193724</v>
      </c>
      <c r="AN53" s="16">
        <v>6.13722537036283</v>
      </c>
      <c r="AO53" s="16">
        <v>2.47734240071146</v>
      </c>
      <c r="AP53" s="16">
        <v>0.770033716580557</v>
      </c>
      <c r="AQ53" s="16">
        <v>2.96428958129487</v>
      </c>
      <c r="AR53" s="16">
        <v>15.3905996619587</v>
      </c>
      <c r="AS53" s="16">
        <v>3.92308547726898</v>
      </c>
      <c r="AT53" s="16">
        <v>0.434315096892003</v>
      </c>
      <c r="AU53" s="10">
        <f t="shared" ref="AU53:AV53" si="111">(AB53-AB$72)/AB$73</f>
        <v>-0.1240963579</v>
      </c>
      <c r="AV53" s="10">
        <f t="shared" si="111"/>
        <v>-0.06553130759</v>
      </c>
      <c r="AW53" s="10">
        <f t="shared" si="5"/>
        <v>0.5329023874</v>
      </c>
      <c r="AX53" s="10">
        <f t="shared" si="6"/>
        <v>0.7242599761</v>
      </c>
      <c r="AY53" s="10">
        <f t="shared" si="7"/>
        <v>0.07793611885</v>
      </c>
      <c r="AZ53" s="10">
        <f t="shared" si="8"/>
        <v>0.2371742292</v>
      </c>
      <c r="BA53" s="10">
        <f t="shared" si="9"/>
        <v>-0.1682046232</v>
      </c>
      <c r="BB53" s="10">
        <f t="shared" si="10"/>
        <v>0.4755607641</v>
      </c>
      <c r="BC53" s="10">
        <f t="shared" si="11"/>
        <v>0.02070590414</v>
      </c>
      <c r="BD53" s="10">
        <f t="shared" ref="BD53:BE53" si="112">((R53-R$72)/R$73)</f>
        <v>0.8336954498</v>
      </c>
      <c r="BE53" s="10">
        <f t="shared" si="112"/>
        <v>0.9311445752</v>
      </c>
    </row>
    <row r="54" ht="15.75" customHeight="1">
      <c r="A54" s="9" t="s">
        <v>71</v>
      </c>
      <c r="B54" s="10">
        <f t="shared" si="3"/>
        <v>-0.3059465739</v>
      </c>
      <c r="C54" s="9" t="s">
        <v>58</v>
      </c>
      <c r="D54" s="9" t="s">
        <v>59</v>
      </c>
      <c r="E54" s="11" t="s">
        <v>84</v>
      </c>
      <c r="F54" s="9" t="s">
        <v>86</v>
      </c>
      <c r="G54" s="11" t="s">
        <v>89</v>
      </c>
      <c r="H54" s="11" t="s">
        <v>63</v>
      </c>
      <c r="I54" s="12">
        <v>150.0</v>
      </c>
      <c r="J54" s="11" t="s">
        <v>64</v>
      </c>
      <c r="K54" s="9" t="s">
        <v>76</v>
      </c>
      <c r="L54" s="11" t="s">
        <v>80</v>
      </c>
      <c r="M54" s="14" t="s">
        <v>87</v>
      </c>
      <c r="N54" s="14" t="s">
        <v>68</v>
      </c>
      <c r="O54" s="14" t="s">
        <v>69</v>
      </c>
      <c r="P54" s="15" t="s">
        <v>90</v>
      </c>
      <c r="Q54" s="15" t="s">
        <v>78</v>
      </c>
      <c r="R54" s="16">
        <v>486.499375343322</v>
      </c>
      <c r="S54" s="16">
        <v>426.429473400115</v>
      </c>
      <c r="T54" s="16">
        <v>2.70133382651244</v>
      </c>
      <c r="U54" s="16">
        <v>11.6301429926127</v>
      </c>
      <c r="V54" s="16">
        <v>3.41029954587757</v>
      </c>
      <c r="W54" s="16">
        <v>0.568201504123001</v>
      </c>
      <c r="X54" s="16">
        <v>0.0925429222389792</v>
      </c>
      <c r="Y54" s="16">
        <v>0.0131510707725719</v>
      </c>
      <c r="Z54" s="16">
        <v>0.114678118107038</v>
      </c>
      <c r="AA54" s="16">
        <v>0.701282507661059</v>
      </c>
      <c r="AB54" s="16">
        <v>0.0918034157652344</v>
      </c>
      <c r="AC54" s="16">
        <v>0.113790651171309</v>
      </c>
      <c r="AD54" s="16">
        <v>0.708769115710342</v>
      </c>
      <c r="AE54" s="16">
        <v>0.123433477087389</v>
      </c>
      <c r="AF54" s="16">
        <v>0.157166155332266</v>
      </c>
      <c r="AG54" s="16">
        <v>0.455034167278878</v>
      </c>
      <c r="AH54" s="16">
        <v>10.0</v>
      </c>
      <c r="AI54" s="16">
        <v>2.70133382651231</v>
      </c>
      <c r="AJ54" s="16">
        <v>11.6301429926127</v>
      </c>
      <c r="AK54" s="16">
        <v>3.41029954587757</v>
      </c>
      <c r="AL54" s="16">
        <v>0.567752298044272</v>
      </c>
      <c r="AM54" s="16">
        <v>2.24918368624818</v>
      </c>
      <c r="AN54" s="16">
        <v>7.7722244544679</v>
      </c>
      <c r="AO54" s="16">
        <v>2.78787095369708</v>
      </c>
      <c r="AP54" s="16">
        <v>0.708769115710342</v>
      </c>
      <c r="AQ54" s="16">
        <v>3.02412018864084</v>
      </c>
      <c r="AR54" s="16">
        <v>14.826895529251</v>
      </c>
      <c r="AS54" s="16">
        <v>3.85057080564051</v>
      </c>
      <c r="AT54" s="16">
        <v>0.455034167278878</v>
      </c>
      <c r="AU54" s="10">
        <f t="shared" ref="AU54:AV54" si="113">(AB54-AB$72)/AB$73</f>
        <v>0.1495347272</v>
      </c>
      <c r="AV54" s="10">
        <f t="shared" si="113"/>
        <v>0.152426073</v>
      </c>
      <c r="AW54" s="10">
        <f t="shared" si="5"/>
        <v>0.6007793006</v>
      </c>
      <c r="AX54" s="10">
        <f t="shared" si="6"/>
        <v>0.6551290568</v>
      </c>
      <c r="AY54" s="10">
        <f t="shared" si="7"/>
        <v>0.3201367293</v>
      </c>
      <c r="AZ54" s="10">
        <f t="shared" si="8"/>
        <v>0.3351550506</v>
      </c>
      <c r="BA54" s="10">
        <f t="shared" si="9"/>
        <v>-0.0425072714</v>
      </c>
      <c r="BB54" s="10">
        <f t="shared" si="10"/>
        <v>0.4101774605</v>
      </c>
      <c r="BC54" s="10">
        <f t="shared" si="11"/>
        <v>0.09444876668</v>
      </c>
      <c r="BD54" s="10">
        <f t="shared" ref="BD54:BE54" si="114">((R54-R$72)/R$73)</f>
        <v>-0.2140127865</v>
      </c>
      <c r="BE54" s="10">
        <f t="shared" si="114"/>
        <v>0.9041452063</v>
      </c>
    </row>
    <row r="55" ht="15.75" customHeight="1">
      <c r="A55" s="9" t="s">
        <v>57</v>
      </c>
      <c r="B55" s="10">
        <f t="shared" si="3"/>
        <v>-0.4843688694</v>
      </c>
      <c r="C55" s="9" t="s">
        <v>58</v>
      </c>
      <c r="D55" s="9" t="s">
        <v>59</v>
      </c>
      <c r="E55" s="11" t="s">
        <v>84</v>
      </c>
      <c r="F55" s="9" t="s">
        <v>86</v>
      </c>
      <c r="G55" s="11" t="s">
        <v>89</v>
      </c>
      <c r="H55" s="11" t="s">
        <v>72</v>
      </c>
      <c r="I55" s="12">
        <v>150.0</v>
      </c>
      <c r="J55" s="11" t="s">
        <v>73</v>
      </c>
      <c r="K55" s="9" t="s">
        <v>76</v>
      </c>
      <c r="L55" s="11" t="s">
        <v>66</v>
      </c>
      <c r="M55" s="14" t="s">
        <v>67</v>
      </c>
      <c r="N55" s="14" t="s">
        <v>74</v>
      </c>
      <c r="O55" s="14" t="s">
        <v>69</v>
      </c>
      <c r="P55" s="15" t="s">
        <v>78</v>
      </c>
      <c r="Q55" s="14"/>
      <c r="R55" s="16">
        <v>745.64835190773</v>
      </c>
      <c r="S55" s="16">
        <v>407.181503057479</v>
      </c>
      <c r="T55" s="16">
        <v>3.08015964598958</v>
      </c>
      <c r="U55" s="16">
        <v>14.6725169083724</v>
      </c>
      <c r="V55" s="16">
        <v>3.83047215214684</v>
      </c>
      <c r="W55" s="16">
        <v>0.456640265024554</v>
      </c>
      <c r="X55" s="16">
        <v>0.0768554553765838</v>
      </c>
      <c r="Y55" s="16">
        <v>0.00894872752005794</v>
      </c>
      <c r="Z55" s="16">
        <v>0.0945977141375939</v>
      </c>
      <c r="AA55" s="16">
        <v>0.79688158531188</v>
      </c>
      <c r="AB55" s="16">
        <v>0.0763342175886605</v>
      </c>
      <c r="AC55" s="16">
        <v>0.0939302194352662</v>
      </c>
      <c r="AD55" s="16">
        <v>0.801751977151923</v>
      </c>
      <c r="AE55" s="16">
        <v>0.143965159556305</v>
      </c>
      <c r="AF55" s="16">
        <v>0.179950321990017</v>
      </c>
      <c r="AG55" s="16">
        <v>0.28790220024759</v>
      </c>
      <c r="AH55" s="16">
        <v>10.0</v>
      </c>
      <c r="AI55" s="16">
        <v>3.08015964598942</v>
      </c>
      <c r="AJ55" s="16">
        <v>14.6725169083724</v>
      </c>
      <c r="AK55" s="16">
        <v>3.83047215214684</v>
      </c>
      <c r="AL55" s="16">
        <v>0.455730659409622</v>
      </c>
      <c r="AM55" s="16">
        <v>1.87018833092223</v>
      </c>
      <c r="AN55" s="16">
        <v>5.29593739542515</v>
      </c>
      <c r="AO55" s="16">
        <v>2.30129037616402</v>
      </c>
      <c r="AP55" s="16">
        <v>0.801751977151923</v>
      </c>
      <c r="AQ55" s="16">
        <v>3.52714640912923</v>
      </c>
      <c r="AR55" s="16">
        <v>19.4373665601827</v>
      </c>
      <c r="AS55" s="16">
        <v>4.40878288875543</v>
      </c>
      <c r="AT55" s="16">
        <v>0.28790220024759</v>
      </c>
      <c r="AU55" s="10">
        <f t="shared" ref="AU55:AV55" si="115">(AB55-AB$72)/AB$73</f>
        <v>-0.1737850697</v>
      </c>
      <c r="AV55" s="10">
        <f t="shared" si="115"/>
        <v>-0.1891007435</v>
      </c>
      <c r="AW55" s="10">
        <f t="shared" si="5"/>
        <v>1.171454891</v>
      </c>
      <c r="AX55" s="10">
        <f t="shared" si="6"/>
        <v>1.187293288</v>
      </c>
      <c r="AY55" s="10">
        <f t="shared" si="7"/>
        <v>0.6933624571</v>
      </c>
      <c r="AZ55" s="10">
        <f t="shared" si="8"/>
        <v>0.6820277851</v>
      </c>
      <c r="BA55" s="10">
        <f t="shared" si="9"/>
        <v>-0.2332813772</v>
      </c>
      <c r="BB55" s="10">
        <f t="shared" si="10"/>
        <v>0.9375968832</v>
      </c>
      <c r="BC55" s="10">
        <f t="shared" si="11"/>
        <v>0.3738812057</v>
      </c>
      <c r="BD55" s="10">
        <f t="shared" ref="BD55:BE55" si="116">((R55-R$72)/R$73)</f>
        <v>0.1171853798</v>
      </c>
      <c r="BE55" s="10">
        <f t="shared" si="116"/>
        <v>0.761422864</v>
      </c>
    </row>
    <row r="56" ht="15.75" customHeight="1">
      <c r="A56" s="9" t="s">
        <v>57</v>
      </c>
      <c r="B56" s="10">
        <f t="shared" si="3"/>
        <v>-0.4372279448</v>
      </c>
      <c r="C56" s="9" t="s">
        <v>58</v>
      </c>
      <c r="D56" s="9" t="s">
        <v>59</v>
      </c>
      <c r="E56" s="11" t="s">
        <v>60</v>
      </c>
      <c r="F56" s="9" t="s">
        <v>61</v>
      </c>
      <c r="G56" s="17" t="s">
        <v>62</v>
      </c>
      <c r="H56" s="11" t="s">
        <v>63</v>
      </c>
      <c r="I56" s="12">
        <v>150.0</v>
      </c>
      <c r="J56" s="17" t="s">
        <v>79</v>
      </c>
      <c r="K56" s="9" t="s">
        <v>65</v>
      </c>
      <c r="L56" s="11" t="s">
        <v>66</v>
      </c>
      <c r="M56" s="9" t="s">
        <v>67</v>
      </c>
      <c r="N56" s="9" t="s">
        <v>74</v>
      </c>
      <c r="O56" s="9" t="s">
        <v>69</v>
      </c>
      <c r="P56" s="11" t="s">
        <v>70</v>
      </c>
      <c r="Q56" s="9"/>
      <c r="R56" s="16">
        <v>134.149076223373</v>
      </c>
      <c r="S56" s="16">
        <v>165.738556146621</v>
      </c>
      <c r="T56" s="16">
        <v>2.96680691380901</v>
      </c>
      <c r="U56" s="16">
        <v>13.7044388410419</v>
      </c>
      <c r="V56" s="16">
        <v>3.70195068052533</v>
      </c>
      <c r="W56" s="16">
        <v>0.473706192692858</v>
      </c>
      <c r="X56" s="16">
        <v>0.14220113323136</v>
      </c>
      <c r="Y56" s="16">
        <v>0.0289147097635211</v>
      </c>
      <c r="Z56" s="16">
        <v>0.170043258506537</v>
      </c>
      <c r="AA56" s="16">
        <v>0.391794035006377</v>
      </c>
      <c r="AB56" s="16">
        <v>0.142857579001476</v>
      </c>
      <c r="AC56" s="16">
        <v>0.170639214083986</v>
      </c>
      <c r="AD56" s="16">
        <v>0.390502287066819</v>
      </c>
      <c r="AE56" s="16">
        <v>0.13565467118123</v>
      </c>
      <c r="AF56" s="16">
        <v>0.168766520424112</v>
      </c>
      <c r="AG56" s="16">
        <v>0.406321092247673</v>
      </c>
      <c r="AH56" s="16">
        <v>10.0</v>
      </c>
      <c r="AI56" s="16">
        <v>2.96680691380901</v>
      </c>
      <c r="AJ56" s="16">
        <v>13.7044388410419</v>
      </c>
      <c r="AK56" s="16">
        <v>3.70195068052533</v>
      </c>
      <c r="AL56" s="16">
        <v>0.473662130145656</v>
      </c>
      <c r="AM56" s="16">
        <v>3.33135937699275</v>
      </c>
      <c r="AN56" s="16">
        <v>15.8341255375461</v>
      </c>
      <c r="AO56" s="16">
        <v>3.97921167287518</v>
      </c>
      <c r="AP56" s="16">
        <v>0.390502287066819</v>
      </c>
      <c r="AQ56" s="16">
        <v>3.1633915682401</v>
      </c>
      <c r="AR56" s="16">
        <v>15.4884868754927</v>
      </c>
      <c r="AS56" s="16">
        <v>3.93554149711227</v>
      </c>
      <c r="AT56" s="16">
        <v>0.406321092247673</v>
      </c>
      <c r="AU56" s="10">
        <f t="shared" ref="AU56:AV56" si="117">(AB56-AB$72)/AB$73</f>
        <v>1.216611476</v>
      </c>
      <c r="AV56" s="10">
        <f t="shared" si="117"/>
        <v>1.130013518</v>
      </c>
      <c r="AW56" s="10">
        <f t="shared" si="5"/>
        <v>0.7587805608</v>
      </c>
      <c r="AX56" s="10">
        <f t="shared" si="6"/>
        <v>0.7361347607</v>
      </c>
      <c r="AY56" s="10">
        <f t="shared" si="7"/>
        <v>0.5816853913</v>
      </c>
      <c r="AZ56" s="10">
        <f t="shared" si="8"/>
        <v>0.5759271168</v>
      </c>
      <c r="BA56" s="10">
        <f t="shared" si="9"/>
        <v>0.610484782</v>
      </c>
      <c r="BB56" s="10">
        <f t="shared" si="10"/>
        <v>0.5639016245</v>
      </c>
      <c r="BC56" s="10">
        <f t="shared" si="11"/>
        <v>0.3291520385</v>
      </c>
      <c r="BD56" s="10">
        <f t="shared" ref="BD56:BE56" si="118">((R56-R$72)/R$73)</f>
        <v>-0.6643243198</v>
      </c>
      <c r="BE56" s="10">
        <f t="shared" si="118"/>
        <v>-1.028859556</v>
      </c>
    </row>
    <row r="57" ht="15.75" customHeight="1">
      <c r="A57" s="9" t="s">
        <v>57</v>
      </c>
      <c r="B57" s="10">
        <f t="shared" si="3"/>
        <v>-0.566890311</v>
      </c>
      <c r="C57" s="9" t="s">
        <v>58</v>
      </c>
      <c r="D57" s="9" t="s">
        <v>59</v>
      </c>
      <c r="E57" s="11" t="s">
        <v>84</v>
      </c>
      <c r="F57" s="9" t="s">
        <v>61</v>
      </c>
      <c r="G57" s="17" t="s">
        <v>85</v>
      </c>
      <c r="H57" s="11" t="s">
        <v>72</v>
      </c>
      <c r="I57" s="12">
        <v>20.0</v>
      </c>
      <c r="J57" s="17" t="s">
        <v>79</v>
      </c>
      <c r="K57" s="9" t="s">
        <v>65</v>
      </c>
      <c r="L57" s="11" t="s">
        <v>80</v>
      </c>
      <c r="M57" s="9" t="s">
        <v>87</v>
      </c>
      <c r="N57" s="9" t="s">
        <v>81</v>
      </c>
      <c r="O57" s="9" t="s">
        <v>69</v>
      </c>
      <c r="P57" s="11" t="s">
        <v>73</v>
      </c>
      <c r="Q57" s="11" t="s">
        <v>73</v>
      </c>
      <c r="R57" s="16">
        <v>3596.6428296566</v>
      </c>
      <c r="S57" s="16">
        <v>517.954939126968</v>
      </c>
      <c r="T57" s="16">
        <v>2.47923515249486</v>
      </c>
      <c r="U57" s="16">
        <v>9.88983234797837</v>
      </c>
      <c r="V57" s="16">
        <v>3.14481038346962</v>
      </c>
      <c r="W57" s="16">
        <v>0.633942898029018</v>
      </c>
      <c r="X57" s="16">
        <v>0.0963352949420983</v>
      </c>
      <c r="Y57" s="16">
        <v>0.0146194380417103</v>
      </c>
      <c r="Z57" s="16">
        <v>0.12091086817036</v>
      </c>
      <c r="AA57" s="16">
        <v>0.67281855107729</v>
      </c>
      <c r="AB57" s="16">
        <v>0.0968989653949895</v>
      </c>
      <c r="AC57" s="16">
        <v>0.121437070263219</v>
      </c>
      <c r="AD57" s="16">
        <v>0.671543110322306</v>
      </c>
      <c r="AE57" s="16">
        <v>0.105331778177034</v>
      </c>
      <c r="AF57" s="16">
        <v>0.134300922727849</v>
      </c>
      <c r="AG57" s="16">
        <v>0.599921651466993</v>
      </c>
      <c r="AH57" s="16">
        <v>10.0</v>
      </c>
      <c r="AI57" s="16">
        <v>2.47923515249476</v>
      </c>
      <c r="AJ57" s="16">
        <v>9.88983234797837</v>
      </c>
      <c r="AK57" s="16">
        <v>3.14481038346962</v>
      </c>
      <c r="AL57" s="16">
        <v>0.633927711593333</v>
      </c>
      <c r="AM57" s="16">
        <v>2.37402465217714</v>
      </c>
      <c r="AN57" s="16">
        <v>8.85186396097693</v>
      </c>
      <c r="AO57" s="16">
        <v>2.97520822144886</v>
      </c>
      <c r="AP57" s="16">
        <v>0.671543110322306</v>
      </c>
      <c r="AQ57" s="16">
        <v>2.58062856533724</v>
      </c>
      <c r="AR57" s="16">
        <v>10.8265518917924</v>
      </c>
      <c r="AS57" s="16">
        <v>3.2903726068323</v>
      </c>
      <c r="AT57" s="16">
        <v>0.599921651466993</v>
      </c>
      <c r="AU57" s="10">
        <f t="shared" ref="AU57:AV57" si="119">(AB57-AB$72)/AB$73</f>
        <v>0.2560361795</v>
      </c>
      <c r="AV57" s="10">
        <f t="shared" si="119"/>
        <v>0.2839165262</v>
      </c>
      <c r="AW57" s="10">
        <f t="shared" si="5"/>
        <v>0.09764480488</v>
      </c>
      <c r="AX57" s="10">
        <f t="shared" si="6"/>
        <v>0.1210713878</v>
      </c>
      <c r="AY57" s="10">
        <f t="shared" si="7"/>
        <v>0.101321287</v>
      </c>
      <c r="AZ57" s="10">
        <f t="shared" si="8"/>
        <v>0.1159809531</v>
      </c>
      <c r="BA57" s="10">
        <f t="shared" si="9"/>
        <v>0.03386979184</v>
      </c>
      <c r="BB57" s="10">
        <f t="shared" si="10"/>
        <v>-0.04704490473</v>
      </c>
      <c r="BC57" s="10">
        <f t="shared" si="11"/>
        <v>-0.07062253059</v>
      </c>
      <c r="BD57" s="10">
        <f t="shared" ref="BD57:BE57" si="120">((R57-R$72)/R$73)</f>
        <v>3.760819847</v>
      </c>
      <c r="BE57" s="10">
        <f t="shared" si="120"/>
        <v>1.582800078</v>
      </c>
    </row>
    <row r="58" ht="15.75" customHeight="1">
      <c r="A58" s="9" t="s">
        <v>57</v>
      </c>
      <c r="B58" s="10">
        <f t="shared" si="3"/>
        <v>-0.6794491211</v>
      </c>
      <c r="C58" s="9" t="s">
        <v>58</v>
      </c>
      <c r="D58" s="9" t="s">
        <v>59</v>
      </c>
      <c r="E58" s="11" t="s">
        <v>60</v>
      </c>
      <c r="F58" s="9" t="s">
        <v>86</v>
      </c>
      <c r="G58" s="11" t="s">
        <v>60</v>
      </c>
      <c r="H58" s="11" t="s">
        <v>72</v>
      </c>
      <c r="I58" s="12">
        <v>20.0</v>
      </c>
      <c r="J58" s="11" t="s">
        <v>73</v>
      </c>
      <c r="K58" s="9" t="s">
        <v>65</v>
      </c>
      <c r="L58" s="11" t="s">
        <v>80</v>
      </c>
      <c r="M58" s="14" t="s">
        <v>82</v>
      </c>
      <c r="N58" s="14" t="s">
        <v>81</v>
      </c>
      <c r="O58" s="14" t="s">
        <v>69</v>
      </c>
      <c r="P58" s="15" t="s">
        <v>73</v>
      </c>
      <c r="Q58" s="15" t="s">
        <v>78</v>
      </c>
      <c r="R58" s="16">
        <v>514.102283477783</v>
      </c>
      <c r="S58" s="16">
        <v>182.782363653182</v>
      </c>
      <c r="T58" s="16">
        <v>3.55485000301286</v>
      </c>
      <c r="U58" s="16">
        <v>16.6695869099834</v>
      </c>
      <c r="V58" s="16">
        <v>4.08284054427593</v>
      </c>
      <c r="W58" s="16">
        <v>0.361961519479525</v>
      </c>
      <c r="X58" s="16">
        <v>0.142784575323373</v>
      </c>
      <c r="Y58" s="16">
        <v>0.0264017070454975</v>
      </c>
      <c r="Z58" s="16">
        <v>0.162486021077191</v>
      </c>
      <c r="AA58" s="16">
        <v>0.438632049266097</v>
      </c>
      <c r="AB58" s="16">
        <v>0.140185102628701</v>
      </c>
      <c r="AC58" s="16">
        <v>0.160809813489521</v>
      </c>
      <c r="AD58" s="16">
        <v>0.456323905441592</v>
      </c>
      <c r="AE58" s="16">
        <v>0.158536618976094</v>
      </c>
      <c r="AF58" s="16">
        <v>0.183011180512141</v>
      </c>
      <c r="AG58" s="16">
        <v>0.305651486638261</v>
      </c>
      <c r="AH58" s="16">
        <v>10.0</v>
      </c>
      <c r="AI58" s="16">
        <v>3.55485000301286</v>
      </c>
      <c r="AJ58" s="16">
        <v>16.6695869099834</v>
      </c>
      <c r="AK58" s="16">
        <v>4.08284054427593</v>
      </c>
      <c r="AL58" s="16">
        <v>0.361857584663094</v>
      </c>
      <c r="AM58" s="16">
        <v>3.26903871268878</v>
      </c>
      <c r="AN58" s="16">
        <v>14.0624663384478</v>
      </c>
      <c r="AO58" s="16">
        <v>3.74999551179036</v>
      </c>
      <c r="AP58" s="16">
        <v>0.456323905441592</v>
      </c>
      <c r="AQ58" s="16">
        <v>3.6969858786231</v>
      </c>
      <c r="AR58" s="16">
        <v>18.2134259466222</v>
      </c>
      <c r="AS58" s="16">
        <v>4.26771905666507</v>
      </c>
      <c r="AT58" s="16">
        <v>0.305651486638261</v>
      </c>
      <c r="AU58" s="10">
        <f t="shared" ref="AU58:AV58" si="121">(AB58-AB$72)/AB$73</f>
        <v>1.160754378</v>
      </c>
      <c r="AV58" s="10">
        <f t="shared" si="121"/>
        <v>0.9609837636</v>
      </c>
      <c r="AW58" s="10">
        <f t="shared" si="5"/>
        <v>1.364135183</v>
      </c>
      <c r="AX58" s="10">
        <f t="shared" si="6"/>
        <v>1.052811918</v>
      </c>
      <c r="AY58" s="10">
        <f t="shared" si="7"/>
        <v>1.16103558</v>
      </c>
      <c r="AZ58" s="10">
        <f t="shared" si="8"/>
        <v>0.8903700543</v>
      </c>
      <c r="BA58" s="10">
        <f t="shared" si="9"/>
        <v>0.4754377401</v>
      </c>
      <c r="BB58" s="10">
        <f t="shared" si="10"/>
        <v>0.8815853461</v>
      </c>
      <c r="BC58" s="10">
        <f t="shared" si="11"/>
        <v>0.6080429494</v>
      </c>
      <c r="BD58" s="10">
        <f t="shared" ref="BD58:BE58" si="122">((R58-R$72)/R$73)</f>
        <v>-0.1787356549</v>
      </c>
      <c r="BE58" s="10">
        <f t="shared" si="122"/>
        <v>-0.9024809254</v>
      </c>
    </row>
    <row r="59" ht="15.75" customHeight="1">
      <c r="A59" s="9" t="s">
        <v>71</v>
      </c>
      <c r="B59" s="10">
        <f t="shared" si="3"/>
        <v>-0.9174299262</v>
      </c>
      <c r="C59" s="9" t="s">
        <v>58</v>
      </c>
      <c r="D59" s="9" t="s">
        <v>59</v>
      </c>
      <c r="E59" s="11" t="s">
        <v>60</v>
      </c>
      <c r="F59" s="9" t="s">
        <v>61</v>
      </c>
      <c r="G59" s="17" t="s">
        <v>62</v>
      </c>
      <c r="H59" s="11" t="s">
        <v>63</v>
      </c>
      <c r="I59" s="12">
        <v>20.0</v>
      </c>
      <c r="J59" s="17" t="s">
        <v>83</v>
      </c>
      <c r="K59" s="9" t="s">
        <v>76</v>
      </c>
      <c r="L59" s="11" t="s">
        <v>80</v>
      </c>
      <c r="M59" s="9" t="s">
        <v>67</v>
      </c>
      <c r="N59" s="9" t="s">
        <v>74</v>
      </c>
      <c r="O59" s="9" t="s">
        <v>69</v>
      </c>
      <c r="P59" s="11" t="s">
        <v>78</v>
      </c>
      <c r="Q59" s="11" t="s">
        <v>77</v>
      </c>
      <c r="R59" s="16">
        <v>78.0817599296569</v>
      </c>
      <c r="S59" s="16">
        <v>174.882437467575</v>
      </c>
      <c r="T59" s="16">
        <v>4.15158099239497</v>
      </c>
      <c r="U59" s="16">
        <v>24.5546769535818</v>
      </c>
      <c r="V59" s="16">
        <v>4.95526759656648</v>
      </c>
      <c r="W59" s="16">
        <v>0.0570323047047097</v>
      </c>
      <c r="X59" s="16">
        <v>0.127809299312785</v>
      </c>
      <c r="Y59" s="16">
        <v>0.0221937758644018</v>
      </c>
      <c r="Z59" s="16">
        <v>0.14897575596184</v>
      </c>
      <c r="AA59" s="16">
        <v>0.533165403462209</v>
      </c>
      <c r="AB59" s="16">
        <v>0.128205359519995</v>
      </c>
      <c r="AC59" s="16">
        <v>0.149281204844607</v>
      </c>
      <c r="AD59" s="16">
        <v>0.533528989481155</v>
      </c>
      <c r="AE59" s="16">
        <v>0.17844783771048</v>
      </c>
      <c r="AF59" s="16">
        <v>0.208704960631285</v>
      </c>
      <c r="AG59" s="16">
        <v>0.0920862979208102</v>
      </c>
      <c r="AH59" s="16">
        <v>10.0</v>
      </c>
      <c r="AI59" s="16">
        <v>4.15158099239497</v>
      </c>
      <c r="AJ59" s="16">
        <v>24.5546769535818</v>
      </c>
      <c r="AK59" s="16">
        <v>4.95526759656648</v>
      </c>
      <c r="AL59" s="16">
        <v>0.0569437747421739</v>
      </c>
      <c r="AM59" s="16">
        <v>2.98967775880657</v>
      </c>
      <c r="AN59" s="16">
        <v>12.1184384837735</v>
      </c>
      <c r="AO59" s="16">
        <v>3.48115476297356</v>
      </c>
      <c r="AP59" s="16">
        <v>0.533528989481155</v>
      </c>
      <c r="AQ59" s="16">
        <v>4.16130443772078</v>
      </c>
      <c r="AR59" s="16">
        <v>23.6865572872939</v>
      </c>
      <c r="AS59" s="16">
        <v>4.86688373472121</v>
      </c>
      <c r="AT59" s="16">
        <v>0.0920862979208103</v>
      </c>
      <c r="AU59" s="10">
        <f t="shared" ref="AU59:AV59" si="123">(AB59-AB$72)/AB$73</f>
        <v>0.9103672494</v>
      </c>
      <c r="AV59" s="10">
        <f t="shared" si="123"/>
        <v>0.7627338433</v>
      </c>
      <c r="AW59" s="10">
        <f t="shared" si="5"/>
        <v>1.890897521</v>
      </c>
      <c r="AX59" s="10">
        <f t="shared" si="6"/>
        <v>1.624017773</v>
      </c>
      <c r="AY59" s="10">
        <f t="shared" si="7"/>
        <v>1.748945237</v>
      </c>
      <c r="AZ59" s="10">
        <f t="shared" si="8"/>
        <v>1.610600628</v>
      </c>
      <c r="BA59" s="10">
        <f t="shared" si="9"/>
        <v>0.3170350986</v>
      </c>
      <c r="BB59" s="10">
        <f t="shared" si="10"/>
        <v>1.555534385</v>
      </c>
      <c r="BC59" s="10">
        <f t="shared" si="11"/>
        <v>1.368635373</v>
      </c>
      <c r="BD59" s="10">
        <f t="shared" ref="BD59:BE59" si="124">((R59-R$72)/R$73)</f>
        <v>-0.7359795993</v>
      </c>
      <c r="BE59" s="10">
        <f t="shared" si="124"/>
        <v>-0.9610583208</v>
      </c>
    </row>
    <row r="60" ht="15.75" customHeight="1">
      <c r="A60" s="9" t="s">
        <v>71</v>
      </c>
      <c r="B60" s="10">
        <f t="shared" si="3"/>
        <v>-0.9079148143</v>
      </c>
      <c r="C60" s="9" t="s">
        <v>58</v>
      </c>
      <c r="D60" s="9" t="s">
        <v>59</v>
      </c>
      <c r="E60" s="11" t="s">
        <v>60</v>
      </c>
      <c r="F60" s="9" t="s">
        <v>86</v>
      </c>
      <c r="G60" s="11" t="s">
        <v>60</v>
      </c>
      <c r="H60" s="11" t="s">
        <v>72</v>
      </c>
      <c r="I60" s="12">
        <v>20.0</v>
      </c>
      <c r="J60" s="11" t="s">
        <v>64</v>
      </c>
      <c r="K60" s="9" t="s">
        <v>76</v>
      </c>
      <c r="L60" s="11" t="s">
        <v>80</v>
      </c>
      <c r="M60" s="13" t="s">
        <v>82</v>
      </c>
      <c r="N60" s="13" t="s">
        <v>74</v>
      </c>
      <c r="O60" s="14" t="s">
        <v>69</v>
      </c>
      <c r="P60" s="15" t="s">
        <v>88</v>
      </c>
      <c r="Q60" s="15" t="s">
        <v>77</v>
      </c>
      <c r="R60" s="16">
        <v>159.367000818252</v>
      </c>
      <c r="S60" s="16">
        <v>180.55416893959</v>
      </c>
      <c r="T60" s="16">
        <v>3.6376081690372</v>
      </c>
      <c r="U60" s="16">
        <v>19.1094377455952</v>
      </c>
      <c r="V60" s="16">
        <v>4.3714342892917</v>
      </c>
      <c r="W60" s="16">
        <v>0.268681203136733</v>
      </c>
      <c r="X60" s="16">
        <v>0.150223688636753</v>
      </c>
      <c r="Y60" s="16">
        <v>0.0311685955770548</v>
      </c>
      <c r="Z60" s="16">
        <v>0.176546298678434</v>
      </c>
      <c r="AA60" s="16">
        <v>0.337275783107784</v>
      </c>
      <c r="AB60" s="16">
        <v>0.152090577295458</v>
      </c>
      <c r="AC60" s="16">
        <v>0.178121321571671</v>
      </c>
      <c r="AD60" s="16">
        <v>0.332967555616365</v>
      </c>
      <c r="AE60" s="16">
        <v>0.174145238218972</v>
      </c>
      <c r="AF60" s="16">
        <v>0.20846324800882</v>
      </c>
      <c r="AG60" s="16">
        <v>0.0990902950804955</v>
      </c>
      <c r="AH60" s="16">
        <v>10.0</v>
      </c>
      <c r="AI60" s="16">
        <v>3.63760816903721</v>
      </c>
      <c r="AJ60" s="16">
        <v>19.1094377455952</v>
      </c>
      <c r="AK60" s="16">
        <v>4.3714342892917</v>
      </c>
      <c r="AL60" s="16">
        <v>0.268455611734381</v>
      </c>
      <c r="AM60" s="16">
        <v>3.54666776776491</v>
      </c>
      <c r="AN60" s="16">
        <v>17.2531427989606</v>
      </c>
      <c r="AO60" s="16">
        <v>4.15369026276161</v>
      </c>
      <c r="AP60" s="16">
        <v>0.332967555616365</v>
      </c>
      <c r="AQ60" s="16">
        <v>4.06097020791186</v>
      </c>
      <c r="AR60" s="16">
        <v>23.6317236652541</v>
      </c>
      <c r="AS60" s="16">
        <v>4.86124713065013</v>
      </c>
      <c r="AT60" s="16">
        <v>0.0990902950804953</v>
      </c>
      <c r="AU60" s="10">
        <f t="shared" ref="AU60:AV60" si="125">(AB60-AB$72)/AB$73</f>
        <v>1.409589231</v>
      </c>
      <c r="AV60" s="10">
        <f t="shared" si="125"/>
        <v>1.258678412</v>
      </c>
      <c r="AW60" s="10">
        <f t="shared" si="5"/>
        <v>1.777069864</v>
      </c>
      <c r="AX60" s="10">
        <f t="shared" si="6"/>
        <v>1.61864419</v>
      </c>
      <c r="AY60" s="10">
        <f t="shared" si="7"/>
        <v>1.242570352</v>
      </c>
      <c r="AZ60" s="10">
        <f t="shared" si="8"/>
        <v>1.128618098</v>
      </c>
      <c r="BA60" s="10">
        <f t="shared" si="9"/>
        <v>0.7285295138</v>
      </c>
      <c r="BB60" s="10">
        <f t="shared" si="10"/>
        <v>1.533431826</v>
      </c>
      <c r="BC60" s="10">
        <f t="shared" si="11"/>
        <v>0.8410295529</v>
      </c>
      <c r="BD60" s="10">
        <f t="shared" ref="BD60:BE60" si="126">((R60-R$72)/R$73)</f>
        <v>-0.6320952503</v>
      </c>
      <c r="BE60" s="10">
        <f t="shared" si="126"/>
        <v>-0.919002832</v>
      </c>
    </row>
    <row r="61" ht="15.75" customHeight="1">
      <c r="A61" s="9" t="s">
        <v>71</v>
      </c>
      <c r="B61" s="10">
        <f t="shared" si="3"/>
        <v>-1.373490064</v>
      </c>
      <c r="C61" s="9" t="s">
        <v>58</v>
      </c>
      <c r="D61" s="9" t="s">
        <v>59</v>
      </c>
      <c r="E61" s="11" t="s">
        <v>60</v>
      </c>
      <c r="F61" s="9" t="s">
        <v>86</v>
      </c>
      <c r="G61" s="17" t="s">
        <v>60</v>
      </c>
      <c r="H61" s="11" t="s">
        <v>72</v>
      </c>
      <c r="I61" s="12">
        <v>150.0</v>
      </c>
      <c r="J61" s="17" t="s">
        <v>79</v>
      </c>
      <c r="K61" s="9" t="s">
        <v>76</v>
      </c>
      <c r="L61" s="11" t="s">
        <v>80</v>
      </c>
      <c r="M61" s="9" t="s">
        <v>67</v>
      </c>
      <c r="N61" s="9" t="s">
        <v>81</v>
      </c>
      <c r="O61" s="9" t="s">
        <v>69</v>
      </c>
      <c r="P61" s="11" t="s">
        <v>77</v>
      </c>
      <c r="Q61" s="11" t="s">
        <v>77</v>
      </c>
      <c r="R61" s="16">
        <v>97.7779486179351</v>
      </c>
      <c r="S61" s="16">
        <v>176.272022724151</v>
      </c>
      <c r="T61" s="16">
        <v>4.87512050953446</v>
      </c>
      <c r="U61" s="16">
        <v>37.7559086597051</v>
      </c>
      <c r="V61" s="16">
        <v>6.14458368481585</v>
      </c>
      <c r="W61" s="16">
        <v>-0.445326300036967</v>
      </c>
      <c r="X61" s="16">
        <v>0.156633401673053</v>
      </c>
      <c r="Y61" s="16">
        <v>0.0359936581785177</v>
      </c>
      <c r="Z61" s="16">
        <v>0.189719946707028</v>
      </c>
      <c r="AA61" s="16">
        <v>0.234682587142149</v>
      </c>
      <c r="AB61" s="16">
        <v>0.159295846848903</v>
      </c>
      <c r="AC61" s="16">
        <v>0.192169121285667</v>
      </c>
      <c r="AD61" s="16">
        <v>0.223605679799496</v>
      </c>
      <c r="AE61" s="16">
        <v>0.177138828277891</v>
      </c>
      <c r="AF61" s="16">
        <v>0.209923208253094</v>
      </c>
      <c r="AG61" s="16">
        <v>0.0864271695439543</v>
      </c>
      <c r="AH61" s="16">
        <v>10.0</v>
      </c>
      <c r="AI61" s="16">
        <v>4.87512050953446</v>
      </c>
      <c r="AJ61" s="16">
        <v>37.7559086597051</v>
      </c>
      <c r="AK61" s="16">
        <v>6.14458368481585</v>
      </c>
      <c r="AL61" s="16">
        <v>-0.445365555574391</v>
      </c>
      <c r="AM61" s="16">
        <v>3.71469065082373</v>
      </c>
      <c r="AN61" s="16">
        <v>20.0818448750256</v>
      </c>
      <c r="AO61" s="16">
        <v>4.48127714775884</v>
      </c>
      <c r="AP61" s="16">
        <v>0.223605679799495</v>
      </c>
      <c r="AQ61" s="16">
        <v>4.13077906498027</v>
      </c>
      <c r="AR61" s="16">
        <v>23.9638895657699</v>
      </c>
      <c r="AS61" s="16">
        <v>4.89529259245756</v>
      </c>
      <c r="AT61" s="16">
        <v>0.0864271695439542</v>
      </c>
      <c r="AU61" s="10">
        <f t="shared" ref="AU61:AV61" si="127">(AB61-AB$72)/AB$73</f>
        <v>1.560185678</v>
      </c>
      <c r="AV61" s="10">
        <f t="shared" si="127"/>
        <v>1.500249209</v>
      </c>
      <c r="AW61" s="10">
        <f t="shared" si="5"/>
        <v>1.85626695</v>
      </c>
      <c r="AX61" s="10">
        <f t="shared" si="6"/>
        <v>1.651100988</v>
      </c>
      <c r="AY61" s="10">
        <f t="shared" si="7"/>
        <v>2.461788843</v>
      </c>
      <c r="AZ61" s="10">
        <f t="shared" si="8"/>
        <v>2.592438372</v>
      </c>
      <c r="BA61" s="10">
        <f t="shared" si="9"/>
        <v>0.9529086493</v>
      </c>
      <c r="BB61" s="10">
        <f t="shared" si="10"/>
        <v>1.573392933</v>
      </c>
      <c r="BC61" s="10">
        <f t="shared" si="11"/>
        <v>2.621621162</v>
      </c>
      <c r="BD61" s="10">
        <f t="shared" ref="BD61:BE61" si="128">((R61-R$72)/R$73)</f>
        <v>-0.7108074313</v>
      </c>
      <c r="BE61" s="10">
        <f t="shared" si="128"/>
        <v>-0.9507546441</v>
      </c>
    </row>
    <row r="62" ht="15.75" customHeight="1">
      <c r="A62" s="9" t="s">
        <v>57</v>
      </c>
      <c r="B62" s="10">
        <f t="shared" si="3"/>
        <v>-1.421991301</v>
      </c>
      <c r="C62" s="9" t="s">
        <v>58</v>
      </c>
      <c r="D62" s="9" t="s">
        <v>59</v>
      </c>
      <c r="E62" s="11" t="s">
        <v>60</v>
      </c>
      <c r="F62" s="9" t="s">
        <v>61</v>
      </c>
      <c r="G62" s="17" t="s">
        <v>62</v>
      </c>
      <c r="H62" s="11" t="s">
        <v>72</v>
      </c>
      <c r="I62" s="12">
        <v>150.0</v>
      </c>
      <c r="J62" s="17" t="s">
        <v>79</v>
      </c>
      <c r="K62" s="9" t="s">
        <v>76</v>
      </c>
      <c r="L62" s="11" t="s">
        <v>80</v>
      </c>
      <c r="M62" s="9" t="s">
        <v>67</v>
      </c>
      <c r="N62" s="9" t="s">
        <v>81</v>
      </c>
      <c r="O62" s="9" t="s">
        <v>69</v>
      </c>
      <c r="P62" s="11" t="s">
        <v>77</v>
      </c>
      <c r="Q62" s="11" t="s">
        <v>77</v>
      </c>
      <c r="R62" s="16">
        <v>105.986302375793</v>
      </c>
      <c r="S62" s="16">
        <v>174.805060625076</v>
      </c>
      <c r="T62" s="16">
        <v>4.26535785279272</v>
      </c>
      <c r="U62" s="16">
        <v>25.8277065122278</v>
      </c>
      <c r="V62" s="16">
        <v>5.08209666498265</v>
      </c>
      <c r="W62" s="16">
        <v>0.0147304235251715</v>
      </c>
      <c r="X62" s="16">
        <v>0.190863995417979</v>
      </c>
      <c r="Y62" s="16">
        <v>0.05379306708515</v>
      </c>
      <c r="Z62" s="16">
        <v>0.231933324654198</v>
      </c>
      <c r="AA62" s="16">
        <v>-0.125948945738261</v>
      </c>
      <c r="AB62" s="16">
        <v>0.191990071981665</v>
      </c>
      <c r="AC62" s="16">
        <v>0.233051177968639</v>
      </c>
      <c r="AD62" s="16">
        <v>-0.131110612856621</v>
      </c>
      <c r="AE62" s="16">
        <v>0.182948762174257</v>
      </c>
      <c r="AF62" s="16">
        <v>0.227645919241739</v>
      </c>
      <c r="AG62" s="16">
        <v>-0.0713208816534372</v>
      </c>
      <c r="AH62" s="16">
        <v>10.0</v>
      </c>
      <c r="AI62" s="16">
        <v>4.26535785279271</v>
      </c>
      <c r="AJ62" s="16">
        <v>25.8277065122278</v>
      </c>
      <c r="AK62" s="16">
        <v>5.08209666498265</v>
      </c>
      <c r="AL62" s="16">
        <v>0.014800927418939</v>
      </c>
      <c r="AM62" s="16">
        <v>4.47710181746132</v>
      </c>
      <c r="AN62" s="16">
        <v>29.5351379925943</v>
      </c>
      <c r="AO62" s="16">
        <v>5.43462399735201</v>
      </c>
      <c r="AP62" s="16">
        <v>-0.131110612856621</v>
      </c>
      <c r="AQ62" s="16">
        <v>4.26626349570247</v>
      </c>
      <c r="AR62" s="16">
        <v>28.1809830417464</v>
      </c>
      <c r="AS62" s="16">
        <v>5.30857636676222</v>
      </c>
      <c r="AT62" s="16">
        <v>-0.0713208816534372</v>
      </c>
      <c r="AU62" s="10">
        <f t="shared" ref="AU62:AV62" si="129">(AB62-AB$72)/AB$73</f>
        <v>2.243523632</v>
      </c>
      <c r="AV62" s="10">
        <f t="shared" si="129"/>
        <v>2.203271119</v>
      </c>
      <c r="AW62" s="10">
        <f t="shared" si="5"/>
        <v>2.009971974</v>
      </c>
      <c r="AX62" s="10">
        <f t="shared" si="6"/>
        <v>2.045099701</v>
      </c>
      <c r="AY62" s="10">
        <f t="shared" si="7"/>
        <v>1.861040162</v>
      </c>
      <c r="AZ62" s="10">
        <f t="shared" si="8"/>
        <v>1.715304136</v>
      </c>
      <c r="BA62" s="10">
        <f t="shared" si="9"/>
        <v>1.680684526</v>
      </c>
      <c r="BB62" s="10">
        <f t="shared" si="10"/>
        <v>2.071199472</v>
      </c>
      <c r="BC62" s="10">
        <f t="shared" si="11"/>
        <v>1.473758622</v>
      </c>
      <c r="BD62" s="10">
        <f t="shared" ref="BD62:BE62" si="130">((R62-R$72)/R$73)</f>
        <v>-0.7003169723</v>
      </c>
      <c r="BE62" s="10">
        <f t="shared" si="130"/>
        <v>-0.9616320646</v>
      </c>
    </row>
    <row r="63" ht="15.75" customHeight="1">
      <c r="A63" s="9" t="s">
        <v>57</v>
      </c>
      <c r="B63" s="10">
        <f t="shared" si="3"/>
        <v>-1.82991843</v>
      </c>
      <c r="C63" s="9" t="s">
        <v>58</v>
      </c>
      <c r="D63" s="9" t="s">
        <v>59</v>
      </c>
      <c r="E63" s="11" t="s">
        <v>84</v>
      </c>
      <c r="F63" s="9" t="s">
        <v>86</v>
      </c>
      <c r="G63" s="17" t="s">
        <v>89</v>
      </c>
      <c r="H63" s="11" t="s">
        <v>63</v>
      </c>
      <c r="I63" s="12">
        <v>20.0</v>
      </c>
      <c r="J63" s="17" t="s">
        <v>79</v>
      </c>
      <c r="K63" s="9" t="s">
        <v>65</v>
      </c>
      <c r="L63" s="11" t="s">
        <v>80</v>
      </c>
      <c r="M63" s="9" t="s">
        <v>82</v>
      </c>
      <c r="N63" s="9" t="s">
        <v>81</v>
      </c>
      <c r="O63" s="9" t="s">
        <v>69</v>
      </c>
      <c r="P63" s="11" t="s">
        <v>78</v>
      </c>
      <c r="Q63" s="11" t="s">
        <v>70</v>
      </c>
      <c r="R63" s="16">
        <v>529.241550683975</v>
      </c>
      <c r="S63" s="16">
        <v>412.639729976654</v>
      </c>
      <c r="T63" s="16">
        <v>4.80611846868778</v>
      </c>
      <c r="U63" s="16">
        <v>32.0381836211916</v>
      </c>
      <c r="V63" s="16">
        <v>5.66022823048608</v>
      </c>
      <c r="W63" s="16">
        <v>-0.190698902582846</v>
      </c>
      <c r="X63" s="16">
        <v>0.201515753709075</v>
      </c>
      <c r="Y63" s="16">
        <v>0.0546605285341767</v>
      </c>
      <c r="Z63" s="16">
        <v>0.233795912141715</v>
      </c>
      <c r="AA63" s="16">
        <v>-0.241576164862895</v>
      </c>
      <c r="AB63" s="16">
        <v>0.203738376007244</v>
      </c>
      <c r="AC63" s="16">
        <v>0.235638078767744</v>
      </c>
      <c r="AD63" s="16">
        <v>-0.248864181321374</v>
      </c>
      <c r="AE63" s="16">
        <v>0.185572344859161</v>
      </c>
      <c r="AF63" s="16">
        <v>0.215226287357842</v>
      </c>
      <c r="AG63" s="16">
        <v>-0.0219786994327917</v>
      </c>
      <c r="AH63" s="16">
        <v>10.0</v>
      </c>
      <c r="AI63" s="16">
        <v>4.80611846868765</v>
      </c>
      <c r="AJ63" s="16">
        <v>32.0381836211916</v>
      </c>
      <c r="AK63" s="16">
        <v>5.66022823048608</v>
      </c>
      <c r="AL63" s="16">
        <v>-0.19073611166191</v>
      </c>
      <c r="AM63" s="16">
        <v>4.99159021217762</v>
      </c>
      <c r="AN63" s="16">
        <v>33.3290638252535</v>
      </c>
      <c r="AO63" s="16">
        <v>5.77313292980973</v>
      </c>
      <c r="AP63" s="16">
        <v>-0.248864181321374</v>
      </c>
      <c r="AQ63" s="16">
        <v>4.54652244904928</v>
      </c>
      <c r="AR63" s="16">
        <v>27.8049934505969</v>
      </c>
      <c r="AS63" s="16">
        <v>5.27304404026715</v>
      </c>
      <c r="AT63" s="16">
        <v>-0.0219786994327915</v>
      </c>
      <c r="AU63" s="10">
        <f t="shared" ref="AU63:AV63" si="131">(AB63-AB$72)/AB$73</f>
        <v>2.489073481</v>
      </c>
      <c r="AV63" s="10">
        <f t="shared" si="131"/>
        <v>2.247756356</v>
      </c>
      <c r="AW63" s="10">
        <f t="shared" si="5"/>
        <v>2.327921491</v>
      </c>
      <c r="AX63" s="10">
        <f t="shared" si="6"/>
        <v>2.01122542</v>
      </c>
      <c r="AY63" s="10">
        <f t="shared" si="7"/>
        <v>2.393806842</v>
      </c>
      <c r="AZ63" s="10">
        <f t="shared" si="8"/>
        <v>2.192579603</v>
      </c>
      <c r="BA63" s="10">
        <f t="shared" si="9"/>
        <v>1.922281003</v>
      </c>
      <c r="BB63" s="10">
        <f t="shared" si="10"/>
        <v>1.91549003</v>
      </c>
      <c r="BC63" s="10">
        <f t="shared" si="11"/>
        <v>1.986460604</v>
      </c>
      <c r="BD63" s="10">
        <f t="shared" ref="BD63:BE63" si="132">((R63-R$72)/R$73)</f>
        <v>-0.1593873341</v>
      </c>
      <c r="BE63" s="10">
        <f t="shared" si="132"/>
        <v>0.8018952315</v>
      </c>
    </row>
    <row r="64" ht="15.75" customHeight="1">
      <c r="A64" s="9" t="s">
        <v>57</v>
      </c>
      <c r="B64" s="10">
        <f t="shared" si="3"/>
        <v>-3.1033693</v>
      </c>
      <c r="C64" s="9" t="s">
        <v>58</v>
      </c>
      <c r="D64" s="9" t="s">
        <v>59</v>
      </c>
      <c r="E64" s="11" t="s">
        <v>84</v>
      </c>
      <c r="F64" s="9" t="s">
        <v>86</v>
      </c>
      <c r="G64" s="17" t="s">
        <v>89</v>
      </c>
      <c r="H64" s="11" t="s">
        <v>72</v>
      </c>
      <c r="I64" s="12">
        <v>20.0</v>
      </c>
      <c r="J64" s="17" t="s">
        <v>79</v>
      </c>
      <c r="K64" s="9" t="s">
        <v>76</v>
      </c>
      <c r="L64" s="11" t="s">
        <v>66</v>
      </c>
      <c r="M64" s="9" t="s">
        <v>82</v>
      </c>
      <c r="N64" s="9" t="s">
        <v>81</v>
      </c>
      <c r="O64" s="9" t="s">
        <v>69</v>
      </c>
      <c r="P64" s="11" t="s">
        <v>77</v>
      </c>
      <c r="Q64" s="9"/>
      <c r="R64" s="16">
        <v>205.485952854156</v>
      </c>
      <c r="S64" s="16">
        <v>405.969983577728</v>
      </c>
      <c r="T64" s="16">
        <v>6.321659601026</v>
      </c>
      <c r="U64" s="16">
        <v>61.8866962184523</v>
      </c>
      <c r="V64" s="16">
        <v>7.86680978659407</v>
      </c>
      <c r="W64" s="16">
        <v>-1.29538088635562</v>
      </c>
      <c r="X64" s="16">
        <v>0.227892964267281</v>
      </c>
      <c r="Y64" s="16">
        <v>0.0814155513182812</v>
      </c>
      <c r="Z64" s="16">
        <v>0.285334104723359</v>
      </c>
      <c r="AA64" s="16">
        <v>-0.847971980112482</v>
      </c>
      <c r="AB64" s="16">
        <v>0.232304338451178</v>
      </c>
      <c r="AC64" s="16">
        <v>0.289390374136403</v>
      </c>
      <c r="AD64" s="16">
        <v>-0.881769189419285</v>
      </c>
      <c r="AE64" s="16">
        <v>0.228245730237556</v>
      </c>
      <c r="AF64" s="16">
        <v>0.290575680628704</v>
      </c>
      <c r="AG64" s="16">
        <v>-0.856747788020049</v>
      </c>
      <c r="AH64" s="16">
        <v>10.0</v>
      </c>
      <c r="AI64" s="16">
        <v>6.32165960102618</v>
      </c>
      <c r="AJ64" s="16">
        <v>61.8866962184523</v>
      </c>
      <c r="AK64" s="16">
        <v>7.86680978659407</v>
      </c>
      <c r="AL64" s="16">
        <v>-1.29565462779693</v>
      </c>
      <c r="AM64" s="16">
        <v>5.6914562920542</v>
      </c>
      <c r="AN64" s="16">
        <v>50.2690098828452</v>
      </c>
      <c r="AO64" s="16">
        <v>7.09006416634188</v>
      </c>
      <c r="AP64" s="16">
        <v>-0.881769189419285</v>
      </c>
      <c r="AQ64" s="16">
        <v>5.59202039082042</v>
      </c>
      <c r="AR64" s="16">
        <v>50.681644260244</v>
      </c>
      <c r="AS64" s="16">
        <v>7.11910417540325</v>
      </c>
      <c r="AT64" s="16">
        <v>-0.856747788020049</v>
      </c>
      <c r="AU64" s="10">
        <f t="shared" ref="AU64:AV64" si="133">(AB64-AB$72)/AB$73</f>
        <v>3.086127127</v>
      </c>
      <c r="AV64" s="10">
        <f t="shared" si="133"/>
        <v>3.172099318</v>
      </c>
      <c r="AW64" s="10">
        <f t="shared" si="5"/>
        <v>3.514022991</v>
      </c>
      <c r="AX64" s="10">
        <f t="shared" si="6"/>
        <v>3.771142846</v>
      </c>
      <c r="AY64" s="10">
        <f t="shared" si="7"/>
        <v>3.886944092</v>
      </c>
      <c r="AZ64" s="10">
        <f t="shared" si="8"/>
        <v>4.014219013</v>
      </c>
      <c r="BA64" s="10">
        <f t="shared" si="9"/>
        <v>3.220820165</v>
      </c>
      <c r="BB64" s="10">
        <f t="shared" si="10"/>
        <v>4.549776209</v>
      </c>
      <c r="BC64" s="10">
        <f t="shared" si="11"/>
        <v>4.742625213</v>
      </c>
      <c r="BD64" s="10">
        <f t="shared" ref="BD64:BE64" si="134">((R64-R$72)/R$73)</f>
        <v>-0.573154202</v>
      </c>
      <c r="BE64" s="10">
        <f t="shared" si="134"/>
        <v>0.7524395325</v>
      </c>
    </row>
    <row r="65" ht="15.75" customHeight="1">
      <c r="A65" s="9" t="s">
        <v>71</v>
      </c>
      <c r="B65" s="10">
        <f t="shared" si="3"/>
        <v>-3.287399703</v>
      </c>
      <c r="C65" s="9" t="s">
        <v>58</v>
      </c>
      <c r="D65" s="9" t="s">
        <v>59</v>
      </c>
      <c r="E65" s="11" t="s">
        <v>84</v>
      </c>
      <c r="F65" s="9" t="s">
        <v>61</v>
      </c>
      <c r="G65" s="17" t="s">
        <v>85</v>
      </c>
      <c r="H65" s="11" t="s">
        <v>72</v>
      </c>
      <c r="I65" s="12">
        <v>20.0</v>
      </c>
      <c r="J65" s="17" t="s">
        <v>79</v>
      </c>
      <c r="K65" s="9" t="s">
        <v>76</v>
      </c>
      <c r="L65" s="11" t="s">
        <v>66</v>
      </c>
      <c r="M65" s="9" t="s">
        <v>67</v>
      </c>
      <c r="N65" s="9" t="s">
        <v>81</v>
      </c>
      <c r="O65" s="9" t="s">
        <v>69</v>
      </c>
      <c r="P65" s="11" t="s">
        <v>77</v>
      </c>
      <c r="Q65" s="9"/>
      <c r="R65" s="16">
        <v>245.184883594512</v>
      </c>
      <c r="S65" s="16">
        <v>430.326149225235</v>
      </c>
      <c r="T65" s="16">
        <v>5.87989904480629</v>
      </c>
      <c r="U65" s="16">
        <v>52.8583596488559</v>
      </c>
      <c r="V65" s="16">
        <v>7.27037548197174</v>
      </c>
      <c r="W65" s="16">
        <v>-0.956457876263246</v>
      </c>
      <c r="X65" s="16">
        <v>0.299249595702623</v>
      </c>
      <c r="Y65" s="16">
        <v>0.146945907841399</v>
      </c>
      <c r="Z65" s="16">
        <v>0.383335242107218</v>
      </c>
      <c r="AA65" s="16">
        <v>-2.28863359204657</v>
      </c>
      <c r="AB65" s="16">
        <v>0.301233258398319</v>
      </c>
      <c r="AC65" s="16">
        <v>0.385227222425391</v>
      </c>
      <c r="AD65" s="16">
        <v>-2.30529139165833</v>
      </c>
      <c r="AE65" s="16">
        <v>0.208734158675886</v>
      </c>
      <c r="AF65" s="16">
        <v>0.259012981156863</v>
      </c>
      <c r="AG65" s="16">
        <v>-0.488093147315766</v>
      </c>
      <c r="AH65" s="16">
        <v>10.0</v>
      </c>
      <c r="AI65" s="16">
        <v>5.87989904480642</v>
      </c>
      <c r="AJ65" s="16">
        <v>52.8583596488559</v>
      </c>
      <c r="AK65" s="16">
        <v>7.27037548197174</v>
      </c>
      <c r="AL65" s="16">
        <v>-0.956552952288896</v>
      </c>
      <c r="AM65" s="16">
        <v>7.38021483075952</v>
      </c>
      <c r="AN65" s="16">
        <v>89.0771077417735</v>
      </c>
      <c r="AO65" s="16">
        <v>9.43806694942208</v>
      </c>
      <c r="AP65" s="16">
        <v>-2.30529139165833</v>
      </c>
      <c r="AQ65" s="16">
        <v>5.11398688755932</v>
      </c>
      <c r="AR65" s="16">
        <v>40.2694065757614</v>
      </c>
      <c r="AS65" s="16">
        <v>6.34581803834316</v>
      </c>
      <c r="AT65" s="16">
        <v>-0.488093147315766</v>
      </c>
      <c r="AU65" s="10">
        <f t="shared" ref="AU65:AV65" si="135">(AB65-AB$72)/AB$73</f>
        <v>4.526801954</v>
      </c>
      <c r="AV65" s="10">
        <f t="shared" si="135"/>
        <v>4.820142731</v>
      </c>
      <c r="AW65" s="10">
        <f t="shared" si="5"/>
        <v>2.971701258</v>
      </c>
      <c r="AX65" s="10">
        <f t="shared" si="6"/>
        <v>3.033940562</v>
      </c>
      <c r="AY65" s="10">
        <f t="shared" si="7"/>
        <v>3.451713977</v>
      </c>
      <c r="AZ65" s="10">
        <f t="shared" si="8"/>
        <v>3.521833752</v>
      </c>
      <c r="BA65" s="10">
        <f t="shared" si="9"/>
        <v>6.141478563</v>
      </c>
      <c r="BB65" s="10">
        <f t="shared" si="10"/>
        <v>3.38641039</v>
      </c>
      <c r="BC65" s="10">
        <f t="shared" si="11"/>
        <v>3.896752849</v>
      </c>
      <c r="BD65" s="10">
        <f t="shared" ref="BD65:BE65" si="136">((R65-R$72)/R$73)</f>
        <v>-0.5224180839</v>
      </c>
      <c r="BE65" s="10">
        <f t="shared" si="136"/>
        <v>0.9330387827</v>
      </c>
    </row>
    <row r="66" ht="15.75" customHeight="1">
      <c r="A66" s="9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13"/>
      <c r="N66" s="14"/>
      <c r="O66" s="9"/>
      <c r="P66" s="9"/>
      <c r="Q66" s="9"/>
      <c r="R66" s="14"/>
      <c r="S66" s="14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</row>
    <row r="67" ht="15.75" customHeight="1">
      <c r="A67" s="9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13"/>
      <c r="N67" s="14"/>
      <c r="O67" s="9"/>
      <c r="P67" s="9"/>
      <c r="Q67" s="9"/>
      <c r="R67" s="14"/>
      <c r="S67" s="14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</row>
    <row r="68" ht="15.75" customHeight="1">
      <c r="A68" s="9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13"/>
      <c r="N68" s="14"/>
      <c r="O68" s="9"/>
      <c r="P68" s="9"/>
      <c r="Q68" s="9"/>
      <c r="R68" s="14"/>
      <c r="S68" s="14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</row>
    <row r="69" ht="15.75" customHeight="1">
      <c r="A69" s="9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13"/>
      <c r="N69" s="14"/>
      <c r="O69" s="9"/>
      <c r="P69" s="9"/>
      <c r="Q69" s="9"/>
      <c r="R69" s="14"/>
      <c r="S69" s="14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</row>
    <row r="70" ht="15.75" customHeight="1">
      <c r="A70" s="9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13"/>
      <c r="N70" s="14"/>
      <c r="O70" s="9"/>
      <c r="P70" s="9"/>
      <c r="Q70" s="9"/>
      <c r="R70" s="14"/>
      <c r="S70" s="14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</row>
    <row r="71" ht="15.75" customHeight="1">
      <c r="A71" s="9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13"/>
      <c r="N71" s="14"/>
      <c r="O71" s="9"/>
      <c r="P71" s="9"/>
      <c r="Q71" s="9"/>
      <c r="R71" s="14"/>
      <c r="S71" s="14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</row>
    <row r="72" ht="15.75" customHeight="1">
      <c r="A72" s="9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13"/>
      <c r="N72" s="14"/>
      <c r="O72" s="18" t="s">
        <v>91</v>
      </c>
      <c r="P72" s="7"/>
      <c r="Q72" s="14"/>
      <c r="R72" s="19">
        <f t="shared" ref="R72:AT72" si="137">AVERAGE(R2:R65)</f>
        <v>653.9556002</v>
      </c>
      <c r="S72" s="19">
        <f t="shared" si="137"/>
        <v>304.4936935</v>
      </c>
      <c r="T72" s="19">
        <f t="shared" si="137"/>
        <v>2.376393583</v>
      </c>
      <c r="U72" s="19">
        <f t="shared" si="137"/>
        <v>10.47030412</v>
      </c>
      <c r="V72" s="19">
        <f t="shared" si="137"/>
        <v>3.004320761</v>
      </c>
      <c r="W72" s="19">
        <f t="shared" si="137"/>
        <v>0.6057659136</v>
      </c>
      <c r="X72" s="19">
        <f t="shared" si="137"/>
        <v>0.08459917456</v>
      </c>
      <c r="Y72" s="19">
        <f t="shared" si="137"/>
        <v>0.01427984592</v>
      </c>
      <c r="Z72" s="19">
        <f t="shared" si="137"/>
        <v>0.1049689144</v>
      </c>
      <c r="AA72" s="19">
        <f t="shared" si="137"/>
        <v>0.6869118665</v>
      </c>
      <c r="AB72" s="19">
        <f t="shared" si="137"/>
        <v>0.08464894409</v>
      </c>
      <c r="AC72" s="19">
        <f t="shared" si="137"/>
        <v>0.1049267861</v>
      </c>
      <c r="AD72" s="19">
        <f t="shared" si="137"/>
        <v>0.6880511692</v>
      </c>
      <c r="AE72" s="19">
        <f t="shared" si="137"/>
        <v>0.1043806665</v>
      </c>
      <c r="AF72" s="19">
        <f t="shared" si="137"/>
        <v>0.1323526865</v>
      </c>
      <c r="AG72" s="19">
        <f t="shared" si="137"/>
        <v>0.5850137677</v>
      </c>
      <c r="AH72" s="19">
        <f t="shared" si="137"/>
        <v>10</v>
      </c>
      <c r="AI72" s="19">
        <f t="shared" si="137"/>
        <v>2.376393583</v>
      </c>
      <c r="AJ72" s="19">
        <f t="shared" si="137"/>
        <v>10.47030412</v>
      </c>
      <c r="AK72" s="19">
        <f t="shared" si="137"/>
        <v>3.004320761</v>
      </c>
      <c r="AL72" s="19">
        <f t="shared" si="137"/>
        <v>0.6056158534</v>
      </c>
      <c r="AM72" s="19">
        <f t="shared" si="137"/>
        <v>2.023862398</v>
      </c>
      <c r="AN72" s="19">
        <f t="shared" si="137"/>
        <v>8.246926103</v>
      </c>
      <c r="AO72" s="19">
        <f t="shared" si="137"/>
        <v>2.508958482</v>
      </c>
      <c r="AP72" s="19">
        <f t="shared" si="137"/>
        <v>0.6880511692</v>
      </c>
      <c r="AQ72" s="19">
        <f t="shared" si="137"/>
        <v>2.49455883</v>
      </c>
      <c r="AR72" s="19">
        <f t="shared" si="137"/>
        <v>11.09004007</v>
      </c>
      <c r="AS72" s="19">
        <f t="shared" si="137"/>
        <v>3.163375136</v>
      </c>
      <c r="AT72" s="19">
        <f t="shared" si="137"/>
        <v>0.5850137677</v>
      </c>
      <c r="AU72" s="13"/>
      <c r="AV72" s="9"/>
      <c r="AW72" s="9"/>
      <c r="AX72" s="9"/>
      <c r="AY72" s="9"/>
      <c r="AZ72" s="9"/>
      <c r="BA72" s="9"/>
      <c r="BB72" s="9"/>
      <c r="BC72" s="9"/>
      <c r="BD72" s="9"/>
      <c r="BE72" s="9"/>
    </row>
    <row r="73" ht="15.75" customHeight="1">
      <c r="A73" s="9"/>
      <c r="B73" s="8"/>
      <c r="C73" s="9"/>
      <c r="D73" s="9"/>
      <c r="E73" s="9"/>
      <c r="F73" s="9"/>
      <c r="G73" s="9"/>
      <c r="H73" s="9"/>
      <c r="I73" s="9"/>
      <c r="J73" s="9"/>
      <c r="K73" s="8"/>
      <c r="L73" s="9"/>
      <c r="M73" s="13"/>
      <c r="N73" s="13"/>
      <c r="O73" s="18" t="s">
        <v>92</v>
      </c>
      <c r="P73" s="7"/>
      <c r="Q73" s="14"/>
      <c r="R73" s="19">
        <f t="shared" ref="R73:AT73" si="138">STDEV(R2:R65)</f>
        <v>782.4589714</v>
      </c>
      <c r="S73" s="19">
        <f t="shared" si="138"/>
        <v>134.8630497</v>
      </c>
      <c r="T73" s="19">
        <f t="shared" si="138"/>
        <v>1.01500457</v>
      </c>
      <c r="U73" s="19">
        <f t="shared" si="138"/>
        <v>10.73270828</v>
      </c>
      <c r="V73" s="19">
        <f t="shared" si="138"/>
        <v>1.211316326</v>
      </c>
      <c r="W73" s="19">
        <f t="shared" si="138"/>
        <v>0.4008741301</v>
      </c>
      <c r="X73" s="19">
        <f t="shared" si="138"/>
        <v>0.04722610705</v>
      </c>
      <c r="Y73" s="19">
        <f t="shared" si="138"/>
        <v>0.02165171348</v>
      </c>
      <c r="Z73" s="19">
        <f t="shared" si="138"/>
        <v>0.05755988851</v>
      </c>
      <c r="AA73" s="19">
        <f t="shared" si="138"/>
        <v>0.4831480034</v>
      </c>
      <c r="AB73" s="19">
        <f t="shared" si="138"/>
        <v>0.04784488399</v>
      </c>
      <c r="AC73" s="19">
        <f t="shared" si="138"/>
        <v>0.05815189548</v>
      </c>
      <c r="AD73" s="19">
        <f t="shared" si="138"/>
        <v>0.4873977056</v>
      </c>
      <c r="AE73" s="19">
        <f t="shared" si="138"/>
        <v>0.03677180064</v>
      </c>
      <c r="AF73" s="19">
        <f t="shared" si="138"/>
        <v>0.0436549875</v>
      </c>
      <c r="AG73" s="19">
        <f t="shared" si="138"/>
        <v>0.3168862576</v>
      </c>
      <c r="AH73" s="19">
        <f t="shared" si="138"/>
        <v>0</v>
      </c>
      <c r="AI73" s="19">
        <f t="shared" si="138"/>
        <v>1.01500457</v>
      </c>
      <c r="AJ73" s="19">
        <f t="shared" si="138"/>
        <v>10.73270828</v>
      </c>
      <c r="AK73" s="19">
        <f t="shared" si="138"/>
        <v>1.211316326</v>
      </c>
      <c r="AL73" s="19">
        <f t="shared" si="138"/>
        <v>0.400889886</v>
      </c>
      <c r="AM73" s="19">
        <f t="shared" si="138"/>
        <v>1.156429622</v>
      </c>
      <c r="AN73" s="19">
        <f t="shared" si="138"/>
        <v>13.06284681</v>
      </c>
      <c r="AO73" s="19">
        <f t="shared" si="138"/>
        <v>1.408203967</v>
      </c>
      <c r="AP73" s="19">
        <f t="shared" si="138"/>
        <v>0.4873977056</v>
      </c>
      <c r="AQ73" s="19">
        <f t="shared" si="138"/>
        <v>0.8814573977</v>
      </c>
      <c r="AR73" s="19">
        <f t="shared" si="138"/>
        <v>8.543438998</v>
      </c>
      <c r="AS73" s="19">
        <f t="shared" si="138"/>
        <v>1.048947017</v>
      </c>
      <c r="AT73" s="19">
        <f t="shared" si="138"/>
        <v>0.3168862576</v>
      </c>
      <c r="AU73" s="8"/>
      <c r="AV73" s="9"/>
      <c r="AW73" s="9"/>
      <c r="AX73" s="9"/>
      <c r="AY73" s="9"/>
      <c r="AZ73" s="9"/>
      <c r="BA73" s="9"/>
      <c r="BB73" s="9"/>
      <c r="BC73" s="9"/>
      <c r="BD73" s="9"/>
      <c r="BE73" s="9"/>
    </row>
    <row r="74" ht="15.75" customHeight="1">
      <c r="A74" s="9"/>
      <c r="B74" s="8"/>
      <c r="C74" s="9"/>
      <c r="D74" s="9"/>
      <c r="E74" s="9"/>
      <c r="F74" s="9"/>
      <c r="G74" s="9"/>
      <c r="H74" s="9"/>
      <c r="I74" s="9"/>
      <c r="J74" s="9"/>
      <c r="K74" s="8"/>
      <c r="L74" s="9"/>
      <c r="M74" s="13"/>
      <c r="N74" s="13"/>
      <c r="O74" s="13"/>
      <c r="P74" s="13"/>
      <c r="Q74" s="13"/>
      <c r="R74" s="14"/>
      <c r="S74" s="14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</row>
    <row r="75" ht="15.75" customHeight="1">
      <c r="A75" s="9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13"/>
      <c r="N75" s="14"/>
      <c r="O75" s="9"/>
      <c r="P75" s="9"/>
      <c r="Q75" s="9"/>
      <c r="R75" s="14"/>
      <c r="S75" s="14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</row>
    <row r="76" ht="15.75" customHeight="1">
      <c r="A76" s="9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14"/>
      <c r="O76" s="9"/>
      <c r="P76" s="9"/>
      <c r="Q76" s="9"/>
      <c r="R76" s="14"/>
      <c r="S76" s="14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</row>
    <row r="77" ht="15.75" customHeight="1">
      <c r="A77" s="9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14"/>
      <c r="O77" s="9"/>
      <c r="P77" s="9"/>
      <c r="Q77" s="9"/>
      <c r="R77" s="14"/>
      <c r="S77" s="14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</row>
    <row r="78" ht="15.75" customHeight="1">
      <c r="A78" s="9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13"/>
      <c r="N78" s="14"/>
      <c r="O78" s="9"/>
      <c r="P78" s="9"/>
      <c r="Q78" s="9"/>
      <c r="R78" s="14"/>
      <c r="S78" s="14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</row>
    <row r="79" ht="15.75" customHeight="1">
      <c r="A79" s="9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13"/>
      <c r="N79" s="14"/>
      <c r="O79" s="9"/>
      <c r="P79" s="9"/>
      <c r="Q79" s="9"/>
      <c r="R79" s="14"/>
      <c r="S79" s="14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</row>
    <row r="80" ht="15.75" customHeight="1">
      <c r="A80" s="9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13"/>
      <c r="N80" s="14"/>
      <c r="O80" s="9"/>
      <c r="P80" s="9"/>
      <c r="Q80" s="9"/>
      <c r="R80" s="14"/>
      <c r="S80" s="14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</row>
    <row r="81" ht="15.75" customHeight="1">
      <c r="A81" s="9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13"/>
      <c r="N81" s="14"/>
      <c r="O81" s="9"/>
      <c r="P81" s="9"/>
      <c r="Q81" s="9"/>
      <c r="R81" s="14"/>
      <c r="S81" s="14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</row>
    <row r="82" ht="15.75" customHeight="1">
      <c r="A82" s="9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13"/>
      <c r="N82" s="14"/>
      <c r="O82" s="9"/>
      <c r="P82" s="9"/>
      <c r="Q82" s="9"/>
      <c r="R82" s="14"/>
      <c r="S82" s="14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</row>
    <row r="83" ht="15.75" customHeight="1">
      <c r="A83" s="9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13"/>
      <c r="N83" s="14"/>
      <c r="O83" s="9"/>
      <c r="P83" s="9"/>
      <c r="Q83" s="9"/>
      <c r="R83" s="14"/>
      <c r="S83" s="14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</row>
    <row r="84" ht="15.75" customHeight="1">
      <c r="A84" s="9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13"/>
      <c r="N84" s="14"/>
      <c r="O84" s="9"/>
      <c r="P84" s="9"/>
      <c r="Q84" s="9"/>
      <c r="R84" s="14"/>
      <c r="S84" s="14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</row>
    <row r="85" ht="15.75" customHeight="1">
      <c r="A85" s="9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13"/>
      <c r="N85" s="14"/>
      <c r="O85" s="9"/>
      <c r="P85" s="9"/>
      <c r="Q85" s="9"/>
      <c r="R85" s="14"/>
      <c r="S85" s="14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</row>
    <row r="86" ht="15.75" customHeight="1">
      <c r="A86" s="9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13"/>
      <c r="N86" s="14"/>
      <c r="O86" s="9"/>
      <c r="P86" s="9"/>
      <c r="Q86" s="9"/>
      <c r="R86" s="14"/>
      <c r="S86" s="14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</row>
    <row r="87" ht="15.75" customHeight="1">
      <c r="A87" s="9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13"/>
      <c r="N87" s="14"/>
      <c r="O87" s="9"/>
      <c r="P87" s="9"/>
      <c r="Q87" s="9"/>
      <c r="R87" s="14"/>
      <c r="S87" s="14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</row>
    <row r="88" ht="15.75" customHeight="1">
      <c r="A88" s="9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13"/>
      <c r="N88" s="14"/>
      <c r="O88" s="9"/>
      <c r="P88" s="9"/>
      <c r="Q88" s="9"/>
      <c r="R88" s="14"/>
      <c r="S88" s="14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</row>
    <row r="89" ht="15.75" customHeight="1">
      <c r="A89" s="9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13"/>
      <c r="N89" s="14"/>
      <c r="O89" s="9"/>
      <c r="P89" s="9"/>
      <c r="Q89" s="9"/>
      <c r="R89" s="14"/>
      <c r="S89" s="14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</row>
    <row r="90" ht="15.75" customHeight="1">
      <c r="A90" s="9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13"/>
      <c r="N90" s="14"/>
      <c r="O90" s="9"/>
      <c r="P90" s="9"/>
      <c r="Q90" s="9"/>
      <c r="R90" s="14"/>
      <c r="S90" s="14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</row>
    <row r="91" ht="15.75" customHeight="1">
      <c r="A91" s="9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13"/>
      <c r="N91" s="14"/>
      <c r="O91" s="9"/>
      <c r="P91" s="9"/>
      <c r="Q91" s="9"/>
      <c r="R91" s="14"/>
      <c r="S91" s="14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</row>
    <row r="92" ht="15.75" customHeight="1">
      <c r="A92" s="9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13"/>
      <c r="N92" s="14"/>
      <c r="O92" s="9"/>
      <c r="P92" s="9"/>
      <c r="Q92" s="9"/>
      <c r="R92" s="14"/>
      <c r="S92" s="14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</row>
    <row r="93" ht="15.75" customHeight="1">
      <c r="A93" s="9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13"/>
      <c r="N93" s="14"/>
      <c r="O93" s="9"/>
      <c r="P93" s="9"/>
      <c r="Q93" s="9"/>
      <c r="R93" s="14"/>
      <c r="S93" s="14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</row>
    <row r="94" ht="15.75" customHeight="1">
      <c r="A94" s="9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13"/>
      <c r="N94" s="14"/>
      <c r="O94" s="9"/>
      <c r="P94" s="9"/>
      <c r="Q94" s="9"/>
      <c r="R94" s="14"/>
      <c r="S94" s="14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</row>
    <row r="95" ht="15.75" customHeight="1">
      <c r="A95" s="9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13"/>
      <c r="N95" s="14"/>
      <c r="O95" s="9"/>
      <c r="P95" s="9"/>
      <c r="Q95" s="9"/>
      <c r="R95" s="14"/>
      <c r="S95" s="14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</row>
    <row r="96" ht="15.75" customHeight="1">
      <c r="A96" s="9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13"/>
      <c r="N96" s="14"/>
      <c r="O96" s="9"/>
      <c r="P96" s="9"/>
      <c r="Q96" s="9"/>
      <c r="R96" s="14"/>
      <c r="S96" s="14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</row>
    <row r="97" ht="15.75" customHeight="1">
      <c r="A97" s="9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13"/>
      <c r="N97" s="14"/>
      <c r="O97" s="9"/>
      <c r="P97" s="9"/>
      <c r="Q97" s="9"/>
      <c r="R97" s="14"/>
      <c r="S97" s="14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</row>
    <row r="98" ht="15.75" customHeight="1">
      <c r="A98" s="9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13"/>
      <c r="N98" s="14"/>
      <c r="O98" s="9"/>
      <c r="P98" s="9"/>
      <c r="Q98" s="9"/>
      <c r="R98" s="14"/>
      <c r="S98" s="14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</row>
    <row r="99" ht="15.75" customHeight="1">
      <c r="A99" s="9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13"/>
      <c r="N99" s="14"/>
      <c r="O99" s="9"/>
      <c r="P99" s="9"/>
      <c r="Q99" s="9"/>
      <c r="R99" s="14"/>
      <c r="S99" s="14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</row>
    <row r="100" ht="15.75" customHeight="1">
      <c r="A100" s="9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3"/>
      <c r="N100" s="14"/>
      <c r="O100" s="9"/>
      <c r="P100" s="9"/>
      <c r="Q100" s="9"/>
      <c r="R100" s="14"/>
      <c r="S100" s="14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</row>
    <row r="101" ht="15.75" customHeight="1">
      <c r="A101" s="9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3"/>
      <c r="N101" s="14"/>
      <c r="O101" s="9"/>
      <c r="P101" s="9"/>
      <c r="Q101" s="9"/>
      <c r="R101" s="14"/>
      <c r="S101" s="14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</row>
    <row r="102" ht="15.75" customHeight="1">
      <c r="A102" s="9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3"/>
      <c r="N102" s="14"/>
      <c r="O102" s="9"/>
      <c r="P102" s="9"/>
      <c r="Q102" s="9"/>
      <c r="R102" s="14"/>
      <c r="S102" s="14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</row>
    <row r="103" ht="15.75" customHeight="1">
      <c r="A103" s="9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3"/>
      <c r="N103" s="14"/>
      <c r="O103" s="9"/>
      <c r="P103" s="9"/>
      <c r="Q103" s="9"/>
      <c r="R103" s="14"/>
      <c r="S103" s="14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</row>
    <row r="104" ht="15.75" customHeight="1">
      <c r="A104" s="9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3"/>
      <c r="N104" s="14"/>
      <c r="O104" s="9"/>
      <c r="P104" s="9"/>
      <c r="Q104" s="9"/>
      <c r="R104" s="14"/>
      <c r="S104" s="14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</row>
    <row r="105" ht="15.75" customHeight="1">
      <c r="A105" s="9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3"/>
      <c r="N105" s="14"/>
      <c r="O105" s="9"/>
      <c r="P105" s="9"/>
      <c r="Q105" s="9"/>
      <c r="R105" s="14"/>
      <c r="S105" s="14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</row>
    <row r="106" ht="15.75" customHeight="1">
      <c r="A106" s="9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3"/>
      <c r="N106" s="14"/>
      <c r="O106" s="9"/>
      <c r="P106" s="9"/>
      <c r="Q106" s="9"/>
      <c r="R106" s="14"/>
      <c r="S106" s="14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</row>
    <row r="107" ht="15.75" customHeight="1">
      <c r="A107" s="9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3"/>
      <c r="N107" s="14"/>
      <c r="O107" s="9"/>
      <c r="P107" s="9"/>
      <c r="Q107" s="9"/>
      <c r="R107" s="14"/>
      <c r="S107" s="14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</row>
    <row r="108" ht="15.75" customHeight="1">
      <c r="A108" s="9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3"/>
      <c r="N108" s="14"/>
      <c r="O108" s="9"/>
      <c r="P108" s="9"/>
      <c r="Q108" s="9"/>
      <c r="R108" s="14"/>
      <c r="S108" s="14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</row>
    <row r="109" ht="15.75" customHeight="1">
      <c r="A109" s="9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3"/>
      <c r="N109" s="14"/>
      <c r="O109" s="9"/>
      <c r="P109" s="9"/>
      <c r="Q109" s="9"/>
      <c r="R109" s="14"/>
      <c r="S109" s="14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</row>
    <row r="110" ht="15.75" customHeight="1">
      <c r="A110" s="9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3"/>
      <c r="N110" s="14"/>
      <c r="O110" s="9"/>
      <c r="P110" s="9"/>
      <c r="Q110" s="9"/>
      <c r="R110" s="14"/>
      <c r="S110" s="14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</row>
    <row r="111" ht="15.75" customHeight="1">
      <c r="A111" s="9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3"/>
      <c r="N111" s="14"/>
      <c r="O111" s="9"/>
      <c r="P111" s="9"/>
      <c r="Q111" s="9"/>
      <c r="R111" s="14"/>
      <c r="S111" s="14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</row>
    <row r="112" ht="15.75" customHeight="1">
      <c r="A112" s="9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3"/>
      <c r="N112" s="14"/>
      <c r="O112" s="9"/>
      <c r="P112" s="9"/>
      <c r="Q112" s="9"/>
      <c r="R112" s="14"/>
      <c r="S112" s="14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</row>
    <row r="113" ht="15.75" customHeight="1">
      <c r="A113" s="9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3"/>
      <c r="N113" s="14"/>
      <c r="O113" s="9"/>
      <c r="P113" s="9"/>
      <c r="Q113" s="9"/>
      <c r="R113" s="14"/>
      <c r="S113" s="14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</row>
    <row r="114" ht="15.75" customHeight="1">
      <c r="A114" s="9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3"/>
      <c r="N114" s="14"/>
      <c r="O114" s="9"/>
      <c r="P114" s="9"/>
      <c r="Q114" s="9"/>
      <c r="R114" s="14"/>
      <c r="S114" s="14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</row>
    <row r="115" ht="15.75" customHeight="1">
      <c r="A115" s="9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3"/>
      <c r="N115" s="14"/>
      <c r="O115" s="9"/>
      <c r="P115" s="9"/>
      <c r="Q115" s="9"/>
      <c r="R115" s="14"/>
      <c r="S115" s="14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</row>
    <row r="116" ht="15.75" customHeight="1">
      <c r="A116" s="9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3"/>
      <c r="N116" s="14"/>
      <c r="O116" s="9"/>
      <c r="P116" s="9"/>
      <c r="Q116" s="9"/>
      <c r="R116" s="14"/>
      <c r="S116" s="14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</row>
    <row r="117" ht="15.75" customHeight="1">
      <c r="A117" s="9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3"/>
      <c r="N117" s="14"/>
      <c r="O117" s="9"/>
      <c r="P117" s="9"/>
      <c r="Q117" s="9"/>
      <c r="R117" s="14"/>
      <c r="S117" s="14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</row>
    <row r="118" ht="15.75" customHeight="1">
      <c r="A118" s="9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3"/>
      <c r="N118" s="14"/>
      <c r="O118" s="9"/>
      <c r="P118" s="9"/>
      <c r="Q118" s="9"/>
      <c r="R118" s="14"/>
      <c r="S118" s="14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</row>
    <row r="119" ht="15.75" customHeight="1">
      <c r="A119" s="9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3"/>
      <c r="N119" s="14"/>
      <c r="O119" s="9"/>
      <c r="P119" s="9"/>
      <c r="Q119" s="9"/>
      <c r="R119" s="14"/>
      <c r="S119" s="14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</row>
    <row r="120" ht="15.75" customHeight="1">
      <c r="A120" s="9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3"/>
      <c r="N120" s="14"/>
      <c r="O120" s="9"/>
      <c r="P120" s="9"/>
      <c r="Q120" s="9"/>
      <c r="R120" s="14"/>
      <c r="S120" s="14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</row>
    <row r="121" ht="15.75" customHeight="1">
      <c r="A121" s="9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3"/>
      <c r="N121" s="14"/>
      <c r="O121" s="9"/>
      <c r="P121" s="9"/>
      <c r="Q121" s="9"/>
      <c r="R121" s="14"/>
      <c r="S121" s="14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</row>
    <row r="122" ht="15.75" customHeight="1">
      <c r="A122" s="9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3"/>
      <c r="N122" s="14"/>
      <c r="O122" s="9"/>
      <c r="P122" s="9"/>
      <c r="Q122" s="9"/>
      <c r="R122" s="14"/>
      <c r="S122" s="14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</row>
    <row r="123" ht="15.75" customHeight="1">
      <c r="A123" s="9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3"/>
      <c r="N123" s="14"/>
      <c r="O123" s="9"/>
      <c r="P123" s="9"/>
      <c r="Q123" s="9"/>
      <c r="R123" s="14"/>
      <c r="S123" s="14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</row>
    <row r="124" ht="15.75" customHeight="1">
      <c r="A124" s="9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3"/>
      <c r="N124" s="14"/>
      <c r="O124" s="9"/>
      <c r="P124" s="9"/>
      <c r="Q124" s="9"/>
      <c r="R124" s="14"/>
      <c r="S124" s="14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</row>
    <row r="125" ht="15.75" customHeight="1">
      <c r="A125" s="9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3"/>
      <c r="N125" s="14"/>
      <c r="O125" s="9"/>
      <c r="P125" s="9"/>
      <c r="Q125" s="9"/>
      <c r="R125" s="14"/>
      <c r="S125" s="14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</row>
    <row r="126" ht="15.75" customHeight="1">
      <c r="A126" s="9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3"/>
      <c r="N126" s="14"/>
      <c r="O126" s="9"/>
      <c r="P126" s="9"/>
      <c r="Q126" s="9"/>
      <c r="R126" s="14"/>
      <c r="S126" s="14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</row>
    <row r="127" ht="15.75" customHeight="1">
      <c r="A127" s="9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3"/>
      <c r="N127" s="14"/>
      <c r="O127" s="9"/>
      <c r="P127" s="9"/>
      <c r="Q127" s="9"/>
      <c r="R127" s="14"/>
      <c r="S127" s="14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</row>
    <row r="128" ht="15.75" customHeight="1">
      <c r="A128" s="9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3"/>
      <c r="N128" s="14"/>
      <c r="O128" s="9"/>
      <c r="P128" s="9"/>
      <c r="Q128" s="9"/>
      <c r="R128" s="14"/>
      <c r="S128" s="14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</row>
    <row r="129" ht="15.75" customHeight="1">
      <c r="A129" s="9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3"/>
      <c r="N129" s="14"/>
      <c r="O129" s="9"/>
      <c r="P129" s="9"/>
      <c r="Q129" s="9"/>
      <c r="R129" s="14"/>
      <c r="S129" s="14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</row>
    <row r="130" ht="15.75" customHeight="1">
      <c r="A130" s="9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3"/>
      <c r="N130" s="14"/>
      <c r="O130" s="9"/>
      <c r="P130" s="9"/>
      <c r="Q130" s="9"/>
      <c r="R130" s="14"/>
      <c r="S130" s="14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</row>
    <row r="131" ht="15.75" customHeight="1">
      <c r="A131" s="9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3"/>
      <c r="N131" s="14"/>
      <c r="O131" s="9"/>
      <c r="P131" s="9"/>
      <c r="Q131" s="9"/>
      <c r="R131" s="14"/>
      <c r="S131" s="14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</row>
    <row r="132" ht="15.75" customHeight="1">
      <c r="A132" s="9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3"/>
      <c r="N132" s="14"/>
      <c r="O132" s="9"/>
      <c r="P132" s="9"/>
      <c r="Q132" s="9"/>
      <c r="R132" s="14"/>
      <c r="S132" s="14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</row>
    <row r="133" ht="15.75" customHeight="1">
      <c r="A133" s="9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3"/>
      <c r="N133" s="14"/>
      <c r="O133" s="9"/>
      <c r="P133" s="9"/>
      <c r="Q133" s="9"/>
      <c r="R133" s="14"/>
      <c r="S133" s="14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</row>
    <row r="134" ht="15.75" customHeight="1">
      <c r="A134" s="9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3"/>
      <c r="N134" s="14"/>
      <c r="O134" s="9"/>
      <c r="P134" s="9"/>
      <c r="Q134" s="9"/>
      <c r="R134" s="14"/>
      <c r="S134" s="14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</row>
    <row r="135" ht="15.75" customHeight="1">
      <c r="A135" s="9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3"/>
      <c r="N135" s="14"/>
      <c r="O135" s="9"/>
      <c r="P135" s="9"/>
      <c r="Q135" s="9"/>
      <c r="R135" s="14"/>
      <c r="S135" s="14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</row>
    <row r="136" ht="15.75" customHeight="1">
      <c r="A136" s="9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3"/>
      <c r="N136" s="14"/>
      <c r="O136" s="9"/>
      <c r="P136" s="9"/>
      <c r="Q136" s="9"/>
      <c r="R136" s="14"/>
      <c r="S136" s="14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</row>
    <row r="137" ht="15.75" customHeight="1">
      <c r="A137" s="9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3"/>
      <c r="N137" s="14"/>
      <c r="O137" s="9"/>
      <c r="P137" s="9"/>
      <c r="Q137" s="9"/>
      <c r="R137" s="14"/>
      <c r="S137" s="14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</row>
    <row r="138" ht="15.75" customHeight="1">
      <c r="A138" s="9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3"/>
      <c r="N138" s="14"/>
      <c r="O138" s="9"/>
      <c r="P138" s="9"/>
      <c r="Q138" s="9"/>
      <c r="R138" s="14"/>
      <c r="S138" s="14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</row>
    <row r="139" ht="15.75" customHeight="1">
      <c r="A139" s="9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3"/>
      <c r="N139" s="14"/>
      <c r="O139" s="9"/>
      <c r="P139" s="9"/>
      <c r="Q139" s="9"/>
      <c r="R139" s="14"/>
      <c r="S139" s="14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</row>
    <row r="140" ht="15.75" customHeight="1">
      <c r="A140" s="9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3"/>
      <c r="N140" s="14"/>
      <c r="O140" s="9"/>
      <c r="P140" s="9"/>
      <c r="Q140" s="9"/>
      <c r="R140" s="14"/>
      <c r="S140" s="14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</row>
    <row r="141" ht="15.75" customHeight="1">
      <c r="A141" s="9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3"/>
      <c r="N141" s="14"/>
      <c r="O141" s="9"/>
      <c r="P141" s="9"/>
      <c r="Q141" s="9"/>
      <c r="R141" s="14"/>
      <c r="S141" s="14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</row>
    <row r="142" ht="15.75" customHeight="1">
      <c r="A142" s="9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3"/>
      <c r="N142" s="14"/>
      <c r="O142" s="9"/>
      <c r="P142" s="9"/>
      <c r="Q142" s="9"/>
      <c r="R142" s="14"/>
      <c r="S142" s="14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</row>
    <row r="143" ht="15.75" customHeight="1">
      <c r="A143" s="9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3"/>
      <c r="N143" s="14"/>
      <c r="O143" s="9"/>
      <c r="P143" s="9"/>
      <c r="Q143" s="9"/>
      <c r="R143" s="14"/>
      <c r="S143" s="14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</row>
    <row r="144" ht="15.75" customHeight="1">
      <c r="A144" s="9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3"/>
      <c r="N144" s="14"/>
      <c r="O144" s="9"/>
      <c r="P144" s="9"/>
      <c r="Q144" s="9"/>
      <c r="R144" s="14"/>
      <c r="S144" s="14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</row>
    <row r="145" ht="15.75" customHeight="1">
      <c r="A145" s="9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3"/>
      <c r="N145" s="14"/>
      <c r="O145" s="9"/>
      <c r="P145" s="9"/>
      <c r="Q145" s="9"/>
      <c r="R145" s="14"/>
      <c r="S145" s="14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</row>
    <row r="146" ht="15.75" customHeight="1">
      <c r="A146" s="9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3"/>
      <c r="N146" s="14"/>
      <c r="O146" s="9"/>
      <c r="P146" s="9"/>
      <c r="Q146" s="9"/>
      <c r="R146" s="14"/>
      <c r="S146" s="14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</row>
    <row r="147" ht="15.75" customHeight="1">
      <c r="A147" s="9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3"/>
      <c r="N147" s="14"/>
      <c r="O147" s="9"/>
      <c r="P147" s="9"/>
      <c r="Q147" s="9"/>
      <c r="R147" s="14"/>
      <c r="S147" s="14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</row>
    <row r="148" ht="15.75" customHeight="1">
      <c r="A148" s="9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3"/>
      <c r="N148" s="14"/>
      <c r="O148" s="9"/>
      <c r="P148" s="9"/>
      <c r="Q148" s="9"/>
      <c r="R148" s="14"/>
      <c r="S148" s="14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</row>
    <row r="149" ht="15.75" customHeight="1">
      <c r="A149" s="9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3"/>
      <c r="N149" s="14"/>
      <c r="O149" s="9"/>
      <c r="P149" s="9"/>
      <c r="Q149" s="9"/>
      <c r="R149" s="14"/>
      <c r="S149" s="14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</row>
    <row r="150" ht="15.75" customHeight="1">
      <c r="A150" s="9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3"/>
      <c r="N150" s="14"/>
      <c r="O150" s="9"/>
      <c r="P150" s="9"/>
      <c r="Q150" s="9"/>
      <c r="R150" s="14"/>
      <c r="S150" s="14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</row>
    <row r="151" ht="15.75" customHeight="1">
      <c r="A151" s="9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3"/>
      <c r="N151" s="14"/>
      <c r="O151" s="9"/>
      <c r="P151" s="9"/>
      <c r="Q151" s="9"/>
      <c r="R151" s="14"/>
      <c r="S151" s="14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</row>
    <row r="152" ht="15.75" customHeight="1">
      <c r="A152" s="9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13"/>
      <c r="N152" s="14"/>
      <c r="O152" s="9"/>
      <c r="P152" s="9"/>
      <c r="Q152" s="9"/>
      <c r="R152" s="14"/>
      <c r="S152" s="14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</row>
    <row r="153" ht="15.75" customHeight="1">
      <c r="A153" s="9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3"/>
      <c r="N153" s="14"/>
      <c r="O153" s="9"/>
      <c r="P153" s="9"/>
      <c r="Q153" s="9"/>
      <c r="R153" s="14"/>
      <c r="S153" s="14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</row>
    <row r="154" ht="15.75" customHeight="1">
      <c r="A154" s="9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3"/>
      <c r="N154" s="14"/>
      <c r="O154" s="9"/>
      <c r="P154" s="9"/>
      <c r="Q154" s="9"/>
      <c r="R154" s="14"/>
      <c r="S154" s="14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</row>
    <row r="155" ht="15.75" customHeight="1">
      <c r="A155" s="9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3"/>
      <c r="N155" s="14"/>
      <c r="O155" s="9"/>
      <c r="P155" s="9"/>
      <c r="Q155" s="9"/>
      <c r="R155" s="14"/>
      <c r="S155" s="14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</row>
    <row r="156" ht="15.75" customHeight="1">
      <c r="A156" s="9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3"/>
      <c r="N156" s="14"/>
      <c r="O156" s="9"/>
      <c r="P156" s="9"/>
      <c r="Q156" s="9"/>
      <c r="R156" s="14"/>
      <c r="S156" s="14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</row>
    <row r="157" ht="15.75" customHeight="1">
      <c r="A157" s="9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3"/>
      <c r="N157" s="14"/>
      <c r="O157" s="9"/>
      <c r="P157" s="9"/>
      <c r="Q157" s="9"/>
      <c r="R157" s="14"/>
      <c r="S157" s="14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</row>
    <row r="158" ht="15.75" customHeight="1">
      <c r="A158" s="9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3"/>
      <c r="N158" s="14"/>
      <c r="O158" s="9"/>
      <c r="P158" s="9"/>
      <c r="Q158" s="9"/>
      <c r="R158" s="14"/>
      <c r="S158" s="14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</row>
    <row r="159" ht="15.75" customHeight="1">
      <c r="A159" s="9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3"/>
      <c r="N159" s="14"/>
      <c r="O159" s="9"/>
      <c r="P159" s="9"/>
      <c r="Q159" s="9"/>
      <c r="R159" s="14"/>
      <c r="S159" s="14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</row>
    <row r="160" ht="15.75" customHeight="1">
      <c r="A160" s="9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3"/>
      <c r="N160" s="14"/>
      <c r="O160" s="9"/>
      <c r="P160" s="9"/>
      <c r="Q160" s="9"/>
      <c r="R160" s="14"/>
      <c r="S160" s="14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</row>
    <row r="161" ht="15.75" customHeight="1">
      <c r="A161" s="9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3"/>
      <c r="N161" s="14"/>
      <c r="O161" s="9"/>
      <c r="P161" s="9"/>
      <c r="Q161" s="9"/>
      <c r="R161" s="14"/>
      <c r="S161" s="14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</row>
    <row r="162" ht="15.75" customHeight="1">
      <c r="A162" s="9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3"/>
      <c r="N162" s="14"/>
      <c r="O162" s="9"/>
      <c r="P162" s="9"/>
      <c r="Q162" s="9"/>
      <c r="R162" s="14"/>
      <c r="S162" s="14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</row>
    <row r="163" ht="15.75" customHeight="1">
      <c r="A163" s="9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3"/>
      <c r="N163" s="14"/>
      <c r="O163" s="9"/>
      <c r="P163" s="9"/>
      <c r="Q163" s="9"/>
      <c r="R163" s="14"/>
      <c r="S163" s="14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</row>
    <row r="164" ht="15.75" customHeight="1">
      <c r="A164" s="9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3"/>
      <c r="N164" s="14"/>
      <c r="O164" s="9"/>
      <c r="P164" s="9"/>
      <c r="Q164" s="9"/>
      <c r="R164" s="14"/>
      <c r="S164" s="14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</row>
    <row r="165" ht="15.75" customHeight="1">
      <c r="A165" s="9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3"/>
      <c r="N165" s="14"/>
      <c r="O165" s="9"/>
      <c r="P165" s="9"/>
      <c r="Q165" s="9"/>
      <c r="R165" s="14"/>
      <c r="S165" s="14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</row>
    <row r="166" ht="15.75" customHeight="1">
      <c r="A166" s="9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3"/>
      <c r="N166" s="14"/>
      <c r="O166" s="9"/>
      <c r="P166" s="9"/>
      <c r="Q166" s="9"/>
      <c r="R166" s="14"/>
      <c r="S166" s="14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</row>
    <row r="167" ht="15.75" customHeight="1">
      <c r="A167" s="9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3"/>
      <c r="N167" s="14"/>
      <c r="O167" s="9"/>
      <c r="P167" s="9"/>
      <c r="Q167" s="9"/>
      <c r="R167" s="14"/>
      <c r="S167" s="14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</row>
    <row r="168" ht="15.75" customHeight="1">
      <c r="A168" s="9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3"/>
      <c r="N168" s="14"/>
      <c r="O168" s="9"/>
      <c r="P168" s="9"/>
      <c r="Q168" s="9"/>
      <c r="R168" s="14"/>
      <c r="S168" s="14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</row>
    <row r="169" ht="15.75" customHeight="1">
      <c r="A169" s="9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3"/>
      <c r="N169" s="14"/>
      <c r="O169" s="9"/>
      <c r="P169" s="9"/>
      <c r="Q169" s="9"/>
      <c r="R169" s="14"/>
      <c r="S169" s="14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</row>
    <row r="170" ht="15.75" customHeight="1">
      <c r="A170" s="9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3"/>
      <c r="N170" s="14"/>
      <c r="O170" s="9"/>
      <c r="P170" s="9"/>
      <c r="Q170" s="9"/>
      <c r="R170" s="14"/>
      <c r="S170" s="14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</row>
    <row r="171" ht="15.75" customHeight="1">
      <c r="A171" s="9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3"/>
      <c r="N171" s="14"/>
      <c r="O171" s="9"/>
      <c r="P171" s="9"/>
      <c r="Q171" s="9"/>
      <c r="R171" s="14"/>
      <c r="S171" s="14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</row>
    <row r="172" ht="15.75" customHeight="1">
      <c r="A172" s="9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3"/>
      <c r="N172" s="14"/>
      <c r="O172" s="9"/>
      <c r="P172" s="9"/>
      <c r="Q172" s="9"/>
      <c r="R172" s="14"/>
      <c r="S172" s="14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</row>
    <row r="173" ht="15.75" customHeight="1">
      <c r="A173" s="9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3"/>
      <c r="N173" s="14"/>
      <c r="O173" s="9"/>
      <c r="P173" s="9"/>
      <c r="Q173" s="9"/>
      <c r="R173" s="14"/>
      <c r="S173" s="14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</row>
    <row r="174" ht="15.75" customHeight="1">
      <c r="A174" s="9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3"/>
      <c r="N174" s="14"/>
      <c r="O174" s="9"/>
      <c r="P174" s="9"/>
      <c r="Q174" s="9"/>
      <c r="R174" s="14"/>
      <c r="S174" s="14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</row>
    <row r="175" ht="15.75" customHeight="1">
      <c r="A175" s="9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3"/>
      <c r="N175" s="14"/>
      <c r="O175" s="9"/>
      <c r="P175" s="9"/>
      <c r="Q175" s="9"/>
      <c r="R175" s="14"/>
      <c r="S175" s="14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</row>
    <row r="176" ht="15.75" customHeight="1">
      <c r="A176" s="9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3"/>
      <c r="N176" s="14"/>
      <c r="O176" s="9"/>
      <c r="P176" s="9"/>
      <c r="Q176" s="9"/>
      <c r="R176" s="14"/>
      <c r="S176" s="14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</row>
    <row r="177" ht="15.75" customHeight="1">
      <c r="A177" s="9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3"/>
      <c r="N177" s="14"/>
      <c r="O177" s="9"/>
      <c r="P177" s="9"/>
      <c r="Q177" s="9"/>
      <c r="R177" s="14"/>
      <c r="S177" s="14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</row>
    <row r="178" ht="15.75" customHeight="1">
      <c r="A178" s="9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3"/>
      <c r="N178" s="14"/>
      <c r="O178" s="9"/>
      <c r="P178" s="9"/>
      <c r="Q178" s="9"/>
      <c r="R178" s="14"/>
      <c r="S178" s="14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</row>
    <row r="179" ht="15.75" customHeight="1">
      <c r="A179" s="9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3"/>
      <c r="N179" s="14"/>
      <c r="O179" s="9"/>
      <c r="P179" s="9"/>
      <c r="Q179" s="9"/>
      <c r="R179" s="14"/>
      <c r="S179" s="14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</row>
    <row r="180" ht="15.75" customHeight="1">
      <c r="A180" s="9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3"/>
      <c r="N180" s="14"/>
      <c r="O180" s="9"/>
      <c r="P180" s="9"/>
      <c r="Q180" s="9"/>
      <c r="R180" s="14"/>
      <c r="S180" s="14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</row>
    <row r="181" ht="15.75" customHeight="1">
      <c r="A181" s="9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3"/>
      <c r="N181" s="14"/>
      <c r="O181" s="9"/>
      <c r="P181" s="9"/>
      <c r="Q181" s="9"/>
      <c r="R181" s="14"/>
      <c r="S181" s="14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</row>
    <row r="182" ht="15.75" customHeight="1">
      <c r="A182" s="9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3"/>
      <c r="N182" s="14"/>
      <c r="O182" s="9"/>
      <c r="P182" s="9"/>
      <c r="Q182" s="9"/>
      <c r="R182" s="14"/>
      <c r="S182" s="14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</row>
    <row r="183" ht="15.75" customHeight="1">
      <c r="A183" s="9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3"/>
      <c r="N183" s="14"/>
      <c r="O183" s="9"/>
      <c r="P183" s="9"/>
      <c r="Q183" s="9"/>
      <c r="R183" s="14"/>
      <c r="S183" s="14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</row>
    <row r="184" ht="15.75" customHeight="1">
      <c r="A184" s="9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3"/>
      <c r="N184" s="14"/>
      <c r="O184" s="9"/>
      <c r="P184" s="9"/>
      <c r="Q184" s="9"/>
      <c r="R184" s="14"/>
      <c r="S184" s="14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</row>
    <row r="185" ht="15.75" customHeight="1">
      <c r="A185" s="9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3"/>
      <c r="N185" s="14"/>
      <c r="O185" s="9"/>
      <c r="P185" s="9"/>
      <c r="Q185" s="9"/>
      <c r="R185" s="14"/>
      <c r="S185" s="14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</row>
    <row r="186" ht="15.75" customHeight="1">
      <c r="A186" s="9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3"/>
      <c r="N186" s="14"/>
      <c r="O186" s="9"/>
      <c r="P186" s="9"/>
      <c r="Q186" s="9"/>
      <c r="R186" s="14"/>
      <c r="S186" s="14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</row>
    <row r="187" ht="15.75" customHeight="1">
      <c r="A187" s="9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3"/>
      <c r="N187" s="14"/>
      <c r="O187" s="9"/>
      <c r="P187" s="9"/>
      <c r="Q187" s="9"/>
      <c r="R187" s="14"/>
      <c r="S187" s="14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</row>
    <row r="188" ht="15.75" customHeight="1">
      <c r="A188" s="9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3"/>
      <c r="N188" s="14"/>
      <c r="O188" s="9"/>
      <c r="P188" s="9"/>
      <c r="Q188" s="9"/>
      <c r="R188" s="14"/>
      <c r="S188" s="14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</row>
    <row r="189" ht="15.75" customHeight="1">
      <c r="A189" s="9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3"/>
      <c r="N189" s="14"/>
      <c r="O189" s="9"/>
      <c r="P189" s="9"/>
      <c r="Q189" s="9"/>
      <c r="R189" s="14"/>
      <c r="S189" s="14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</row>
    <row r="190" ht="15.75" customHeight="1">
      <c r="A190" s="9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3"/>
      <c r="N190" s="14"/>
      <c r="O190" s="9"/>
      <c r="P190" s="9"/>
      <c r="Q190" s="9"/>
      <c r="R190" s="14"/>
      <c r="S190" s="14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</row>
    <row r="191" ht="15.75" customHeight="1">
      <c r="A191" s="9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3"/>
      <c r="N191" s="14"/>
      <c r="O191" s="9"/>
      <c r="P191" s="9"/>
      <c r="Q191" s="9"/>
      <c r="R191" s="14"/>
      <c r="S191" s="14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</row>
    <row r="192" ht="15.75" customHeight="1">
      <c r="A192" s="9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3"/>
      <c r="N192" s="14"/>
      <c r="O192" s="9"/>
      <c r="P192" s="9"/>
      <c r="Q192" s="9"/>
      <c r="R192" s="14"/>
      <c r="S192" s="14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</row>
    <row r="193" ht="15.75" customHeight="1">
      <c r="A193" s="9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3"/>
      <c r="N193" s="14"/>
      <c r="O193" s="9"/>
      <c r="P193" s="9"/>
      <c r="Q193" s="9"/>
      <c r="R193" s="14"/>
      <c r="S193" s="14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</row>
    <row r="194" ht="15.75" customHeight="1">
      <c r="A194" s="9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3"/>
      <c r="N194" s="14"/>
      <c r="O194" s="9"/>
      <c r="P194" s="9"/>
      <c r="Q194" s="9"/>
      <c r="R194" s="14"/>
      <c r="S194" s="14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</row>
    <row r="195" ht="15.75" customHeight="1">
      <c r="A195" s="9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3"/>
      <c r="N195" s="14"/>
      <c r="O195" s="9"/>
      <c r="P195" s="9"/>
      <c r="Q195" s="9"/>
      <c r="R195" s="14"/>
      <c r="S195" s="14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</row>
    <row r="196" ht="15.75" customHeight="1">
      <c r="A196" s="9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3"/>
      <c r="N196" s="14"/>
      <c r="O196" s="9"/>
      <c r="P196" s="9"/>
      <c r="Q196" s="9"/>
      <c r="R196" s="14"/>
      <c r="S196" s="14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</row>
    <row r="197" ht="15.75" customHeight="1">
      <c r="A197" s="9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3"/>
      <c r="N197" s="14"/>
      <c r="O197" s="9"/>
      <c r="P197" s="9"/>
      <c r="Q197" s="9"/>
      <c r="R197" s="14"/>
      <c r="S197" s="14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</row>
    <row r="198" ht="15.75" customHeight="1">
      <c r="A198" s="9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3"/>
      <c r="N198" s="14"/>
      <c r="O198" s="9"/>
      <c r="P198" s="9"/>
      <c r="Q198" s="9"/>
      <c r="R198" s="14"/>
      <c r="S198" s="14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</row>
    <row r="199" ht="15.75" customHeight="1">
      <c r="A199" s="9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3"/>
      <c r="N199" s="14"/>
      <c r="O199" s="9"/>
      <c r="P199" s="9"/>
      <c r="Q199" s="9"/>
      <c r="R199" s="14"/>
      <c r="S199" s="14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</row>
    <row r="200" ht="15.75" customHeight="1">
      <c r="A200" s="9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3"/>
      <c r="N200" s="14"/>
      <c r="O200" s="9"/>
      <c r="P200" s="9"/>
      <c r="Q200" s="9"/>
      <c r="R200" s="14"/>
      <c r="S200" s="14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</row>
    <row r="201" ht="15.75" customHeight="1">
      <c r="A201" s="9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3"/>
      <c r="N201" s="14"/>
      <c r="O201" s="9"/>
      <c r="P201" s="9"/>
      <c r="Q201" s="9"/>
      <c r="R201" s="14"/>
      <c r="S201" s="14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</row>
    <row r="202" ht="15.75" customHeight="1">
      <c r="A202" s="9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3"/>
      <c r="N202" s="14"/>
      <c r="O202" s="9"/>
      <c r="P202" s="9"/>
      <c r="Q202" s="9"/>
      <c r="R202" s="14"/>
      <c r="S202" s="14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</row>
    <row r="203" ht="15.75" customHeight="1">
      <c r="A203" s="9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3"/>
      <c r="N203" s="14"/>
      <c r="O203" s="9"/>
      <c r="P203" s="9"/>
      <c r="Q203" s="9"/>
      <c r="R203" s="14"/>
      <c r="S203" s="14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</row>
    <row r="204" ht="15.75" customHeight="1">
      <c r="A204" s="9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3"/>
      <c r="N204" s="14"/>
      <c r="O204" s="9"/>
      <c r="P204" s="9"/>
      <c r="Q204" s="9"/>
      <c r="R204" s="14"/>
      <c r="S204" s="14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</row>
    <row r="205" ht="15.75" customHeight="1">
      <c r="A205" s="9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3"/>
      <c r="N205" s="14"/>
      <c r="O205" s="9"/>
      <c r="P205" s="9"/>
      <c r="Q205" s="9"/>
      <c r="R205" s="14"/>
      <c r="S205" s="14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</row>
    <row r="206" ht="15.75" customHeight="1">
      <c r="A206" s="9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3"/>
      <c r="N206" s="14"/>
      <c r="O206" s="9"/>
      <c r="P206" s="9"/>
      <c r="Q206" s="9"/>
      <c r="R206" s="14"/>
      <c r="S206" s="14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</row>
    <row r="207" ht="15.75" customHeight="1">
      <c r="A207" s="9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3"/>
      <c r="N207" s="14"/>
      <c r="O207" s="9"/>
      <c r="P207" s="9"/>
      <c r="Q207" s="9"/>
      <c r="R207" s="14"/>
      <c r="S207" s="14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</row>
    <row r="208" ht="15.75" customHeight="1">
      <c r="A208" s="9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3"/>
      <c r="N208" s="14"/>
      <c r="O208" s="9"/>
      <c r="P208" s="9"/>
      <c r="Q208" s="9"/>
      <c r="R208" s="14"/>
      <c r="S208" s="14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</row>
    <row r="209" ht="15.75" customHeight="1">
      <c r="A209" s="9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3"/>
      <c r="N209" s="14"/>
      <c r="O209" s="9"/>
      <c r="P209" s="9"/>
      <c r="Q209" s="9"/>
      <c r="R209" s="14"/>
      <c r="S209" s="14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</row>
    <row r="210" ht="15.75" customHeight="1">
      <c r="A210" s="9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3"/>
      <c r="N210" s="14"/>
      <c r="O210" s="9"/>
      <c r="P210" s="9"/>
      <c r="Q210" s="9"/>
      <c r="R210" s="14"/>
      <c r="S210" s="14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</row>
    <row r="211" ht="15.75" customHeight="1">
      <c r="A211" s="9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3"/>
      <c r="N211" s="14"/>
      <c r="O211" s="9"/>
      <c r="P211" s="9"/>
      <c r="Q211" s="9"/>
      <c r="R211" s="14"/>
      <c r="S211" s="14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</row>
    <row r="212" ht="15.75" customHeight="1">
      <c r="A212" s="9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3"/>
      <c r="N212" s="14"/>
      <c r="O212" s="9"/>
      <c r="P212" s="9"/>
      <c r="Q212" s="9"/>
      <c r="R212" s="14"/>
      <c r="S212" s="14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</row>
    <row r="213" ht="15.75" customHeight="1">
      <c r="A213" s="9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3"/>
      <c r="N213" s="14"/>
      <c r="O213" s="9"/>
      <c r="P213" s="9"/>
      <c r="Q213" s="9"/>
      <c r="R213" s="14"/>
      <c r="S213" s="14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</row>
    <row r="214" ht="15.75" customHeight="1">
      <c r="A214" s="9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3"/>
      <c r="N214" s="14"/>
      <c r="O214" s="9"/>
      <c r="P214" s="9"/>
      <c r="Q214" s="9"/>
      <c r="R214" s="14"/>
      <c r="S214" s="14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</row>
    <row r="215" ht="15.75" customHeight="1">
      <c r="A215" s="9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3"/>
      <c r="N215" s="14"/>
      <c r="O215" s="9"/>
      <c r="P215" s="9"/>
      <c r="Q215" s="9"/>
      <c r="R215" s="14"/>
      <c r="S215" s="14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</row>
    <row r="216" ht="15.75" customHeight="1">
      <c r="A216" s="9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3"/>
      <c r="N216" s="14"/>
      <c r="O216" s="9"/>
      <c r="P216" s="9"/>
      <c r="Q216" s="9"/>
      <c r="R216" s="14"/>
      <c r="S216" s="14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</row>
    <row r="217" ht="15.75" customHeight="1">
      <c r="A217" s="9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3"/>
      <c r="N217" s="14"/>
      <c r="O217" s="9"/>
      <c r="P217" s="9"/>
      <c r="Q217" s="9"/>
      <c r="R217" s="14"/>
      <c r="S217" s="14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</row>
    <row r="218" ht="15.75" customHeight="1">
      <c r="A218" s="9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3"/>
      <c r="N218" s="14"/>
      <c r="O218" s="9"/>
      <c r="P218" s="9"/>
      <c r="Q218" s="9"/>
      <c r="R218" s="14"/>
      <c r="S218" s="14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</row>
    <row r="219" ht="15.75" customHeight="1">
      <c r="A219" s="9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3"/>
      <c r="N219" s="14"/>
      <c r="O219" s="9"/>
      <c r="P219" s="9"/>
      <c r="Q219" s="9"/>
      <c r="R219" s="14"/>
      <c r="S219" s="14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</row>
    <row r="220" ht="15.75" customHeight="1">
      <c r="A220" s="9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3"/>
      <c r="N220" s="14"/>
      <c r="O220" s="9"/>
      <c r="P220" s="9"/>
      <c r="Q220" s="9"/>
      <c r="R220" s="14"/>
      <c r="S220" s="14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</row>
    <row r="221" ht="15.75" customHeight="1">
      <c r="A221" s="9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3"/>
      <c r="N221" s="14"/>
      <c r="O221" s="9"/>
      <c r="P221" s="9"/>
      <c r="Q221" s="9"/>
      <c r="R221" s="14"/>
      <c r="S221" s="14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</row>
    <row r="222" ht="15.75" customHeight="1">
      <c r="A222" s="9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3"/>
      <c r="N222" s="14"/>
      <c r="O222" s="9"/>
      <c r="P222" s="9"/>
      <c r="Q222" s="9"/>
      <c r="R222" s="14"/>
      <c r="S222" s="14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</row>
    <row r="223" ht="15.75" customHeight="1">
      <c r="A223" s="9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3"/>
      <c r="N223" s="14"/>
      <c r="O223" s="9"/>
      <c r="P223" s="9"/>
      <c r="Q223" s="9"/>
      <c r="R223" s="14"/>
      <c r="S223" s="14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</row>
    <row r="224" ht="15.75" customHeight="1">
      <c r="A224" s="9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3"/>
      <c r="N224" s="14"/>
      <c r="O224" s="9"/>
      <c r="P224" s="9"/>
      <c r="Q224" s="9"/>
      <c r="R224" s="14"/>
      <c r="S224" s="14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</row>
    <row r="225" ht="15.75" customHeight="1">
      <c r="A225" s="9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3"/>
      <c r="N225" s="14"/>
      <c r="O225" s="9"/>
      <c r="P225" s="9"/>
      <c r="Q225" s="9"/>
      <c r="R225" s="14"/>
      <c r="S225" s="14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</row>
    <row r="226" ht="15.75" customHeight="1">
      <c r="A226" s="9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3"/>
      <c r="N226" s="14"/>
      <c r="O226" s="9"/>
      <c r="P226" s="9"/>
      <c r="Q226" s="9"/>
      <c r="R226" s="14"/>
      <c r="S226" s="14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</row>
    <row r="227" ht="15.75" customHeight="1">
      <c r="A227" s="9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3"/>
      <c r="N227" s="14"/>
      <c r="O227" s="9"/>
      <c r="P227" s="9"/>
      <c r="Q227" s="9"/>
      <c r="R227" s="14"/>
      <c r="S227" s="14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</row>
    <row r="228" ht="15.75" customHeight="1">
      <c r="A228" s="9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3"/>
      <c r="N228" s="14"/>
      <c r="O228" s="9"/>
      <c r="P228" s="9"/>
      <c r="Q228" s="9"/>
      <c r="R228" s="14"/>
      <c r="S228" s="14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</row>
    <row r="229" ht="15.75" customHeight="1">
      <c r="A229" s="9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3"/>
      <c r="N229" s="14"/>
      <c r="O229" s="9"/>
      <c r="P229" s="9"/>
      <c r="Q229" s="9"/>
      <c r="R229" s="14"/>
      <c r="S229" s="14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</row>
    <row r="230" ht="15.75" customHeight="1">
      <c r="A230" s="9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3"/>
      <c r="N230" s="14"/>
      <c r="O230" s="9"/>
      <c r="P230" s="9"/>
      <c r="Q230" s="9"/>
      <c r="R230" s="14"/>
      <c r="S230" s="14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</row>
    <row r="231" ht="15.75" customHeight="1">
      <c r="A231" s="9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3"/>
      <c r="N231" s="14"/>
      <c r="O231" s="9"/>
      <c r="P231" s="9"/>
      <c r="Q231" s="9"/>
      <c r="R231" s="14"/>
      <c r="S231" s="14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</row>
    <row r="232" ht="15.75" customHeight="1">
      <c r="A232" s="9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3"/>
      <c r="N232" s="14"/>
      <c r="O232" s="9"/>
      <c r="P232" s="9"/>
      <c r="Q232" s="9"/>
      <c r="R232" s="14"/>
      <c r="S232" s="14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</row>
    <row r="233" ht="15.75" customHeight="1">
      <c r="A233" s="9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3"/>
      <c r="N233" s="14"/>
      <c r="O233" s="9"/>
      <c r="P233" s="9"/>
      <c r="Q233" s="9"/>
      <c r="R233" s="14"/>
      <c r="S233" s="14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</row>
    <row r="234" ht="15.75" customHeight="1">
      <c r="A234" s="9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13"/>
      <c r="N234" s="14"/>
      <c r="O234" s="9"/>
      <c r="P234" s="9"/>
      <c r="Q234" s="9"/>
      <c r="R234" s="14"/>
      <c r="S234" s="14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</row>
    <row r="235" ht="15.75" customHeight="1">
      <c r="A235" s="9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3"/>
      <c r="N235" s="14"/>
      <c r="O235" s="9"/>
      <c r="P235" s="9"/>
      <c r="Q235" s="9"/>
      <c r="R235" s="14"/>
      <c r="S235" s="14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</row>
    <row r="236" ht="15.75" customHeight="1">
      <c r="A236" s="9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13"/>
      <c r="N236" s="14"/>
      <c r="O236" s="9"/>
      <c r="P236" s="9"/>
      <c r="Q236" s="9"/>
      <c r="R236" s="14"/>
      <c r="S236" s="14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</row>
    <row r="237" ht="15.75" customHeight="1">
      <c r="A237" s="9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3"/>
      <c r="N237" s="14"/>
      <c r="O237" s="9"/>
      <c r="P237" s="9"/>
      <c r="Q237" s="9"/>
      <c r="R237" s="14"/>
      <c r="S237" s="14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</row>
    <row r="238" ht="15.75" customHeight="1">
      <c r="A238" s="9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3"/>
      <c r="N238" s="14"/>
      <c r="O238" s="9"/>
      <c r="P238" s="9"/>
      <c r="Q238" s="9"/>
      <c r="R238" s="14"/>
      <c r="S238" s="14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</row>
    <row r="239" ht="15.75" customHeight="1">
      <c r="A239" s="9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3"/>
      <c r="N239" s="14"/>
      <c r="O239" s="9"/>
      <c r="P239" s="9"/>
      <c r="Q239" s="9"/>
      <c r="R239" s="14"/>
      <c r="S239" s="14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</row>
    <row r="240" ht="15.75" customHeight="1">
      <c r="A240" s="9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3"/>
      <c r="N240" s="14"/>
      <c r="O240" s="9"/>
      <c r="P240" s="9"/>
      <c r="Q240" s="9"/>
      <c r="R240" s="14"/>
      <c r="S240" s="14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</row>
    <row r="241" ht="15.75" customHeight="1">
      <c r="A241" s="9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3"/>
      <c r="N241" s="14"/>
      <c r="O241" s="9"/>
      <c r="P241" s="9"/>
      <c r="Q241" s="9"/>
      <c r="R241" s="14"/>
      <c r="S241" s="14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</row>
    <row r="242" ht="15.75" customHeight="1">
      <c r="A242" s="9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3"/>
      <c r="N242" s="14"/>
      <c r="O242" s="9"/>
      <c r="P242" s="9"/>
      <c r="Q242" s="9"/>
      <c r="R242" s="14"/>
      <c r="S242" s="14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</row>
    <row r="243" ht="15.75" customHeight="1">
      <c r="A243" s="9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3"/>
      <c r="N243" s="14"/>
      <c r="O243" s="9"/>
      <c r="P243" s="9"/>
      <c r="Q243" s="9"/>
      <c r="R243" s="14"/>
      <c r="S243" s="14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</row>
    <row r="244" ht="15.75" customHeight="1">
      <c r="A244" s="9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3"/>
      <c r="N244" s="14"/>
      <c r="O244" s="9"/>
      <c r="P244" s="9"/>
      <c r="Q244" s="9"/>
      <c r="R244" s="14"/>
      <c r="S244" s="14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</row>
    <row r="245" ht="15.75" customHeight="1">
      <c r="A245" s="9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3"/>
      <c r="N245" s="14"/>
      <c r="O245" s="9"/>
      <c r="P245" s="9"/>
      <c r="Q245" s="9"/>
      <c r="R245" s="14"/>
      <c r="S245" s="14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</row>
    <row r="246" ht="15.75" customHeight="1">
      <c r="A246" s="9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3"/>
      <c r="N246" s="14"/>
      <c r="O246" s="9"/>
      <c r="P246" s="9"/>
      <c r="Q246" s="9"/>
      <c r="R246" s="14"/>
      <c r="S246" s="14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</row>
    <row r="247" ht="15.75" customHeight="1">
      <c r="A247" s="9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3"/>
      <c r="N247" s="14"/>
      <c r="O247" s="9"/>
      <c r="P247" s="9"/>
      <c r="Q247" s="9"/>
      <c r="R247" s="14"/>
      <c r="S247" s="14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</row>
    <row r="248" ht="15.75" customHeight="1">
      <c r="A248" s="9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3"/>
      <c r="N248" s="14"/>
      <c r="O248" s="9"/>
      <c r="P248" s="9"/>
      <c r="Q248" s="9"/>
      <c r="R248" s="14"/>
      <c r="S248" s="14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</row>
    <row r="249" ht="15.75" customHeight="1">
      <c r="A249" s="9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3"/>
      <c r="N249" s="14"/>
      <c r="O249" s="9"/>
      <c r="P249" s="9"/>
      <c r="Q249" s="9"/>
      <c r="R249" s="14"/>
      <c r="S249" s="14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</row>
    <row r="250" ht="15.75" customHeight="1">
      <c r="A250" s="9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13"/>
      <c r="N250" s="14"/>
      <c r="O250" s="9"/>
      <c r="P250" s="9"/>
      <c r="Q250" s="9"/>
      <c r="R250" s="14"/>
      <c r="S250" s="14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</row>
    <row r="251" ht="15.75" customHeight="1">
      <c r="A251" s="9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3"/>
      <c r="N251" s="14"/>
      <c r="O251" s="9"/>
      <c r="P251" s="9"/>
      <c r="Q251" s="9"/>
      <c r="R251" s="14"/>
      <c r="S251" s="14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</row>
    <row r="252" ht="15.75" customHeight="1">
      <c r="A252" s="9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13"/>
      <c r="N252" s="14"/>
      <c r="O252" s="9"/>
      <c r="P252" s="9"/>
      <c r="Q252" s="9"/>
      <c r="R252" s="14"/>
      <c r="S252" s="14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</row>
    <row r="253" ht="15.75" customHeight="1">
      <c r="A253" s="9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3"/>
      <c r="N253" s="14"/>
      <c r="O253" s="9"/>
      <c r="P253" s="9"/>
      <c r="Q253" s="9"/>
      <c r="R253" s="14"/>
      <c r="S253" s="14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</row>
    <row r="254" ht="15.75" customHeight="1">
      <c r="A254" s="9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3"/>
      <c r="N254" s="14"/>
      <c r="O254" s="9"/>
      <c r="P254" s="9"/>
      <c r="Q254" s="9"/>
      <c r="R254" s="14"/>
      <c r="S254" s="14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</row>
    <row r="255" ht="15.75" customHeight="1">
      <c r="A255" s="9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3"/>
      <c r="N255" s="14"/>
      <c r="O255" s="9"/>
      <c r="P255" s="9"/>
      <c r="Q255" s="9"/>
      <c r="R255" s="14"/>
      <c r="S255" s="14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</row>
    <row r="256" ht="15.75" customHeight="1">
      <c r="A256" s="9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3"/>
      <c r="N256" s="14"/>
      <c r="O256" s="9"/>
      <c r="P256" s="9"/>
      <c r="Q256" s="9"/>
      <c r="R256" s="14"/>
      <c r="S256" s="14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</row>
    <row r="257" ht="15.75" customHeight="1">
      <c r="A257" s="9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3"/>
      <c r="N257" s="14"/>
      <c r="O257" s="9"/>
      <c r="P257" s="9"/>
      <c r="Q257" s="9"/>
      <c r="R257" s="14"/>
      <c r="S257" s="14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</row>
    <row r="258" ht="15.75" customHeight="1">
      <c r="A258" s="9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13"/>
      <c r="N258" s="14"/>
      <c r="O258" s="9"/>
      <c r="P258" s="9"/>
      <c r="Q258" s="9"/>
      <c r="R258" s="14"/>
      <c r="S258" s="14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</row>
    <row r="259" ht="15.75" customHeight="1">
      <c r="A259" s="9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3"/>
      <c r="N259" s="14"/>
      <c r="O259" s="9"/>
      <c r="P259" s="9"/>
      <c r="Q259" s="9"/>
      <c r="R259" s="14"/>
      <c r="S259" s="14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</row>
    <row r="260" ht="15.75" customHeight="1">
      <c r="A260" s="9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13"/>
      <c r="N260" s="14"/>
      <c r="O260" s="9"/>
      <c r="P260" s="9"/>
      <c r="Q260" s="9"/>
      <c r="R260" s="14"/>
      <c r="S260" s="14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</row>
    <row r="261" ht="15.75" customHeight="1">
      <c r="A261" s="9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3"/>
      <c r="N261" s="14"/>
      <c r="O261" s="9"/>
      <c r="P261" s="9"/>
      <c r="Q261" s="9"/>
      <c r="R261" s="14"/>
      <c r="S261" s="14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</row>
    <row r="262" ht="15.75" customHeight="1">
      <c r="A262" s="9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13"/>
      <c r="N262" s="14"/>
      <c r="O262" s="9"/>
      <c r="P262" s="9"/>
      <c r="Q262" s="9"/>
      <c r="R262" s="14"/>
      <c r="S262" s="14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</row>
    <row r="263" ht="15.75" customHeight="1">
      <c r="A263" s="9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3"/>
      <c r="N263" s="14"/>
      <c r="O263" s="9"/>
      <c r="P263" s="9"/>
      <c r="Q263" s="9"/>
      <c r="R263" s="14"/>
      <c r="S263" s="14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</row>
    <row r="264" ht="15.75" customHeight="1">
      <c r="A264" s="9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13"/>
      <c r="N264" s="14"/>
      <c r="O264" s="9"/>
      <c r="P264" s="9"/>
      <c r="Q264" s="9"/>
      <c r="R264" s="14"/>
      <c r="S264" s="14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</row>
    <row r="265" ht="15.75" customHeight="1">
      <c r="A265" s="9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3"/>
      <c r="N265" s="14"/>
      <c r="O265" s="9"/>
      <c r="P265" s="9"/>
      <c r="Q265" s="9"/>
      <c r="R265" s="14"/>
      <c r="S265" s="14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</row>
    <row r="266" ht="15.75" customHeight="1">
      <c r="A266" s="9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13"/>
      <c r="N266" s="14"/>
      <c r="O266" s="9"/>
      <c r="P266" s="9"/>
      <c r="Q266" s="9"/>
      <c r="R266" s="14"/>
      <c r="S266" s="14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</row>
    <row r="267" ht="15.75" customHeight="1">
      <c r="A267" s="9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3"/>
      <c r="N267" s="14"/>
      <c r="O267" s="9"/>
      <c r="P267" s="9"/>
      <c r="Q267" s="9"/>
      <c r="R267" s="14"/>
      <c r="S267" s="14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</row>
    <row r="268" ht="15.75" customHeight="1">
      <c r="A268" s="9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13"/>
      <c r="N268" s="14"/>
      <c r="O268" s="9"/>
      <c r="P268" s="9"/>
      <c r="Q268" s="9"/>
      <c r="R268" s="14"/>
      <c r="S268" s="14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</row>
    <row r="269" ht="15.75" customHeight="1">
      <c r="A269" s="9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3"/>
      <c r="N269" s="14"/>
      <c r="O269" s="9"/>
      <c r="P269" s="9"/>
      <c r="Q269" s="9"/>
      <c r="R269" s="14"/>
      <c r="S269" s="14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</row>
    <row r="270" ht="15.75" customHeight="1">
      <c r="A270" s="9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13"/>
      <c r="N270" s="14"/>
      <c r="O270" s="9"/>
      <c r="P270" s="9"/>
      <c r="Q270" s="9"/>
      <c r="R270" s="14"/>
      <c r="S270" s="14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</row>
    <row r="271" ht="15.75" customHeight="1">
      <c r="A271" s="9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3"/>
      <c r="N271" s="14"/>
      <c r="O271" s="9"/>
      <c r="P271" s="9"/>
      <c r="Q271" s="9"/>
      <c r="R271" s="14"/>
      <c r="S271" s="14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</row>
    <row r="272" ht="15.75" customHeight="1">
      <c r="A272" s="9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13"/>
      <c r="N272" s="14"/>
      <c r="O272" s="9"/>
      <c r="P272" s="9"/>
      <c r="Q272" s="9"/>
      <c r="R272" s="14"/>
      <c r="S272" s="14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</row>
    <row r="273" ht="15.75" customHeight="1">
      <c r="A273" s="9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3"/>
      <c r="N273" s="14"/>
      <c r="O273" s="9"/>
      <c r="P273" s="9"/>
      <c r="Q273" s="9"/>
      <c r="R273" s="14"/>
      <c r="S273" s="14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