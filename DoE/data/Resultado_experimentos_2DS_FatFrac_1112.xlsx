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_2DS_Complet" sheetId="1" r:id="rId4"/>
  </sheets>
  <definedNames/>
  <calcPr/>
  <extLst>
    <ext uri="GoogleSheetsCustomDataVersion2">
      <go:sheetsCustomData xmlns:go="http://customooxmlschemas.google.com/" r:id="rId5" roundtripDataChecksum="q3m2FCP+aA6RJEjNyCLi7MFTRZcU6W/8ZJ8qJbdI09Q="/>
    </ext>
  </extLst>
</workbook>
</file>

<file path=xl/sharedStrings.xml><?xml version="1.0" encoding="utf-8"?>
<sst xmlns="http://schemas.openxmlformats.org/spreadsheetml/2006/main" count="1007" uniqueCount="97">
  <si>
    <t>model</t>
  </si>
  <si>
    <t>Z-Score_Composite</t>
  </si>
  <si>
    <t>train_dataset</t>
  </si>
  <si>
    <t>exp_dataset</t>
  </si>
  <si>
    <t>group_msec</t>
  </si>
  <si>
    <t>seconds_ahead</t>
  </si>
  <si>
    <t>forecast_steps</t>
  </si>
  <si>
    <t>timesteps_orig</t>
  </si>
  <si>
    <t>Epochs</t>
  </si>
  <si>
    <t>batch_size</t>
  </si>
  <si>
    <t>units_range</t>
  </si>
  <si>
    <t>best_layers</t>
  </si>
  <si>
    <t>best_activation</t>
  </si>
  <si>
    <t>best_optimizer</t>
  </si>
  <si>
    <t>best_dropout</t>
  </si>
  <si>
    <t>best_units_l1</t>
  </si>
  <si>
    <t>best_units_l2</t>
  </si>
  <si>
    <t>train_time_s</t>
  </si>
  <si>
    <t>pred_time_s</t>
  </si>
  <si>
    <t>direct_mae</t>
  </si>
  <si>
    <t>direct_mse</t>
  </si>
  <si>
    <t>direct_rmse</t>
  </si>
  <si>
    <t>direct_r2</t>
  </si>
  <si>
    <t>multi_mae</t>
  </si>
  <si>
    <t>multi_mse</t>
  </si>
  <si>
    <t>multi_rmse</t>
  </si>
  <si>
    <t>multi_r2</t>
  </si>
  <si>
    <t>step1_mae</t>
  </si>
  <si>
    <t>step1_rmse</t>
  </si>
  <si>
    <t>step1_r2</t>
  </si>
  <si>
    <t>stepN_mae</t>
  </si>
  <si>
    <t>stepN_rmse</t>
  </si>
  <si>
    <t>stepN_r2</t>
  </si>
  <si>
    <t>tuner_trials</t>
  </si>
  <si>
    <t>multi_mae_den</t>
  </si>
  <si>
    <t>multi_mse_den</t>
  </si>
  <si>
    <t>multi_rmse_den</t>
  </si>
  <si>
    <t>multi_r2_den</t>
  </si>
  <si>
    <t>step1_mae_den</t>
  </si>
  <si>
    <t>step1_mse_den</t>
  </si>
  <si>
    <t>step1_rmse_den</t>
  </si>
  <si>
    <t>step1_r2_den</t>
  </si>
  <si>
    <t>stepN_mae_den</t>
  </si>
  <si>
    <t>stepN_mse_den</t>
  </si>
  <si>
    <t>stepN_rmse_den</t>
  </si>
  <si>
    <t>stepN_r2_den</t>
  </si>
  <si>
    <t>Z-MAE@1</t>
  </si>
  <si>
    <t>Z-RMSE@1</t>
  </si>
  <si>
    <t>Z-MAE@H</t>
  </si>
  <si>
    <t>Z-RMSE@H</t>
  </si>
  <si>
    <t>Z-MAE@multi</t>
  </si>
  <si>
    <t>Z-RMSE@multi</t>
  </si>
  <si>
    <t>Z-R²@1</t>
  </si>
  <si>
    <t>Z-R²@H</t>
  </si>
  <si>
    <t>Z-R²MedH</t>
  </si>
  <si>
    <t>Z-T@Tra</t>
  </si>
  <si>
    <t>Z-T@Pre</t>
  </si>
  <si>
    <t>LSTM</t>
  </si>
  <si>
    <t>rssi_odom_dataset_11apr25_isolado.parquet</t>
  </si>
  <si>
    <t>rssi_odom_dataset_12apr25_isolado.parquet</t>
  </si>
  <si>
    <t>100</t>
  </si>
  <si>
    <t>3.0</t>
  </si>
  <si>
    <t>30</t>
  </si>
  <si>
    <t>120</t>
  </si>
  <si>
    <t>1024</t>
  </si>
  <si>
    <t>16-64:16</t>
  </si>
  <si>
    <t>2</t>
  </si>
  <si>
    <t>elu</t>
  </si>
  <si>
    <t>adam</t>
  </si>
  <si>
    <t>0.2</t>
  </si>
  <si>
    <t>16</t>
  </si>
  <si>
    <t>32</t>
  </si>
  <si>
    <t>GRU</t>
  </si>
  <si>
    <t>10.0</t>
  </si>
  <si>
    <t>Nadam</t>
  </si>
  <si>
    <t>64</t>
  </si>
  <si>
    <t>40</t>
  </si>
  <si>
    <t>75</t>
  </si>
  <si>
    <t>tanh</t>
  </si>
  <si>
    <t>64.0</t>
  </si>
  <si>
    <t>60</t>
  </si>
  <si>
    <t>64-256:64</t>
  </si>
  <si>
    <t>256</t>
  </si>
  <si>
    <t>1</t>
  </si>
  <si>
    <t>rmsprop</t>
  </si>
  <si>
    <t>250</t>
  </si>
  <si>
    <t>48</t>
  </si>
  <si>
    <t>192</t>
  </si>
  <si>
    <t>16.0</t>
  </si>
  <si>
    <t>relu</t>
  </si>
  <si>
    <t>256.0</t>
  </si>
  <si>
    <t>2048</t>
  </si>
  <si>
    <t>128</t>
  </si>
  <si>
    <t>32.0</t>
  </si>
  <si>
    <t>8192</t>
  </si>
  <si>
    <t>Médias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</si>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</sst>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i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2" fillId="0" fontId="2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vertical="bottom"/>
    </xf>
    <xf borderId="4" fillId="0" fontId="2" numFmtId="164" xfId="0" applyAlignment="1" applyBorder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vertical="bottom"/>
    </xf>
    <xf borderId="0" fillId="2" fontId="3" numFmtId="0" xfId="0" applyAlignment="1" applyFill="1" applyFont="1">
      <alignment horizontal="center" shrinkToFit="0" wrapText="0"/>
    </xf>
    <xf borderId="0" fillId="0" fontId="4" numFmtId="164" xfId="0" applyAlignment="1" applyFont="1" applyNumberFormat="1">
      <alignment horizontal="center" shrinkToFit="0" wrapText="0"/>
    </xf>
    <xf borderId="0" fillId="0" fontId="2" numFmtId="4" xfId="0" applyAlignment="1" applyFont="1" applyNumberFormat="1">
      <alignment vertical="bottom"/>
    </xf>
    <xf borderId="4" fillId="2" fontId="3" numFmtId="0" xfId="0" applyAlignment="1" applyBorder="1" applyFont="1">
      <alignment horizontal="center" shrinkToFit="0" wrapText="0"/>
    </xf>
    <xf borderId="4" fillId="0" fontId="4" numFmtId="164" xfId="0" applyAlignment="1" applyBorder="1" applyFont="1" applyNumberForma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88"/>
    <col customWidth="1" min="2" max="2" width="16.75"/>
    <col customWidth="1" min="3" max="3" width="34.38"/>
    <col customWidth="1" min="4" max="4" width="34.5"/>
    <col customWidth="1" min="5" max="5" width="10.88"/>
    <col customWidth="1" min="6" max="6" width="13.5"/>
    <col customWidth="1" min="7" max="7" width="12.75"/>
    <col customWidth="1" min="8" max="8" width="12.88"/>
    <col customWidth="1" min="9" max="9" width="7.0"/>
    <col customWidth="1" min="10" max="10" width="9.5"/>
    <col customWidth="1" min="11" max="11" width="10.5"/>
    <col customWidth="1" min="12" max="12" width="10.13"/>
    <col customWidth="1" min="13" max="13" width="13.13"/>
    <col customWidth="1" min="14" max="14" width="12.75"/>
    <col customWidth="1" min="15" max="17" width="11.63"/>
    <col customWidth="1" min="18" max="19" width="10.88"/>
    <col customWidth="1" min="20" max="21" width="9.75"/>
    <col customWidth="1" min="22" max="22" width="10.5"/>
    <col customWidth="1" min="23" max="23" width="8.0"/>
    <col customWidth="1" min="24" max="24" width="9.25"/>
    <col customWidth="1" hidden="1" min="25" max="25" width="9.25"/>
    <col customWidth="1" min="26" max="26" width="9.88"/>
    <col customWidth="1" min="27" max="27" width="7.5"/>
    <col customWidth="1" min="28" max="28" width="9.63"/>
    <col customWidth="1" min="29" max="29" width="10.25"/>
    <col customWidth="1" min="30" max="30" width="7.88"/>
    <col customWidth="1" min="31" max="31" width="9.88"/>
    <col customWidth="1" min="32" max="32" width="10.5"/>
    <col customWidth="1" min="33" max="33" width="8.13"/>
    <col customWidth="1" min="34" max="34" width="10.13"/>
    <col customWidth="1" min="35" max="36" width="13.13"/>
    <col customWidth="1" min="37" max="37" width="13.75"/>
    <col customWidth="1" min="38" max="38" width="11.38"/>
    <col customWidth="1" min="39" max="39" width="13.5"/>
    <col customWidth="1" hidden="1" min="40" max="40" width="13.5"/>
    <col customWidth="1" min="41" max="41" width="14.13"/>
    <col customWidth="1" min="42" max="42" width="11.75"/>
    <col customWidth="1" min="43" max="43" width="13.75"/>
    <col customWidth="1" hidden="1" min="44" max="44" width="13.75"/>
    <col customWidth="1" min="45" max="45" width="14.38"/>
    <col customWidth="1" min="46" max="46" width="12.0"/>
    <col customWidth="1" min="47" max="47" width="9.88"/>
    <col customWidth="1" min="48" max="48" width="10.0"/>
    <col customWidth="1" min="49" max="49" width="9.13"/>
    <col customWidth="1" min="50" max="50" width="10.25"/>
    <col customWidth="1" min="51" max="51" width="12.13"/>
    <col customWidth="1" min="53" max="53" width="7.5"/>
    <col customWidth="1" min="54" max="54" width="7.25"/>
    <col customWidth="1" min="55" max="58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3" t="s">
        <v>47</v>
      </c>
      <c r="AW1" s="3" t="s">
        <v>48</v>
      </c>
      <c r="AX1" s="3" t="s">
        <v>49</v>
      </c>
      <c r="AY1" s="2" t="s">
        <v>50</v>
      </c>
      <c r="AZ1" s="3" t="s">
        <v>51</v>
      </c>
      <c r="BA1" s="2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/>
    </row>
    <row r="2">
      <c r="A2" s="3" t="s">
        <v>57</v>
      </c>
      <c r="B2" s="4">
        <f t="shared" ref="B2:B66" si="2">(((1*AU2)+(1*AV2)+(1*AW2)+(1*AX2)+(1*AY2)+(1*AZ2)+(1*BA2)+(1*BB2)+(1*BC2)+(1*BD2)+(1*BE2))/11)*-1</f>
        <v>0.5499086277</v>
      </c>
      <c r="C2" s="3" t="s">
        <v>58</v>
      </c>
      <c r="D2" s="3" t="s">
        <v>59</v>
      </c>
      <c r="E2" s="5" t="s">
        <v>60</v>
      </c>
      <c r="F2" s="3" t="s">
        <v>61</v>
      </c>
      <c r="G2" s="5" t="s">
        <v>62</v>
      </c>
      <c r="H2" s="5" t="s">
        <v>63</v>
      </c>
      <c r="I2" s="6">
        <v>20.0</v>
      </c>
      <c r="J2" s="5" t="s">
        <v>64</v>
      </c>
      <c r="K2" s="3" t="s">
        <v>65</v>
      </c>
      <c r="L2" s="5" t="s">
        <v>66</v>
      </c>
      <c r="M2" s="3" t="s">
        <v>67</v>
      </c>
      <c r="N2" s="3" t="s">
        <v>68</v>
      </c>
      <c r="O2" s="3" t="s">
        <v>69</v>
      </c>
      <c r="P2" s="5" t="s">
        <v>70</v>
      </c>
      <c r="Q2" s="5" t="s">
        <v>71</v>
      </c>
      <c r="R2" s="7">
        <v>195.392321109771</v>
      </c>
      <c r="S2" s="7">
        <v>136.30793094635</v>
      </c>
      <c r="T2" s="8">
        <v>2.74305446878024</v>
      </c>
      <c r="U2" s="8">
        <v>12.3886998131341</v>
      </c>
      <c r="V2" s="8">
        <v>3.51975848789858</v>
      </c>
      <c r="W2" s="8">
        <v>0.630320458533967</v>
      </c>
      <c r="X2" s="8">
        <v>0.0928868576975259</v>
      </c>
      <c r="Y2" s="8">
        <v>0.0140144111224035</v>
      </c>
      <c r="Z2" s="8">
        <v>0.118382478105518</v>
      </c>
      <c r="AA2" s="8">
        <v>0.697260400047184</v>
      </c>
      <c r="AB2" s="8">
        <v>0.0934553540313069</v>
      </c>
      <c r="AC2" s="8">
        <v>0.118811920035597</v>
      </c>
      <c r="AD2" s="8">
        <v>0.697730247000659</v>
      </c>
      <c r="AE2" s="8">
        <v>0.0998425882764081</v>
      </c>
      <c r="AF2" s="8">
        <v>0.130010208932146</v>
      </c>
      <c r="AG2" s="8">
        <v>0.640075239082765</v>
      </c>
      <c r="AH2" s="8">
        <v>10.0</v>
      </c>
      <c r="AI2" s="8">
        <v>2.74305446878025</v>
      </c>
      <c r="AJ2" s="8">
        <v>12.3886998131341</v>
      </c>
      <c r="AK2" s="8">
        <v>3.51975848789858</v>
      </c>
      <c r="AL2" s="8">
        <v>0.630303596218458</v>
      </c>
      <c r="AM2" s="8">
        <v>2.49993072033746</v>
      </c>
      <c r="AN2" s="8">
        <v>10.1010751281124</v>
      </c>
      <c r="AO2" s="8">
        <v>3.17821886095222</v>
      </c>
      <c r="AP2" s="8">
        <v>0.697730247000659</v>
      </c>
      <c r="AQ2" s="8">
        <v>2.67078923639391</v>
      </c>
      <c r="AR2" s="8">
        <v>12.09490565812</v>
      </c>
      <c r="AS2" s="8">
        <v>3.47777308893493</v>
      </c>
      <c r="AT2" s="8">
        <v>0.640075239082765</v>
      </c>
      <c r="AU2" s="9">
        <f t="shared" ref="AU2:AU66" si="3">(AB2-$AB$68)/AB$69</f>
        <v>-0.3751059157</v>
      </c>
      <c r="AV2" s="10">
        <f t="shared" ref="AV2:AV66" si="4">(AC2-AC$68)/AC$69</f>
        <v>-0.3212010617</v>
      </c>
      <c r="AW2" s="10">
        <f t="shared" ref="AW2:AW66" si="5">(AQ2-AQ$68)/AQ$69</f>
        <v>-0.6723912042</v>
      </c>
      <c r="AX2" s="11">
        <f t="shared" ref="AX2:AX66" si="6">(AS2-AS$68)/AS$69</f>
        <v>-0.6726784793</v>
      </c>
      <c r="AY2" s="9">
        <f t="shared" ref="AY2:AY66" si="7">(AI2-AI$68)/AI$69</f>
        <v>-0.5233322944</v>
      </c>
      <c r="AZ2" s="11">
        <f t="shared" ref="AZ2:AZ66" si="8">(AK2-AK$68)/AK$69</f>
        <v>-0.5110485179</v>
      </c>
      <c r="BA2" s="9">
        <f t="shared" ref="BA2:BA66" si="9">-((AP2-AP$68)/AP$69)</f>
        <v>-0.314516076</v>
      </c>
      <c r="BB2" s="10">
        <f t="shared" ref="BB2:BB66" si="10">-((AT2-AT$68)/AT$69)</f>
        <v>-0.5529474457</v>
      </c>
      <c r="BC2" s="11">
        <f t="shared" ref="BC2:BC66" si="11">-((AL2-AL$68)/AL$69)</f>
        <v>-0.482905072</v>
      </c>
      <c r="BD2" s="4">
        <f t="shared" ref="BD2:BE2" si="1">((R2-R$68)/R$69)</f>
        <v>-0.6719354184</v>
      </c>
      <c r="BE2" s="4">
        <f t="shared" si="1"/>
        <v>-0.9509334192</v>
      </c>
      <c r="BF2" s="4"/>
    </row>
    <row r="3">
      <c r="A3" s="3" t="s">
        <v>72</v>
      </c>
      <c r="B3" s="4">
        <f t="shared" si="2"/>
        <v>0.5123239818</v>
      </c>
      <c r="C3" s="3" t="s">
        <v>58</v>
      </c>
      <c r="D3" s="3" t="s">
        <v>59</v>
      </c>
      <c r="E3" s="5" t="s">
        <v>60</v>
      </c>
      <c r="F3" s="3" t="s">
        <v>73</v>
      </c>
      <c r="G3" s="5" t="s">
        <v>60</v>
      </c>
      <c r="H3" s="5" t="s">
        <v>63</v>
      </c>
      <c r="I3" s="6">
        <v>20.0</v>
      </c>
      <c r="J3" s="5" t="s">
        <v>64</v>
      </c>
      <c r="K3" s="3" t="s">
        <v>65</v>
      </c>
      <c r="L3" s="5" t="s">
        <v>66</v>
      </c>
      <c r="M3" s="3" t="s">
        <v>67</v>
      </c>
      <c r="N3" s="3" t="s">
        <v>74</v>
      </c>
      <c r="O3" s="3" t="s">
        <v>69</v>
      </c>
      <c r="P3" s="5" t="s">
        <v>75</v>
      </c>
      <c r="Q3" s="5" t="s">
        <v>75</v>
      </c>
      <c r="R3" s="7">
        <v>239.175660848617</v>
      </c>
      <c r="S3" s="7">
        <v>135.971987009048</v>
      </c>
      <c r="T3" s="8">
        <v>2.67943543775912</v>
      </c>
      <c r="U3" s="8">
        <v>12.0384472680185</v>
      </c>
      <c r="V3" s="8">
        <v>3.46964656240639</v>
      </c>
      <c r="W3" s="8">
        <v>0.632113052810684</v>
      </c>
      <c r="X3" s="8">
        <v>0.095676754324766</v>
      </c>
      <c r="Y3" s="8">
        <v>0.0137067757478962</v>
      </c>
      <c r="Z3" s="8">
        <v>0.117075940089739</v>
      </c>
      <c r="AA3" s="8">
        <v>0.691652869755333</v>
      </c>
      <c r="AB3" s="8">
        <v>0.0967154121824837</v>
      </c>
      <c r="AC3" s="8">
        <v>0.1177354142289</v>
      </c>
      <c r="AD3" s="8">
        <v>0.69599764120007</v>
      </c>
      <c r="AE3" s="8">
        <v>0.106144135957678</v>
      </c>
      <c r="AF3" s="8">
        <v>0.139613630139389</v>
      </c>
      <c r="AG3" s="8">
        <v>0.567799216218996</v>
      </c>
      <c r="AH3" s="8">
        <v>10.0</v>
      </c>
      <c r="AI3" s="8">
        <v>2.67943543775912</v>
      </c>
      <c r="AJ3" s="8">
        <v>12.0384472680185</v>
      </c>
      <c r="AK3" s="8">
        <v>3.46964656240639</v>
      </c>
      <c r="AL3" s="8">
        <v>0.632150187425307</v>
      </c>
      <c r="AM3" s="8">
        <v>2.58713727588144</v>
      </c>
      <c r="AN3" s="8">
        <v>9.91886101662738</v>
      </c>
      <c r="AO3" s="8">
        <v>3.14942233062309</v>
      </c>
      <c r="AP3" s="8">
        <v>0.69599764120007</v>
      </c>
      <c r="AQ3" s="8">
        <v>2.83935563686789</v>
      </c>
      <c r="AR3" s="8">
        <v>13.9477197210171</v>
      </c>
      <c r="AS3" s="8">
        <v>3.73466460622867</v>
      </c>
      <c r="AT3" s="8">
        <v>0.567799216218996</v>
      </c>
      <c r="AU3" s="9">
        <f t="shared" si="3"/>
        <v>-0.3128863633</v>
      </c>
      <c r="AV3" s="10">
        <f t="shared" si="4"/>
        <v>-0.3400002489</v>
      </c>
      <c r="AW3" s="10">
        <f t="shared" si="5"/>
        <v>-0.5453547532</v>
      </c>
      <c r="AX3" s="11">
        <f t="shared" si="6"/>
        <v>-0.5049526696</v>
      </c>
      <c r="AY3" s="9">
        <f t="shared" si="7"/>
        <v>-0.5770992258</v>
      </c>
      <c r="AZ3" s="11">
        <f t="shared" si="8"/>
        <v>-0.5470208864</v>
      </c>
      <c r="BA3" s="9">
        <f t="shared" si="9"/>
        <v>-0.3117276202</v>
      </c>
      <c r="BB3" s="10">
        <f t="shared" si="10"/>
        <v>-0.4373291625</v>
      </c>
      <c r="BC3" s="11">
        <f t="shared" si="11"/>
        <v>-0.4864875723</v>
      </c>
      <c r="BD3" s="4">
        <f t="shared" ref="BD3:BE3" si="12">((R3-R$68)/R$69)</f>
        <v>-0.6185616393</v>
      </c>
      <c r="BE3" s="4">
        <f t="shared" si="12"/>
        <v>-0.9541436586</v>
      </c>
      <c r="BF3" s="4"/>
    </row>
    <row r="4">
      <c r="A4" s="3" t="s">
        <v>72</v>
      </c>
      <c r="B4" s="4">
        <f t="shared" si="2"/>
        <v>0.5840486726</v>
      </c>
      <c r="C4" s="3" t="s">
        <v>58</v>
      </c>
      <c r="D4" s="3" t="s">
        <v>59</v>
      </c>
      <c r="E4" s="5" t="s">
        <v>76</v>
      </c>
      <c r="F4" s="3" t="s">
        <v>61</v>
      </c>
      <c r="G4" s="5" t="s">
        <v>77</v>
      </c>
      <c r="H4" s="5" t="s">
        <v>63</v>
      </c>
      <c r="I4" s="6">
        <v>20.0</v>
      </c>
      <c r="J4" s="5" t="s">
        <v>64</v>
      </c>
      <c r="K4" s="3" t="s">
        <v>65</v>
      </c>
      <c r="L4" s="5" t="s">
        <v>66</v>
      </c>
      <c r="M4" s="3" t="s">
        <v>78</v>
      </c>
      <c r="N4" s="3" t="s">
        <v>68</v>
      </c>
      <c r="O4" s="3" t="s">
        <v>69</v>
      </c>
      <c r="P4" s="5" t="s">
        <v>75</v>
      </c>
      <c r="Q4" s="3" t="s">
        <v>79</v>
      </c>
      <c r="R4" s="7">
        <v>491.42365860939</v>
      </c>
      <c r="S4" s="7">
        <v>364.552724838256</v>
      </c>
      <c r="T4" s="8">
        <v>2.40664525644583</v>
      </c>
      <c r="U4" s="8">
        <v>9.22830855854984</v>
      </c>
      <c r="V4" s="8">
        <v>3.03781312107078</v>
      </c>
      <c r="W4" s="8">
        <v>0.721666516878547</v>
      </c>
      <c r="X4" s="8">
        <v>0.0653246841768267</v>
      </c>
      <c r="Y4" s="8">
        <v>0.0064707914800285</v>
      </c>
      <c r="Z4" s="8">
        <v>0.0804412299758558</v>
      </c>
      <c r="AA4" s="8">
        <v>0.848636593112722</v>
      </c>
      <c r="AB4" s="8">
        <v>0.0655819513910241</v>
      </c>
      <c r="AC4" s="8">
        <v>0.0806058907060662</v>
      </c>
      <c r="AD4" s="8">
        <v>0.849217706773491</v>
      </c>
      <c r="AE4" s="8">
        <v>0.104970170769907</v>
      </c>
      <c r="AF4" s="8">
        <v>0.131365690360024</v>
      </c>
      <c r="AG4" s="8">
        <v>0.603141841892997</v>
      </c>
      <c r="AH4" s="8">
        <v>10.0</v>
      </c>
      <c r="AI4" s="8">
        <v>2.1311858596237</v>
      </c>
      <c r="AJ4" s="8">
        <v>7.23670052408563</v>
      </c>
      <c r="AK4" s="8">
        <v>2.69011161926148</v>
      </c>
      <c r="AL4" s="8">
        <v>0.721537598046461</v>
      </c>
      <c r="AM4" s="8">
        <v>1.60675780908005</v>
      </c>
      <c r="AN4" s="8">
        <v>3.9000100973151</v>
      </c>
      <c r="AO4" s="8">
        <v>1.97484432229862</v>
      </c>
      <c r="AP4" s="8">
        <v>0.849217706773491</v>
      </c>
      <c r="AQ4" s="8">
        <v>2.57176918386272</v>
      </c>
      <c r="AR4" s="8">
        <v>10.3584809984103</v>
      </c>
      <c r="AS4" s="8">
        <v>3.21845941382058</v>
      </c>
      <c r="AT4" s="8">
        <v>0.603141841892997</v>
      </c>
      <c r="AU4" s="9">
        <f t="shared" si="3"/>
        <v>-0.9070812833</v>
      </c>
      <c r="AV4" s="10">
        <f t="shared" si="4"/>
        <v>-0.9883988551</v>
      </c>
      <c r="AW4" s="10">
        <f t="shared" si="5"/>
        <v>-0.7470155423</v>
      </c>
      <c r="AX4" s="11">
        <f t="shared" si="6"/>
        <v>-0.8419857285</v>
      </c>
      <c r="AY4" s="9">
        <f t="shared" si="7"/>
        <v>-1.040446387</v>
      </c>
      <c r="AZ4" s="11">
        <f t="shared" si="8"/>
        <v>-1.106602623</v>
      </c>
      <c r="BA4" s="9">
        <f t="shared" si="9"/>
        <v>-0.5583199918</v>
      </c>
      <c r="BB4" s="10">
        <f t="shared" si="10"/>
        <v>-0.4938659439</v>
      </c>
      <c r="BC4" s="11">
        <f t="shared" si="11"/>
        <v>-0.6599046384</v>
      </c>
      <c r="BD4" s="4">
        <f t="shared" ref="BD4:BE4" si="13">((R4-R$68)/R$69)</f>
        <v>-0.3110604531</v>
      </c>
      <c r="BE4" s="4">
        <f t="shared" si="13"/>
        <v>1.230146048</v>
      </c>
      <c r="BF4" s="4"/>
    </row>
    <row r="5">
      <c r="A5" s="3" t="s">
        <v>72</v>
      </c>
      <c r="B5" s="4">
        <f t="shared" si="2"/>
        <v>0.5529967281</v>
      </c>
      <c r="C5" s="3" t="s">
        <v>58</v>
      </c>
      <c r="D5" s="3" t="s">
        <v>59</v>
      </c>
      <c r="E5" s="5" t="s">
        <v>60</v>
      </c>
      <c r="F5" s="3" t="s">
        <v>73</v>
      </c>
      <c r="G5" s="5" t="s">
        <v>60</v>
      </c>
      <c r="H5" s="5" t="s">
        <v>80</v>
      </c>
      <c r="I5" s="6">
        <v>20.0</v>
      </c>
      <c r="J5" s="5" t="s">
        <v>64</v>
      </c>
      <c r="K5" s="3" t="s">
        <v>81</v>
      </c>
      <c r="L5" s="5" t="s">
        <v>66</v>
      </c>
      <c r="M5" s="3" t="s">
        <v>67</v>
      </c>
      <c r="N5" s="3" t="s">
        <v>74</v>
      </c>
      <c r="O5" s="3" t="s">
        <v>69</v>
      </c>
      <c r="P5" s="5" t="s">
        <v>75</v>
      </c>
      <c r="Q5" s="5" t="s">
        <v>82</v>
      </c>
      <c r="R5" s="7">
        <v>494.781337738037</v>
      </c>
      <c r="S5" s="7">
        <v>172.102817773818</v>
      </c>
      <c r="T5" s="8">
        <v>2.59425281292854</v>
      </c>
      <c r="U5" s="8">
        <v>11.119143704013</v>
      </c>
      <c r="V5" s="8">
        <v>3.3345380045837</v>
      </c>
      <c r="W5" s="8">
        <v>0.666903004223522</v>
      </c>
      <c r="X5" s="8">
        <v>0.0732074549721022</v>
      </c>
      <c r="Y5" s="8">
        <v>0.00829838155211527</v>
      </c>
      <c r="Z5" s="8">
        <v>0.0910954529716784</v>
      </c>
      <c r="AA5" s="8">
        <v>0.816165609793685</v>
      </c>
      <c r="AB5" s="8">
        <v>0.074090144845197</v>
      </c>
      <c r="AC5" s="8">
        <v>0.0917184897087437</v>
      </c>
      <c r="AD5" s="8">
        <v>0.817810344465813</v>
      </c>
      <c r="AE5" s="8">
        <v>0.11209179016278</v>
      </c>
      <c r="AF5" s="8">
        <v>0.144043713658187</v>
      </c>
      <c r="AG5" s="8">
        <v>0.557371890301665</v>
      </c>
      <c r="AH5" s="8">
        <v>10.0</v>
      </c>
      <c r="AI5" s="8">
        <v>2.59425281292854</v>
      </c>
      <c r="AJ5" s="8">
        <v>11.119143704013</v>
      </c>
      <c r="AK5" s="8">
        <v>3.3345380045837</v>
      </c>
      <c r="AL5" s="8">
        <v>0.666704843364956</v>
      </c>
      <c r="AM5" s="8">
        <v>1.98191137460902</v>
      </c>
      <c r="AN5" s="8">
        <v>6.01951307669574</v>
      </c>
      <c r="AO5" s="8">
        <v>2.45346959970889</v>
      </c>
      <c r="AP5" s="8">
        <v>0.817810344465813</v>
      </c>
      <c r="AQ5" s="8">
        <v>2.99845538685436</v>
      </c>
      <c r="AR5" s="8">
        <v>14.8469139654634</v>
      </c>
      <c r="AS5" s="8">
        <v>3.85316934035651</v>
      </c>
      <c r="AT5" s="8">
        <v>0.557371890301665</v>
      </c>
      <c r="AU5" s="9">
        <f t="shared" si="3"/>
        <v>-0.7446989076</v>
      </c>
      <c r="AV5" s="10">
        <f t="shared" si="4"/>
        <v>-0.7943378217</v>
      </c>
      <c r="AW5" s="10">
        <f t="shared" si="5"/>
        <v>-0.4254526403</v>
      </c>
      <c r="AX5" s="11">
        <f t="shared" si="6"/>
        <v>-0.4275803114</v>
      </c>
      <c r="AY5" s="9">
        <f t="shared" si="7"/>
        <v>-0.6490903936</v>
      </c>
      <c r="AZ5" s="11">
        <f t="shared" si="8"/>
        <v>-0.6440072782</v>
      </c>
      <c r="BA5" s="9">
        <f t="shared" si="9"/>
        <v>-0.5077729833</v>
      </c>
      <c r="BB5" s="10">
        <f t="shared" si="10"/>
        <v>-0.4206488103</v>
      </c>
      <c r="BC5" s="11">
        <f t="shared" si="11"/>
        <v>-0.5535257269</v>
      </c>
      <c r="BD5" s="4">
        <f t="shared" ref="BD5:BE5" si="14">((R5-R$68)/R$69)</f>
        <v>-0.3069672975</v>
      </c>
      <c r="BE5" s="4">
        <f t="shared" si="14"/>
        <v>-0.6088818379</v>
      </c>
      <c r="BF5" s="4"/>
    </row>
    <row r="6">
      <c r="A6" s="3" t="s">
        <v>57</v>
      </c>
      <c r="B6" s="4">
        <f t="shared" si="2"/>
        <v>0.4018931252</v>
      </c>
      <c r="C6" s="3" t="s">
        <v>58</v>
      </c>
      <c r="D6" s="3" t="s">
        <v>59</v>
      </c>
      <c r="E6" s="5" t="s">
        <v>60</v>
      </c>
      <c r="F6" s="3" t="s">
        <v>61</v>
      </c>
      <c r="G6" s="5" t="s">
        <v>62</v>
      </c>
      <c r="H6" s="5" t="s">
        <v>80</v>
      </c>
      <c r="I6" s="6">
        <v>20.0</v>
      </c>
      <c r="J6" s="5" t="s">
        <v>64</v>
      </c>
      <c r="K6" s="3" t="s">
        <v>81</v>
      </c>
      <c r="L6" s="5" t="s">
        <v>83</v>
      </c>
      <c r="M6" s="3" t="s">
        <v>78</v>
      </c>
      <c r="N6" s="3" t="s">
        <v>84</v>
      </c>
      <c r="O6" s="3" t="s">
        <v>69</v>
      </c>
      <c r="P6" s="5" t="s">
        <v>82</v>
      </c>
      <c r="Q6" s="3"/>
      <c r="R6" s="7">
        <v>339.809797763824</v>
      </c>
      <c r="S6" s="7">
        <v>132.86934685707</v>
      </c>
      <c r="T6" s="8">
        <v>2.90491724471766</v>
      </c>
      <c r="U6" s="8">
        <v>13.5988696099157</v>
      </c>
      <c r="V6" s="8">
        <v>3.68766451970834</v>
      </c>
      <c r="W6" s="8">
        <v>0.598973907197007</v>
      </c>
      <c r="X6" s="8">
        <v>0.10488915866206</v>
      </c>
      <c r="Y6" s="8">
        <v>0.017238081405186</v>
      </c>
      <c r="Z6" s="8">
        <v>0.131293874210436</v>
      </c>
      <c r="AA6" s="8">
        <v>0.6318009136247</v>
      </c>
      <c r="AB6" s="8">
        <v>0.105522876148877</v>
      </c>
      <c r="AC6" s="8">
        <v>0.131799635371789</v>
      </c>
      <c r="AD6" s="8">
        <v>0.631910041411766</v>
      </c>
      <c r="AE6" s="8">
        <v>0.112993870711812</v>
      </c>
      <c r="AF6" s="8">
        <v>0.142992834032209</v>
      </c>
      <c r="AG6" s="8">
        <v>0.570168026685779</v>
      </c>
      <c r="AH6" s="8">
        <v>10.0</v>
      </c>
      <c r="AI6" s="8">
        <v>2.90491724471767</v>
      </c>
      <c r="AJ6" s="8">
        <v>13.5988696099157</v>
      </c>
      <c r="AK6" s="8">
        <v>3.68766451970834</v>
      </c>
      <c r="AL6" s="8">
        <v>0.598911169463376</v>
      </c>
      <c r="AM6" s="8">
        <v>2.82273693698248</v>
      </c>
      <c r="AN6" s="8">
        <v>12.4301391455926</v>
      </c>
      <c r="AO6" s="8">
        <v>3.52564024619537</v>
      </c>
      <c r="AP6" s="8">
        <v>0.631910041411766</v>
      </c>
      <c r="AQ6" s="8">
        <v>3.02258604154096</v>
      </c>
      <c r="AR6" s="8">
        <v>14.6310710776664</v>
      </c>
      <c r="AS6" s="8">
        <v>3.8250583103616</v>
      </c>
      <c r="AT6" s="8">
        <v>0.570168026685779</v>
      </c>
      <c r="AU6" s="9">
        <f t="shared" si="3"/>
        <v>-0.1447922866</v>
      </c>
      <c r="AV6" s="10">
        <f t="shared" si="4"/>
        <v>-0.09439458206</v>
      </c>
      <c r="AW6" s="10">
        <f t="shared" si="5"/>
        <v>-0.4072670901</v>
      </c>
      <c r="AX6" s="11">
        <f t="shared" si="6"/>
        <v>-0.4459341493</v>
      </c>
      <c r="AY6" s="9">
        <f t="shared" si="7"/>
        <v>-0.3865357318</v>
      </c>
      <c r="AZ6" s="11">
        <f t="shared" si="8"/>
        <v>-0.3905187717</v>
      </c>
      <c r="BA6" s="9">
        <f t="shared" si="9"/>
        <v>-0.2085850379</v>
      </c>
      <c r="BB6" s="10">
        <f t="shared" si="10"/>
        <v>-0.4411184939</v>
      </c>
      <c r="BC6" s="11">
        <f t="shared" si="11"/>
        <v>-0.4220018362</v>
      </c>
      <c r="BD6" s="4">
        <f t="shared" ref="BD6:BE6" si="15">((R6-R$68)/R$69)</f>
        <v>-0.4958842871</v>
      </c>
      <c r="BE6" s="4">
        <f t="shared" si="15"/>
        <v>-0.9837921102</v>
      </c>
      <c r="BF6" s="4"/>
    </row>
    <row r="7">
      <c r="A7" s="3" t="s">
        <v>72</v>
      </c>
      <c r="B7" s="4">
        <f t="shared" si="2"/>
        <v>0.5147924582</v>
      </c>
      <c r="C7" s="3" t="s">
        <v>58</v>
      </c>
      <c r="D7" s="3" t="s">
        <v>59</v>
      </c>
      <c r="E7" s="5" t="s">
        <v>76</v>
      </c>
      <c r="F7" s="3" t="s">
        <v>61</v>
      </c>
      <c r="G7" s="5" t="s">
        <v>77</v>
      </c>
      <c r="H7" s="5" t="s">
        <v>80</v>
      </c>
      <c r="I7" s="6">
        <v>20.0</v>
      </c>
      <c r="J7" s="5" t="s">
        <v>64</v>
      </c>
      <c r="K7" s="3" t="s">
        <v>81</v>
      </c>
      <c r="L7" s="5" t="s">
        <v>83</v>
      </c>
      <c r="M7" s="3" t="s">
        <v>67</v>
      </c>
      <c r="N7" s="3" t="s">
        <v>74</v>
      </c>
      <c r="O7" s="3" t="s">
        <v>69</v>
      </c>
      <c r="P7" s="5" t="s">
        <v>82</v>
      </c>
      <c r="Q7" s="3"/>
      <c r="R7" s="7">
        <v>807.953213214874</v>
      </c>
      <c r="S7" s="7">
        <v>366.853484392166</v>
      </c>
      <c r="T7" s="8">
        <v>2.45919224132798</v>
      </c>
      <c r="U7" s="8">
        <v>9.48315938808969</v>
      </c>
      <c r="V7" s="8">
        <v>3.07947388170279</v>
      </c>
      <c r="W7" s="8">
        <v>0.713975648340263</v>
      </c>
      <c r="X7" s="8">
        <v>0.0778849524696821</v>
      </c>
      <c r="Y7" s="8">
        <v>0.0087523365564011</v>
      </c>
      <c r="Z7" s="8">
        <v>0.0935539232549933</v>
      </c>
      <c r="AA7" s="8">
        <v>0.796287658580634</v>
      </c>
      <c r="AB7" s="8">
        <v>0.0781436095805824</v>
      </c>
      <c r="AC7" s="8">
        <v>0.0937095311830689</v>
      </c>
      <c r="AD7" s="8">
        <v>0.797159450291663</v>
      </c>
      <c r="AE7" s="8">
        <v>0.0988554490639409</v>
      </c>
      <c r="AF7" s="8">
        <v>0.124802880324619</v>
      </c>
      <c r="AG7" s="8">
        <v>0.641310966423336</v>
      </c>
      <c r="AH7" s="8">
        <v>10.0</v>
      </c>
      <c r="AI7" s="8">
        <v>2.17771843057356</v>
      </c>
      <c r="AJ7" s="8">
        <v>7.43655070464618</v>
      </c>
      <c r="AK7" s="8">
        <v>2.72700397958018</v>
      </c>
      <c r="AL7" s="8">
        <v>0.713938894728297</v>
      </c>
      <c r="AM7" s="8">
        <v>1.91451843472421</v>
      </c>
      <c r="AN7" s="8">
        <v>5.27108110978897</v>
      </c>
      <c r="AO7" s="8">
        <v>2.29588351398518</v>
      </c>
      <c r="AP7" s="8">
        <v>0.797159450291663</v>
      </c>
      <c r="AQ7" s="8">
        <v>2.42195850206654</v>
      </c>
      <c r="AR7" s="8">
        <v>9.34934930212708</v>
      </c>
      <c r="AS7" s="8">
        <v>3.05767056795317</v>
      </c>
      <c r="AT7" s="8">
        <v>0.641310966423335</v>
      </c>
      <c r="AU7" s="9">
        <f t="shared" si="3"/>
        <v>-0.6673368639</v>
      </c>
      <c r="AV7" s="10">
        <f t="shared" si="4"/>
        <v>-0.7595679568</v>
      </c>
      <c r="AW7" s="10">
        <f t="shared" si="5"/>
        <v>-0.8599171483</v>
      </c>
      <c r="AX7" s="11">
        <f t="shared" si="6"/>
        <v>-0.9469656035</v>
      </c>
      <c r="AY7" s="9">
        <f t="shared" si="7"/>
        <v>-1.001119891</v>
      </c>
      <c r="AZ7" s="11">
        <f t="shared" si="8"/>
        <v>-1.080119793</v>
      </c>
      <c r="BA7" s="9">
        <f t="shared" si="9"/>
        <v>-0.4745374345</v>
      </c>
      <c r="BB7" s="10">
        <f t="shared" si="10"/>
        <v>-0.5549242102</v>
      </c>
      <c r="BC7" s="11">
        <f t="shared" si="11"/>
        <v>-0.6451626873</v>
      </c>
      <c r="BD7" s="4">
        <f t="shared" ref="BD7:BE7" si="16">((R7-R$68)/R$69)</f>
        <v>0.07480272268</v>
      </c>
      <c r="BE7" s="4">
        <f t="shared" si="16"/>
        <v>1.252131826</v>
      </c>
      <c r="BF7" s="4"/>
    </row>
    <row r="8">
      <c r="A8" s="3" t="s">
        <v>57</v>
      </c>
      <c r="B8" s="4">
        <f t="shared" si="2"/>
        <v>0.01936533991</v>
      </c>
      <c r="C8" s="3" t="s">
        <v>58</v>
      </c>
      <c r="D8" s="3" t="s">
        <v>59</v>
      </c>
      <c r="E8" s="5" t="s">
        <v>76</v>
      </c>
      <c r="F8" s="3" t="s">
        <v>73</v>
      </c>
      <c r="G8" s="5" t="s">
        <v>85</v>
      </c>
      <c r="H8" s="5" t="s">
        <v>63</v>
      </c>
      <c r="I8" s="6">
        <v>20.0</v>
      </c>
      <c r="J8" s="5" t="s">
        <v>64</v>
      </c>
      <c r="K8" s="3" t="s">
        <v>65</v>
      </c>
      <c r="L8" s="5" t="s">
        <v>66</v>
      </c>
      <c r="M8" s="3" t="s">
        <v>78</v>
      </c>
      <c r="N8" s="3" t="s">
        <v>68</v>
      </c>
      <c r="O8" s="3" t="s">
        <v>69</v>
      </c>
      <c r="P8" s="5" t="s">
        <v>86</v>
      </c>
      <c r="Q8" s="5" t="s">
        <v>75</v>
      </c>
      <c r="R8" s="7">
        <v>550.850040435791</v>
      </c>
      <c r="S8" s="7">
        <v>326.742190122604</v>
      </c>
      <c r="T8" s="8">
        <v>3.38070141500579</v>
      </c>
      <c r="U8" s="8">
        <v>18.1478564036258</v>
      </c>
      <c r="V8" s="8">
        <v>4.26003009421598</v>
      </c>
      <c r="W8" s="8">
        <v>0.444866043962681</v>
      </c>
      <c r="X8" s="8">
        <v>0.111704218384129</v>
      </c>
      <c r="Y8" s="8">
        <v>0.0184598889313358</v>
      </c>
      <c r="Z8" s="8">
        <v>0.135867173854967</v>
      </c>
      <c r="AA8" s="8">
        <v>0.552851229087793</v>
      </c>
      <c r="AB8" s="8">
        <v>0.112931225722844</v>
      </c>
      <c r="AC8" s="8">
        <v>0.13669183205009</v>
      </c>
      <c r="AD8" s="8">
        <v>0.556979011316915</v>
      </c>
      <c r="AE8" s="8">
        <v>0.118570370246045</v>
      </c>
      <c r="AF8" s="8">
        <v>0.1527830705416</v>
      </c>
      <c r="AG8" s="8">
        <v>0.456632333179188</v>
      </c>
      <c r="AH8" s="8">
        <v>10.0</v>
      </c>
      <c r="AI8" s="8">
        <v>3.38070141500579</v>
      </c>
      <c r="AJ8" s="8">
        <v>18.1478564036258</v>
      </c>
      <c r="AK8" s="8">
        <v>4.26003009421598</v>
      </c>
      <c r="AL8" s="8">
        <v>0.444718536992008</v>
      </c>
      <c r="AM8" s="8">
        <v>3.12443057833216</v>
      </c>
      <c r="AN8" s="8">
        <v>14.3020668581231</v>
      </c>
      <c r="AO8" s="8">
        <v>3.78180735338582</v>
      </c>
      <c r="AP8" s="8">
        <v>0.556979011316915</v>
      </c>
      <c r="AQ8" s="8">
        <v>3.28044691014065</v>
      </c>
      <c r="AR8" s="8">
        <v>17.86751450126</v>
      </c>
      <c r="AS8" s="8">
        <v>4.22699828498427</v>
      </c>
      <c r="AT8" s="8">
        <v>0.456632333179188</v>
      </c>
      <c r="AU8" s="9">
        <f t="shared" si="3"/>
        <v>-0.003400884256</v>
      </c>
      <c r="AV8" s="10">
        <f t="shared" si="4"/>
        <v>-0.008961395578</v>
      </c>
      <c r="AW8" s="10">
        <f t="shared" si="5"/>
        <v>-0.2129357791</v>
      </c>
      <c r="AX8" s="11">
        <f t="shared" si="6"/>
        <v>-0.1835054463</v>
      </c>
      <c r="AY8" s="9">
        <f t="shared" si="7"/>
        <v>0.01556807913</v>
      </c>
      <c r="AZ8" s="11">
        <f t="shared" si="8"/>
        <v>0.02034840587</v>
      </c>
      <c r="BA8" s="9">
        <f t="shared" si="9"/>
        <v>-0.08799103907</v>
      </c>
      <c r="BB8" s="10">
        <f t="shared" si="10"/>
        <v>-0.2594980693</v>
      </c>
      <c r="BC8" s="11">
        <f t="shared" si="11"/>
        <v>-0.1228586598</v>
      </c>
      <c r="BD8" s="4">
        <f t="shared" ref="BD8:BE8" si="17">((R8-R$68)/R$69)</f>
        <v>-0.2386171312</v>
      </c>
      <c r="BE8" s="4">
        <f t="shared" si="17"/>
        <v>0.8688331805</v>
      </c>
      <c r="BF8" s="4"/>
    </row>
    <row r="9">
      <c r="A9" s="3" t="s">
        <v>57</v>
      </c>
      <c r="B9" s="4">
        <f t="shared" si="2"/>
        <v>-0.03400057977</v>
      </c>
      <c r="C9" s="3" t="s">
        <v>58</v>
      </c>
      <c r="D9" s="3" t="s">
        <v>59</v>
      </c>
      <c r="E9" s="5" t="s">
        <v>76</v>
      </c>
      <c r="F9" s="3" t="s">
        <v>73</v>
      </c>
      <c r="G9" s="5" t="s">
        <v>85</v>
      </c>
      <c r="H9" s="5" t="s">
        <v>80</v>
      </c>
      <c r="I9" s="6">
        <v>20.0</v>
      </c>
      <c r="J9" s="5" t="s">
        <v>64</v>
      </c>
      <c r="K9" s="3" t="s">
        <v>81</v>
      </c>
      <c r="L9" s="5" t="s">
        <v>66</v>
      </c>
      <c r="M9" s="3" t="s">
        <v>78</v>
      </c>
      <c r="N9" s="3" t="s">
        <v>68</v>
      </c>
      <c r="O9" s="3" t="s">
        <v>69</v>
      </c>
      <c r="P9" s="5" t="s">
        <v>75</v>
      </c>
      <c r="Q9" s="5" t="s">
        <v>82</v>
      </c>
      <c r="R9" s="7">
        <v>722.599123477935</v>
      </c>
      <c r="S9" s="7">
        <v>334.385579824447</v>
      </c>
      <c r="T9" s="8">
        <v>3.32957016238264</v>
      </c>
      <c r="U9" s="8">
        <v>18.5399111746713</v>
      </c>
      <c r="V9" s="8">
        <v>4.30579971372001</v>
      </c>
      <c r="W9" s="8">
        <v>0.434770975720703</v>
      </c>
      <c r="X9" s="8">
        <v>0.109660707065891</v>
      </c>
      <c r="Y9" s="8">
        <v>0.0185513316714923</v>
      </c>
      <c r="Z9" s="8">
        <v>0.136203273350872</v>
      </c>
      <c r="AA9" s="8">
        <v>0.553586211501758</v>
      </c>
      <c r="AB9" s="8">
        <v>0.111547985224348</v>
      </c>
      <c r="AC9" s="8">
        <v>0.137738057691207</v>
      </c>
      <c r="AD9" s="8">
        <v>0.552638615980109</v>
      </c>
      <c r="AE9" s="8">
        <v>0.121278636954406</v>
      </c>
      <c r="AF9" s="8">
        <v>0.160915193030231</v>
      </c>
      <c r="AG9" s="8">
        <v>0.398543761694654</v>
      </c>
      <c r="AH9" s="8">
        <v>10.0</v>
      </c>
      <c r="AI9" s="8">
        <v>3.32957016238263</v>
      </c>
      <c r="AJ9" s="8">
        <v>18.5399111746713</v>
      </c>
      <c r="AK9" s="8">
        <v>4.30579971372001</v>
      </c>
      <c r="AL9" s="8">
        <v>0.434497095081602</v>
      </c>
      <c r="AM9" s="8">
        <v>3.08616092454032</v>
      </c>
      <c r="AN9" s="8">
        <v>14.5218378893631</v>
      </c>
      <c r="AO9" s="8">
        <v>3.81075292945674</v>
      </c>
      <c r="AP9" s="8">
        <v>0.552638615980109</v>
      </c>
      <c r="AQ9" s="8">
        <v>3.35537562240527</v>
      </c>
      <c r="AR9" s="8">
        <v>19.8201883120082</v>
      </c>
      <c r="AS9" s="8">
        <v>4.45198700716974</v>
      </c>
      <c r="AT9" s="8">
        <v>0.398543761694654</v>
      </c>
      <c r="AU9" s="9">
        <f t="shared" si="3"/>
        <v>-0.02980059879</v>
      </c>
      <c r="AV9" s="10">
        <f t="shared" si="4"/>
        <v>0.009309004445</v>
      </c>
      <c r="AW9" s="10">
        <f t="shared" si="5"/>
        <v>-0.1564673627</v>
      </c>
      <c r="AX9" s="11">
        <f t="shared" si="6"/>
        <v>-0.03660913767</v>
      </c>
      <c r="AY9" s="9">
        <f t="shared" si="7"/>
        <v>-0.02764494228</v>
      </c>
      <c r="AZ9" s="11">
        <f t="shared" si="8"/>
        <v>0.05320369142</v>
      </c>
      <c r="BA9" s="9">
        <f t="shared" si="9"/>
        <v>-0.08100560687</v>
      </c>
      <c r="BB9" s="10">
        <f t="shared" si="10"/>
        <v>-0.1665751242</v>
      </c>
      <c r="BC9" s="11">
        <f t="shared" si="11"/>
        <v>-0.1030284347</v>
      </c>
      <c r="BD9" s="4">
        <f t="shared" ref="BD9:BE9" si="18">((R9-R$68)/R$69)</f>
        <v>-0.02924759317</v>
      </c>
      <c r="BE9" s="4">
        <f t="shared" si="18"/>
        <v>0.9418724821</v>
      </c>
      <c r="BF9" s="4"/>
    </row>
    <row r="10">
      <c r="A10" s="3" t="s">
        <v>72</v>
      </c>
      <c r="B10" s="4">
        <f t="shared" si="2"/>
        <v>0.6214782361</v>
      </c>
      <c r="C10" s="3" t="s">
        <v>58</v>
      </c>
      <c r="D10" s="3" t="s">
        <v>59</v>
      </c>
      <c r="E10" s="5" t="s">
        <v>60</v>
      </c>
      <c r="F10" s="3" t="s">
        <v>61</v>
      </c>
      <c r="G10" s="5" t="s">
        <v>62</v>
      </c>
      <c r="H10" s="5" t="s">
        <v>80</v>
      </c>
      <c r="I10" s="6">
        <v>150.0</v>
      </c>
      <c r="J10" s="5" t="s">
        <v>64</v>
      </c>
      <c r="K10" s="3" t="s">
        <v>65</v>
      </c>
      <c r="L10" s="5" t="s">
        <v>83</v>
      </c>
      <c r="M10" s="3" t="s">
        <v>78</v>
      </c>
      <c r="N10" s="3" t="s">
        <v>74</v>
      </c>
      <c r="O10" s="3" t="s">
        <v>69</v>
      </c>
      <c r="P10" s="5" t="s">
        <v>75</v>
      </c>
      <c r="Q10" s="3"/>
      <c r="R10" s="7">
        <v>303.687678337097</v>
      </c>
      <c r="S10" s="7">
        <v>143.72276353836</v>
      </c>
      <c r="T10" s="8">
        <v>2.69905057630994</v>
      </c>
      <c r="U10" s="8">
        <v>11.2464119750993</v>
      </c>
      <c r="V10" s="8">
        <v>3.35356705242333</v>
      </c>
      <c r="W10" s="8">
        <v>0.668393528413039</v>
      </c>
      <c r="X10" s="8">
        <v>0.0959354510783001</v>
      </c>
      <c r="Y10" s="8">
        <v>0.0133178047779409</v>
      </c>
      <c r="Z10" s="8">
        <v>0.115402793631441</v>
      </c>
      <c r="AA10" s="8">
        <v>0.715536582262152</v>
      </c>
      <c r="AB10" s="8">
        <v>0.0962863074558494</v>
      </c>
      <c r="AC10" s="8">
        <v>0.115621854754084</v>
      </c>
      <c r="AD10" s="8">
        <v>0.71672684714253</v>
      </c>
      <c r="AE10" s="8">
        <v>0.111318499125687</v>
      </c>
      <c r="AF10" s="8">
        <v>0.139422327645695</v>
      </c>
      <c r="AG10" s="8">
        <v>0.591365690145446</v>
      </c>
      <c r="AH10" s="8">
        <v>10.0</v>
      </c>
      <c r="AI10" s="8">
        <v>2.35291065297217</v>
      </c>
      <c r="AJ10" s="8">
        <v>8.5467857079264</v>
      </c>
      <c r="AK10" s="8">
        <v>2.92348861942823</v>
      </c>
      <c r="AL10" s="8">
        <v>0.668295207159235</v>
      </c>
      <c r="AM10" s="8">
        <v>2.24534319747737</v>
      </c>
      <c r="AN10" s="8">
        <v>7.26969621692764</v>
      </c>
      <c r="AO10" s="8">
        <v>2.6962374185015</v>
      </c>
      <c r="AP10" s="8">
        <v>0.71672684714253</v>
      </c>
      <c r="AQ10" s="8">
        <v>2.59588555600041</v>
      </c>
      <c r="AR10" s="8">
        <v>10.5706345205792</v>
      </c>
      <c r="AS10" s="8">
        <v>3.25125122384893</v>
      </c>
      <c r="AT10" s="8">
        <v>0.591365690145446</v>
      </c>
      <c r="AU10" s="9">
        <f t="shared" si="3"/>
        <v>-0.3210760038</v>
      </c>
      <c r="AV10" s="10">
        <f t="shared" si="4"/>
        <v>-0.3769096646</v>
      </c>
      <c r="AW10" s="10">
        <f t="shared" si="5"/>
        <v>-0.7288407558</v>
      </c>
      <c r="AX10" s="11">
        <f t="shared" si="6"/>
        <v>-0.820575785</v>
      </c>
      <c r="AY10" s="9">
        <f t="shared" si="7"/>
        <v>-0.8530580923</v>
      </c>
      <c r="AZ10" s="11">
        <f t="shared" si="8"/>
        <v>-0.9390751653</v>
      </c>
      <c r="BA10" s="9">
        <f t="shared" si="9"/>
        <v>-0.345089204</v>
      </c>
      <c r="BB10" s="10">
        <f t="shared" si="10"/>
        <v>-0.4750279062</v>
      </c>
      <c r="BC10" s="11">
        <f t="shared" si="11"/>
        <v>-0.5566111304</v>
      </c>
      <c r="BD10" s="4">
        <f t="shared" ref="BD10:BE10" si="19">((R10-R$68)/R$69)</f>
        <v>-0.5399187082</v>
      </c>
      <c r="BE10" s="4">
        <f t="shared" si="19"/>
        <v>-0.8800781816</v>
      </c>
      <c r="BF10" s="4"/>
    </row>
    <row r="11">
      <c r="A11" s="3" t="s">
        <v>57</v>
      </c>
      <c r="B11" s="4">
        <f t="shared" si="2"/>
        <v>0.3662232527</v>
      </c>
      <c r="C11" s="3" t="s">
        <v>58</v>
      </c>
      <c r="D11" s="3" t="s">
        <v>59</v>
      </c>
      <c r="E11" s="5" t="s">
        <v>60</v>
      </c>
      <c r="F11" s="3" t="s">
        <v>73</v>
      </c>
      <c r="G11" s="5" t="s">
        <v>60</v>
      </c>
      <c r="H11" s="5" t="s">
        <v>80</v>
      </c>
      <c r="I11" s="6">
        <v>150.0</v>
      </c>
      <c r="J11" s="5" t="s">
        <v>64</v>
      </c>
      <c r="K11" s="3" t="s">
        <v>65</v>
      </c>
      <c r="L11" s="5" t="s">
        <v>83</v>
      </c>
      <c r="M11" s="3" t="s">
        <v>78</v>
      </c>
      <c r="N11" s="3" t="s">
        <v>84</v>
      </c>
      <c r="O11" s="3" t="s">
        <v>69</v>
      </c>
      <c r="P11" s="5" t="s">
        <v>86</v>
      </c>
      <c r="Q11" s="3"/>
      <c r="R11" s="7">
        <v>172.379208803176</v>
      </c>
      <c r="S11" s="7">
        <v>122.97968840599</v>
      </c>
      <c r="T11" s="8">
        <v>3.2146310620748</v>
      </c>
      <c r="U11" s="8">
        <v>16.2133606288112</v>
      </c>
      <c r="V11" s="8">
        <v>4.02658175488977</v>
      </c>
      <c r="W11" s="8">
        <v>0.514193813260725</v>
      </c>
      <c r="X11" s="8">
        <v>0.0958009613459315</v>
      </c>
      <c r="Y11" s="8">
        <v>0.013720455310985</v>
      </c>
      <c r="Z11" s="8">
        <v>0.117134347272629</v>
      </c>
      <c r="AA11" s="8">
        <v>0.696050185255101</v>
      </c>
      <c r="AB11" s="8">
        <v>0.0967655339838953</v>
      </c>
      <c r="AC11" s="8">
        <v>0.117726363200244</v>
      </c>
      <c r="AD11" s="8">
        <v>0.699836845245082</v>
      </c>
      <c r="AE11" s="8">
        <v>0.122336555440003</v>
      </c>
      <c r="AF11" s="8">
        <v>0.155467148109664</v>
      </c>
      <c r="AG11" s="8">
        <v>0.484382515700996</v>
      </c>
      <c r="AH11" s="8">
        <v>10.0</v>
      </c>
      <c r="AI11" s="8">
        <v>3.2146310620748</v>
      </c>
      <c r="AJ11" s="8">
        <v>16.2133606288112</v>
      </c>
      <c r="AK11" s="8">
        <v>4.02658175488977</v>
      </c>
      <c r="AL11" s="8">
        <v>0.51400622977741</v>
      </c>
      <c r="AM11" s="8">
        <v>2.5884780340692</v>
      </c>
      <c r="AN11" s="8">
        <v>9.91733603036772</v>
      </c>
      <c r="AO11" s="8">
        <v>3.14918021560655</v>
      </c>
      <c r="AP11" s="8">
        <v>0.699836845245082</v>
      </c>
      <c r="AQ11" s="8">
        <v>3.27250285802009</v>
      </c>
      <c r="AR11" s="8">
        <v>17.2951700552714</v>
      </c>
      <c r="AS11" s="8">
        <v>4.15874621193351</v>
      </c>
      <c r="AT11" s="8">
        <v>0.484382515700996</v>
      </c>
      <c r="AU11" s="9">
        <f t="shared" si="3"/>
        <v>-0.3119297681</v>
      </c>
      <c r="AV11" s="10">
        <f t="shared" si="4"/>
        <v>-0.3401583085</v>
      </c>
      <c r="AW11" s="10">
        <f t="shared" si="5"/>
        <v>-0.2189226435</v>
      </c>
      <c r="AX11" s="11">
        <f t="shared" si="6"/>
        <v>-0.2280675803</v>
      </c>
      <c r="AY11" s="9">
        <f t="shared" si="7"/>
        <v>-0.1247844714</v>
      </c>
      <c r="AZ11" s="11">
        <f t="shared" si="8"/>
        <v>-0.1472302616</v>
      </c>
      <c r="BA11" s="9">
        <f t="shared" si="9"/>
        <v>-0.3179064352</v>
      </c>
      <c r="BB11" s="10">
        <f t="shared" si="10"/>
        <v>-0.3038893948</v>
      </c>
      <c r="BC11" s="11">
        <f t="shared" si="11"/>
        <v>-0.2572810389</v>
      </c>
      <c r="BD11" s="4">
        <f t="shared" ref="BD11:BE11" si="20">((R11-R$68)/R$69)</f>
        <v>-0.6999893946</v>
      </c>
      <c r="BE11" s="4">
        <f t="shared" si="20"/>
        <v>-1.078296483</v>
      </c>
      <c r="BF11" s="4"/>
    </row>
    <row r="12">
      <c r="A12" s="3" t="s">
        <v>57</v>
      </c>
      <c r="B12" s="4">
        <f t="shared" si="2"/>
        <v>-0.163294836</v>
      </c>
      <c r="C12" s="3" t="s">
        <v>58</v>
      </c>
      <c r="D12" s="3" t="s">
        <v>59</v>
      </c>
      <c r="E12" s="5" t="s">
        <v>76</v>
      </c>
      <c r="F12" s="3" t="s">
        <v>61</v>
      </c>
      <c r="G12" s="5" t="s">
        <v>77</v>
      </c>
      <c r="H12" s="5" t="s">
        <v>80</v>
      </c>
      <c r="I12" s="6">
        <v>150.0</v>
      </c>
      <c r="J12" s="5" t="s">
        <v>64</v>
      </c>
      <c r="K12" s="3" t="s">
        <v>65</v>
      </c>
      <c r="L12" s="5" t="s">
        <v>66</v>
      </c>
      <c r="M12" s="3" t="s">
        <v>67</v>
      </c>
      <c r="N12" s="3" t="s">
        <v>74</v>
      </c>
      <c r="O12" s="3" t="s">
        <v>69</v>
      </c>
      <c r="P12" s="5" t="s">
        <v>70</v>
      </c>
      <c r="Q12" s="5" t="s">
        <v>75</v>
      </c>
      <c r="R12" s="7">
        <v>512.954291582107</v>
      </c>
      <c r="S12" s="7">
        <v>326.686750888824</v>
      </c>
      <c r="T12" s="8">
        <v>3.66388170281665</v>
      </c>
      <c r="U12" s="8">
        <v>19.8362312530614</v>
      </c>
      <c r="V12" s="8">
        <v>4.45378841583897</v>
      </c>
      <c r="W12" s="8">
        <v>0.401664471657592</v>
      </c>
      <c r="X12" s="8">
        <v>0.127325538691521</v>
      </c>
      <c r="Y12" s="8">
        <v>0.0229650030364421</v>
      </c>
      <c r="Z12" s="8">
        <v>0.15154208338426</v>
      </c>
      <c r="AA12" s="8">
        <v>0.46548507257357</v>
      </c>
      <c r="AB12" s="8">
        <v>0.127696374095926</v>
      </c>
      <c r="AC12" s="8">
        <v>0.151737927064477</v>
      </c>
      <c r="AD12" s="8">
        <v>0.46816668112572</v>
      </c>
      <c r="AE12" s="8">
        <v>0.138167120293037</v>
      </c>
      <c r="AF12" s="8">
        <v>0.169721611544357</v>
      </c>
      <c r="AG12" s="8">
        <v>0.336649324818615</v>
      </c>
      <c r="AH12" s="8">
        <v>10.0</v>
      </c>
      <c r="AI12" s="8">
        <v>3.66388170281668</v>
      </c>
      <c r="AJ12" s="8">
        <v>19.8362312530614</v>
      </c>
      <c r="AK12" s="8">
        <v>4.45378841583897</v>
      </c>
      <c r="AL12" s="8">
        <v>0.401636732605958</v>
      </c>
      <c r="AM12" s="8">
        <v>3.53293301665422</v>
      </c>
      <c r="AN12" s="8">
        <v>17.6238979260201</v>
      </c>
      <c r="AO12" s="8">
        <v>4.19808264878386</v>
      </c>
      <c r="AP12" s="8">
        <v>0.46816668112572</v>
      </c>
      <c r="AQ12" s="8">
        <v>3.82262366144097</v>
      </c>
      <c r="AR12" s="8">
        <v>22.0489528615885</v>
      </c>
      <c r="AS12" s="8">
        <v>4.69563125272721</v>
      </c>
      <c r="AT12" s="8">
        <v>0.336649324818615</v>
      </c>
      <c r="AU12" s="9">
        <f t="shared" si="3"/>
        <v>0.2783980527</v>
      </c>
      <c r="AV12" s="10">
        <f t="shared" si="4"/>
        <v>0.2537908864</v>
      </c>
      <c r="AW12" s="10">
        <f t="shared" si="5"/>
        <v>0.1956640967</v>
      </c>
      <c r="AX12" s="11">
        <f t="shared" si="6"/>
        <v>0.1224674593</v>
      </c>
      <c r="AY12" s="9">
        <f t="shared" si="7"/>
        <v>0.254894816</v>
      </c>
      <c r="AZ12" s="11">
        <f t="shared" si="8"/>
        <v>0.1594359721</v>
      </c>
      <c r="BA12" s="9">
        <f t="shared" si="9"/>
        <v>0.05494352401</v>
      </c>
      <c r="BB12" s="10">
        <f t="shared" si="10"/>
        <v>-0.06756402416</v>
      </c>
      <c r="BC12" s="11">
        <f t="shared" si="11"/>
        <v>-0.03927731349</v>
      </c>
      <c r="BD12" s="4">
        <f t="shared" ref="BD12:BE12" si="21">((R12-R$68)/R$69)</f>
        <v>-0.2848136831</v>
      </c>
      <c r="BE12" s="4">
        <f t="shared" si="21"/>
        <v>0.8683034099</v>
      </c>
      <c r="BF12" s="4"/>
    </row>
    <row r="13">
      <c r="A13" s="3" t="s">
        <v>72</v>
      </c>
      <c r="B13" s="4">
        <f t="shared" si="2"/>
        <v>0.1367960208</v>
      </c>
      <c r="C13" s="3" t="s">
        <v>58</v>
      </c>
      <c r="D13" s="3" t="s">
        <v>59</v>
      </c>
      <c r="E13" s="5" t="s">
        <v>60</v>
      </c>
      <c r="F13" s="3" t="s">
        <v>61</v>
      </c>
      <c r="G13" s="5" t="s">
        <v>62</v>
      </c>
      <c r="H13" s="5" t="s">
        <v>63</v>
      </c>
      <c r="I13" s="6">
        <v>150.0</v>
      </c>
      <c r="J13" s="5" t="s">
        <v>64</v>
      </c>
      <c r="K13" s="3" t="s">
        <v>81</v>
      </c>
      <c r="L13" s="5" t="s">
        <v>66</v>
      </c>
      <c r="M13" s="3" t="s">
        <v>67</v>
      </c>
      <c r="N13" s="3" t="s">
        <v>74</v>
      </c>
      <c r="O13" s="3" t="s">
        <v>69</v>
      </c>
      <c r="P13" s="5" t="s">
        <v>75</v>
      </c>
      <c r="Q13" s="5" t="s">
        <v>87</v>
      </c>
      <c r="R13" s="7">
        <v>1465.66320610046</v>
      </c>
      <c r="S13" s="7">
        <v>144.244060277938</v>
      </c>
      <c r="T13" s="8">
        <v>3.18516268261802</v>
      </c>
      <c r="U13" s="8">
        <v>15.318110171574</v>
      </c>
      <c r="V13" s="8">
        <v>3.91383573640668</v>
      </c>
      <c r="W13" s="8">
        <v>0.542999404262801</v>
      </c>
      <c r="X13" s="8">
        <v>0.10330962060209</v>
      </c>
      <c r="Y13" s="8">
        <v>0.0155425212081132</v>
      </c>
      <c r="Z13" s="8">
        <v>0.124669648303479</v>
      </c>
      <c r="AA13" s="8">
        <v>0.664250134257843</v>
      </c>
      <c r="AB13" s="8">
        <v>0.10366934941162</v>
      </c>
      <c r="AC13" s="8">
        <v>0.124876441511686</v>
      </c>
      <c r="AD13" s="8">
        <v>0.666085182230864</v>
      </c>
      <c r="AE13" s="8">
        <v>0.135961419484419</v>
      </c>
      <c r="AF13" s="8">
        <v>0.166777434252086</v>
      </c>
      <c r="AG13" s="8">
        <v>0.407714106841679</v>
      </c>
      <c r="AH13" s="8">
        <v>10.0</v>
      </c>
      <c r="AI13" s="8">
        <v>3.18516268261803</v>
      </c>
      <c r="AJ13" s="8">
        <v>15.318110171574</v>
      </c>
      <c r="AK13" s="8">
        <v>3.91383573640668</v>
      </c>
      <c r="AL13" s="8">
        <v>0.542885829136276</v>
      </c>
      <c r="AM13" s="8">
        <v>2.77315509676084</v>
      </c>
      <c r="AN13" s="8">
        <v>11.1585715315795</v>
      </c>
      <c r="AO13" s="8">
        <v>3.3404448104376</v>
      </c>
      <c r="AP13" s="8">
        <v>0.666085182230864</v>
      </c>
      <c r="AQ13" s="8">
        <v>3.63696797120823</v>
      </c>
      <c r="AR13" s="8">
        <v>19.9031652674558</v>
      </c>
      <c r="AS13" s="8">
        <v>4.46129636624331</v>
      </c>
      <c r="AT13" s="8">
        <v>0.407714106841679</v>
      </c>
      <c r="AU13" s="9">
        <f t="shared" si="3"/>
        <v>-0.1801676077</v>
      </c>
      <c r="AV13" s="10">
        <f t="shared" si="4"/>
        <v>-0.2152953861</v>
      </c>
      <c r="AW13" s="10">
        <f t="shared" si="5"/>
        <v>0.05574866917</v>
      </c>
      <c r="AX13" s="11">
        <f t="shared" si="6"/>
        <v>-0.03053100865</v>
      </c>
      <c r="AY13" s="9">
        <f t="shared" si="7"/>
        <v>-0.1496893514</v>
      </c>
      <c r="AZ13" s="11">
        <f t="shared" si="8"/>
        <v>-0.2281639174</v>
      </c>
      <c r="BA13" s="9">
        <f t="shared" si="9"/>
        <v>-0.2635865091</v>
      </c>
      <c r="BB13" s="10">
        <f t="shared" si="10"/>
        <v>-0.1812447133</v>
      </c>
      <c r="BC13" s="11">
        <f t="shared" si="11"/>
        <v>-0.3133092353</v>
      </c>
      <c r="BD13" s="4">
        <f t="shared" ref="BD13:BE13" si="22">((R13-R$68)/R$69)</f>
        <v>0.8765795644</v>
      </c>
      <c r="BE13" s="4">
        <f t="shared" si="22"/>
        <v>-0.8750967334</v>
      </c>
      <c r="BF13" s="4"/>
    </row>
    <row r="14">
      <c r="A14" s="3" t="s">
        <v>57</v>
      </c>
      <c r="B14" s="4">
        <f t="shared" si="2"/>
        <v>-0.01950199131</v>
      </c>
      <c r="C14" s="3" t="s">
        <v>58</v>
      </c>
      <c r="D14" s="3" t="s">
        <v>59</v>
      </c>
      <c r="E14" s="5" t="s">
        <v>76</v>
      </c>
      <c r="F14" s="3" t="s">
        <v>61</v>
      </c>
      <c r="G14" s="5" t="s">
        <v>77</v>
      </c>
      <c r="H14" s="5" t="s">
        <v>63</v>
      </c>
      <c r="I14" s="6">
        <v>150.0</v>
      </c>
      <c r="J14" s="5" t="s">
        <v>64</v>
      </c>
      <c r="K14" s="3" t="s">
        <v>81</v>
      </c>
      <c r="L14" s="5" t="s">
        <v>83</v>
      </c>
      <c r="M14" s="3" t="s">
        <v>78</v>
      </c>
      <c r="N14" s="3" t="s">
        <v>68</v>
      </c>
      <c r="O14" s="3" t="s">
        <v>69</v>
      </c>
      <c r="P14" s="5" t="s">
        <v>75</v>
      </c>
      <c r="Q14" s="3"/>
      <c r="R14" s="7">
        <v>1705.33039331436</v>
      </c>
      <c r="S14" s="7">
        <v>327.046343564987</v>
      </c>
      <c r="T14" s="8">
        <v>3.23132418867527</v>
      </c>
      <c r="U14" s="8">
        <v>16.0312750389585</v>
      </c>
      <c r="V14" s="8">
        <v>4.00390747132829</v>
      </c>
      <c r="W14" s="8">
        <v>0.51638925768023</v>
      </c>
      <c r="X14" s="8">
        <v>0.100606489679871</v>
      </c>
      <c r="Y14" s="8">
        <v>0.0147209867953625</v>
      </c>
      <c r="Z14" s="8">
        <v>0.121330073746629</v>
      </c>
      <c r="AA14" s="8">
        <v>0.655649742235414</v>
      </c>
      <c r="AB14" s="8">
        <v>0.101096020792756</v>
      </c>
      <c r="AC14" s="8">
        <v>0.121711161736788</v>
      </c>
      <c r="AD14" s="8">
        <v>0.656222382822822</v>
      </c>
      <c r="AE14" s="8">
        <v>0.122790157016703</v>
      </c>
      <c r="AF14" s="8">
        <v>0.154005617957024</v>
      </c>
      <c r="AG14" s="8">
        <v>0.454563075782435</v>
      </c>
      <c r="AH14" s="8">
        <v>10.0</v>
      </c>
      <c r="AI14" s="8">
        <v>3.23132418867526</v>
      </c>
      <c r="AJ14" s="8">
        <v>16.0312750389585</v>
      </c>
      <c r="AK14" s="8">
        <v>4.00390747132829</v>
      </c>
      <c r="AL14" s="8">
        <v>0.516259417920057</v>
      </c>
      <c r="AM14" s="8">
        <v>2.7969899085996</v>
      </c>
      <c r="AN14" s="8">
        <v>11.3389930971437</v>
      </c>
      <c r="AO14" s="8">
        <v>3.36734214138446</v>
      </c>
      <c r="AP14" s="8">
        <v>0.656222382822822</v>
      </c>
      <c r="AQ14" s="8">
        <v>3.39719434412893</v>
      </c>
      <c r="AR14" s="8">
        <v>18.154604940673</v>
      </c>
      <c r="AS14" s="8">
        <v>4.26082209681102</v>
      </c>
      <c r="AT14" s="8">
        <v>0.454563075782434</v>
      </c>
      <c r="AU14" s="9">
        <f t="shared" si="3"/>
        <v>-0.2292806441</v>
      </c>
      <c r="AV14" s="10">
        <f t="shared" si="4"/>
        <v>-0.2705711559</v>
      </c>
      <c r="AW14" s="10">
        <f t="shared" si="5"/>
        <v>-0.1249515803</v>
      </c>
      <c r="AX14" s="11">
        <f t="shared" si="6"/>
        <v>-0.1614217034</v>
      </c>
      <c r="AY14" s="9">
        <f t="shared" si="7"/>
        <v>-0.1106764572</v>
      </c>
      <c r="AZ14" s="11">
        <f t="shared" si="8"/>
        <v>-0.1635067802</v>
      </c>
      <c r="BA14" s="9">
        <f t="shared" si="9"/>
        <v>-0.2477133199</v>
      </c>
      <c r="BB14" s="10">
        <f t="shared" si="10"/>
        <v>-0.2561879261</v>
      </c>
      <c r="BC14" s="11">
        <f t="shared" si="11"/>
        <v>-0.2616523623</v>
      </c>
      <c r="BD14" s="4">
        <f t="shared" ref="BD14:BE14" si="23">((R14-R$68)/R$69)</f>
        <v>1.1687442</v>
      </c>
      <c r="BE14" s="4">
        <f t="shared" si="23"/>
        <v>0.8717396338</v>
      </c>
      <c r="BF14" s="4"/>
    </row>
    <row r="15">
      <c r="A15" s="3" t="s">
        <v>72</v>
      </c>
      <c r="B15" s="4">
        <f t="shared" si="2"/>
        <v>-0.4737174972</v>
      </c>
      <c r="C15" s="3" t="s">
        <v>58</v>
      </c>
      <c r="D15" s="3" t="s">
        <v>59</v>
      </c>
      <c r="E15" s="5" t="s">
        <v>76</v>
      </c>
      <c r="F15" s="3" t="s">
        <v>73</v>
      </c>
      <c r="G15" s="5" t="s">
        <v>85</v>
      </c>
      <c r="H15" s="5" t="s">
        <v>80</v>
      </c>
      <c r="I15" s="6">
        <v>150.0</v>
      </c>
      <c r="J15" s="5" t="s">
        <v>64</v>
      </c>
      <c r="K15" s="3" t="s">
        <v>65</v>
      </c>
      <c r="L15" s="5" t="s">
        <v>66</v>
      </c>
      <c r="M15" s="3" t="s">
        <v>78</v>
      </c>
      <c r="N15" s="3" t="s">
        <v>68</v>
      </c>
      <c r="O15" s="3" t="s">
        <v>69</v>
      </c>
      <c r="P15" s="5" t="s">
        <v>75</v>
      </c>
      <c r="Q15" s="3" t="s">
        <v>88</v>
      </c>
      <c r="R15" s="7">
        <v>642.216650485992</v>
      </c>
      <c r="S15" s="7">
        <v>388.818681001663</v>
      </c>
      <c r="T15" s="8">
        <v>4.30153436723744</v>
      </c>
      <c r="U15" s="8">
        <v>28.3142435926938</v>
      </c>
      <c r="V15" s="8">
        <v>5.32111300318776</v>
      </c>
      <c r="W15" s="8">
        <v>0.136447135939472</v>
      </c>
      <c r="X15" s="8">
        <v>0.152263038521607</v>
      </c>
      <c r="Y15" s="8">
        <v>0.0338708004530236</v>
      </c>
      <c r="Z15" s="8">
        <v>0.184040214227824</v>
      </c>
      <c r="AA15" s="8">
        <v>0.18494302094024</v>
      </c>
      <c r="AB15" s="8">
        <v>0.154037007467037</v>
      </c>
      <c r="AC15" s="8">
        <v>0.185212834651591</v>
      </c>
      <c r="AD15" s="8">
        <v>0.191103900020399</v>
      </c>
      <c r="AE15" s="8">
        <v>0.152989500677055</v>
      </c>
      <c r="AF15" s="8">
        <v>0.193624399824039</v>
      </c>
      <c r="AG15" s="8">
        <v>0.129176577288653</v>
      </c>
      <c r="AH15" s="8">
        <v>10.0</v>
      </c>
      <c r="AI15" s="8">
        <v>3.80919007219221</v>
      </c>
      <c r="AJ15" s="8">
        <v>22.203603200556</v>
      </c>
      <c r="AK15" s="8">
        <v>4.71206994860602</v>
      </c>
      <c r="AL15" s="8">
        <v>0.136361180407901</v>
      </c>
      <c r="AM15" s="8">
        <v>3.77390668294269</v>
      </c>
      <c r="AN15" s="8">
        <v>20.5908524203367</v>
      </c>
      <c r="AO15" s="8">
        <v>4.537714448964</v>
      </c>
      <c r="AP15" s="8">
        <v>0.191103900020399</v>
      </c>
      <c r="AQ15" s="8">
        <v>3.74824276658809</v>
      </c>
      <c r="AR15" s="8">
        <v>22.5036175263836</v>
      </c>
      <c r="AS15" s="8">
        <v>4.74379779568898</v>
      </c>
      <c r="AT15" s="8">
        <v>0.129176577288653</v>
      </c>
      <c r="AU15" s="9">
        <f t="shared" si="3"/>
        <v>0.7811198877</v>
      </c>
      <c r="AV15" s="10">
        <f t="shared" si="4"/>
        <v>0.8383683698</v>
      </c>
      <c r="AW15" s="10">
        <f t="shared" si="5"/>
        <v>0.1396085312</v>
      </c>
      <c r="AX15" s="11">
        <f t="shared" si="6"/>
        <v>0.1539156461</v>
      </c>
      <c r="AY15" s="9">
        <f t="shared" si="7"/>
        <v>0.3777006021</v>
      </c>
      <c r="AZ15" s="11">
        <f t="shared" si="8"/>
        <v>0.344840911</v>
      </c>
      <c r="BA15" s="9">
        <f t="shared" si="9"/>
        <v>0.5008483604</v>
      </c>
      <c r="BB15" s="10">
        <f t="shared" si="10"/>
        <v>0.2643253344</v>
      </c>
      <c r="BC15" s="11">
        <f t="shared" si="11"/>
        <v>0.4753735491</v>
      </c>
      <c r="BD15" s="4">
        <f t="shared" ref="BD15:BE15" si="24">((R15-R$68)/R$69)</f>
        <v>-0.1272372938</v>
      </c>
      <c r="BE15" s="4">
        <f t="shared" si="24"/>
        <v>1.462028571</v>
      </c>
      <c r="BF15" s="4"/>
    </row>
    <row r="16">
      <c r="A16" s="3" t="s">
        <v>57</v>
      </c>
      <c r="B16" s="4">
        <f t="shared" si="2"/>
        <v>-0.5110669061</v>
      </c>
      <c r="C16" s="3" t="s">
        <v>58</v>
      </c>
      <c r="D16" s="3" t="s">
        <v>59</v>
      </c>
      <c r="E16" s="5" t="s">
        <v>60</v>
      </c>
      <c r="F16" s="3" t="s">
        <v>73</v>
      </c>
      <c r="G16" s="5" t="s">
        <v>60</v>
      </c>
      <c r="H16" s="5" t="s">
        <v>63</v>
      </c>
      <c r="I16" s="6">
        <v>150.0</v>
      </c>
      <c r="J16" s="5" t="s">
        <v>64</v>
      </c>
      <c r="K16" s="3" t="s">
        <v>81</v>
      </c>
      <c r="L16" s="5" t="s">
        <v>66</v>
      </c>
      <c r="M16" s="3" t="s">
        <v>78</v>
      </c>
      <c r="N16" s="3" t="s">
        <v>74</v>
      </c>
      <c r="O16" s="3" t="s">
        <v>69</v>
      </c>
      <c r="P16" s="5" t="s">
        <v>75</v>
      </c>
      <c r="Q16" s="5" t="s">
        <v>82</v>
      </c>
      <c r="R16" s="7">
        <v>1511.48253822326</v>
      </c>
      <c r="S16" s="7">
        <v>141.622427463531</v>
      </c>
      <c r="T16" s="8">
        <v>4.22566959815309</v>
      </c>
      <c r="U16" s="8">
        <v>28.6807004967555</v>
      </c>
      <c r="V16" s="8">
        <v>5.35543653652581</v>
      </c>
      <c r="W16" s="8">
        <v>0.123412016858612</v>
      </c>
      <c r="X16" s="8">
        <v>0.137155942762521</v>
      </c>
      <c r="Y16" s="8">
        <v>0.0289613478099261</v>
      </c>
      <c r="Z16" s="8">
        <v>0.170180339081593</v>
      </c>
      <c r="AA16" s="8">
        <v>0.348486569747883</v>
      </c>
      <c r="AB16" s="8">
        <v>0.139082447179005</v>
      </c>
      <c r="AC16" s="8">
        <v>0.171478184742357</v>
      </c>
      <c r="AD16" s="8">
        <v>0.355117671855561</v>
      </c>
      <c r="AE16" s="8">
        <v>0.171984873646425</v>
      </c>
      <c r="AF16" s="8">
        <v>0.218573055146081</v>
      </c>
      <c r="AG16" s="8">
        <v>-0.0593102063052459</v>
      </c>
      <c r="AH16" s="8">
        <v>10.0</v>
      </c>
      <c r="AI16" s="8">
        <v>4.2256695981531</v>
      </c>
      <c r="AJ16" s="8">
        <v>28.6807004967555</v>
      </c>
      <c r="AK16" s="8">
        <v>5.35543653652581</v>
      </c>
      <c r="AL16" s="8">
        <v>0.123625325811726</v>
      </c>
      <c r="AM16" s="8">
        <v>3.72045546203839</v>
      </c>
      <c r="AN16" s="8">
        <v>21.0409491893234</v>
      </c>
      <c r="AO16" s="8">
        <v>4.58704144185807</v>
      </c>
      <c r="AP16" s="8">
        <v>0.355117671855562</v>
      </c>
      <c r="AQ16" s="8">
        <v>4.6005953700419</v>
      </c>
      <c r="AR16" s="8">
        <v>34.185411988158</v>
      </c>
      <c r="AS16" s="8">
        <v>5.84682922515769</v>
      </c>
      <c r="AT16" s="8">
        <v>-0.0593102063052461</v>
      </c>
      <c r="AU16" s="9">
        <f t="shared" si="3"/>
        <v>0.4957059463</v>
      </c>
      <c r="AV16" s="10">
        <f t="shared" si="4"/>
        <v>0.5985180563</v>
      </c>
      <c r="AW16" s="10">
        <f t="shared" si="5"/>
        <v>0.7819657829</v>
      </c>
      <c r="AX16" s="11">
        <f t="shared" si="6"/>
        <v>0.8740906119</v>
      </c>
      <c r="AY16" s="9">
        <f t="shared" si="7"/>
        <v>0.7296837387</v>
      </c>
      <c r="AZ16" s="11">
        <f t="shared" si="8"/>
        <v>0.8066754901</v>
      </c>
      <c r="BA16" s="9">
        <f t="shared" si="9"/>
        <v>0.2368845981</v>
      </c>
      <c r="BB16" s="10">
        <f t="shared" si="10"/>
        <v>0.5658432854</v>
      </c>
      <c r="BC16" s="11">
        <f t="shared" si="11"/>
        <v>0.5000818891</v>
      </c>
      <c r="BD16" s="4">
        <f t="shared" ref="BD16:BE16" si="25">((R16-R$68)/R$69)</f>
        <v>0.932435306</v>
      </c>
      <c r="BE16" s="4">
        <f t="shared" si="25"/>
        <v>-0.9001487374</v>
      </c>
      <c r="BF16" s="4"/>
    </row>
    <row r="17">
      <c r="A17" s="3" t="s">
        <v>72</v>
      </c>
      <c r="B17" s="4">
        <f t="shared" si="2"/>
        <v>-1.307328323</v>
      </c>
      <c r="C17" s="3" t="s">
        <v>58</v>
      </c>
      <c r="D17" s="3" t="s">
        <v>59</v>
      </c>
      <c r="E17" s="5" t="s">
        <v>76</v>
      </c>
      <c r="F17" s="3" t="s">
        <v>73</v>
      </c>
      <c r="G17" s="5" t="s">
        <v>85</v>
      </c>
      <c r="H17" s="5" t="s">
        <v>63</v>
      </c>
      <c r="I17" s="6">
        <v>150.0</v>
      </c>
      <c r="J17" s="5" t="s">
        <v>64</v>
      </c>
      <c r="K17" s="3" t="s">
        <v>81</v>
      </c>
      <c r="L17" s="5" t="s">
        <v>66</v>
      </c>
      <c r="M17" s="3" t="s">
        <v>89</v>
      </c>
      <c r="N17" s="3" t="s">
        <v>74</v>
      </c>
      <c r="O17" s="3" t="s">
        <v>69</v>
      </c>
      <c r="P17" s="5" t="s">
        <v>82</v>
      </c>
      <c r="Q17" s="3" t="s">
        <v>90</v>
      </c>
      <c r="R17" s="7">
        <v>5565.9098200798</v>
      </c>
      <c r="S17" s="7">
        <v>398.928109407424</v>
      </c>
      <c r="T17" s="8">
        <v>4.7433034578444</v>
      </c>
      <c r="U17" s="8">
        <v>35.2856078692599</v>
      </c>
      <c r="V17" s="8">
        <v>5.94016901015955</v>
      </c>
      <c r="W17" s="8">
        <v>-0.0789850976727148</v>
      </c>
      <c r="X17" s="8">
        <v>0.14897925444806</v>
      </c>
      <c r="Y17" s="8">
        <v>0.0312296952121025</v>
      </c>
      <c r="Z17" s="8">
        <v>0.176719255351822</v>
      </c>
      <c r="AA17" s="8">
        <v>0.24353175243921</v>
      </c>
      <c r="AB17" s="8">
        <v>0.150605009555922</v>
      </c>
      <c r="AC17" s="8">
        <v>0.177814250239628</v>
      </c>
      <c r="AD17" s="8">
        <v>0.250326258709133</v>
      </c>
      <c r="AE17" s="8">
        <v>0.186464051456569</v>
      </c>
      <c r="AF17" s="8">
        <v>0.24311845095237</v>
      </c>
      <c r="AG17" s="8">
        <v>-0.375875584675194</v>
      </c>
      <c r="AH17" s="8">
        <v>10.0</v>
      </c>
      <c r="AI17" s="8">
        <v>4.20039523074176</v>
      </c>
      <c r="AJ17" s="8">
        <v>27.6704420252154</v>
      </c>
      <c r="AK17" s="8">
        <v>5.26027014755092</v>
      </c>
      <c r="AL17" s="8">
        <v>-0.079656105106399</v>
      </c>
      <c r="AM17" s="8">
        <v>3.68982273412032</v>
      </c>
      <c r="AN17" s="8">
        <v>18.9786490298657</v>
      </c>
      <c r="AO17" s="8">
        <v>4.35644913087089</v>
      </c>
      <c r="AP17" s="8">
        <v>0.250326258709133</v>
      </c>
      <c r="AQ17" s="8">
        <v>4.56836926068629</v>
      </c>
      <c r="AR17" s="8">
        <v>35.4787253613865</v>
      </c>
      <c r="AS17" s="8">
        <v>5.95640204833308</v>
      </c>
      <c r="AT17" s="8">
        <v>-0.375875584675194</v>
      </c>
      <c r="AU17" s="9">
        <f t="shared" si="3"/>
        <v>0.7156187943</v>
      </c>
      <c r="AV17" s="10">
        <f t="shared" si="4"/>
        <v>0.7091657471</v>
      </c>
      <c r="AW17" s="10">
        <f t="shared" si="5"/>
        <v>0.7576792671</v>
      </c>
      <c r="AX17" s="11">
        <f t="shared" si="6"/>
        <v>0.9456312789</v>
      </c>
      <c r="AY17" s="9">
        <f t="shared" si="7"/>
        <v>0.7083233822</v>
      </c>
      <c r="AZ17" s="11">
        <f t="shared" si="8"/>
        <v>0.7383612039</v>
      </c>
      <c r="BA17" s="9">
        <f t="shared" si="9"/>
        <v>0.4055358971</v>
      </c>
      <c r="BB17" s="10">
        <f t="shared" si="10"/>
        <v>1.072245604</v>
      </c>
      <c r="BC17" s="11">
        <f t="shared" si="11"/>
        <v>0.8944603492</v>
      </c>
      <c r="BD17" s="4">
        <f t="shared" ref="BD17:BE17" si="26">((R17-R$68)/R$69)</f>
        <v>5.874956989</v>
      </c>
      <c r="BE17" s="4">
        <f t="shared" si="26"/>
        <v>1.558633038</v>
      </c>
      <c r="BF17" s="4"/>
    </row>
    <row r="18">
      <c r="A18" s="3" t="s">
        <v>72</v>
      </c>
      <c r="B18" s="4">
        <f t="shared" si="2"/>
        <v>0.8891308596</v>
      </c>
      <c r="C18" s="3" t="s">
        <v>58</v>
      </c>
      <c r="D18" s="3" t="s">
        <v>59</v>
      </c>
      <c r="E18" s="5" t="s">
        <v>60</v>
      </c>
      <c r="F18" s="3" t="s">
        <v>61</v>
      </c>
      <c r="G18" s="5" t="s">
        <v>62</v>
      </c>
      <c r="H18" s="5" t="s">
        <v>63</v>
      </c>
      <c r="I18" s="6">
        <v>20.0</v>
      </c>
      <c r="J18" s="5" t="s">
        <v>91</v>
      </c>
      <c r="K18" s="3" t="s">
        <v>81</v>
      </c>
      <c r="L18" s="5" t="s">
        <v>66</v>
      </c>
      <c r="M18" s="3" t="s">
        <v>67</v>
      </c>
      <c r="N18" s="3" t="s">
        <v>74</v>
      </c>
      <c r="O18" s="3" t="s">
        <v>69</v>
      </c>
      <c r="P18" s="5" t="s">
        <v>82</v>
      </c>
      <c r="Q18" s="5" t="s">
        <v>92</v>
      </c>
      <c r="R18" s="8">
        <v>450.514762163162</v>
      </c>
      <c r="S18" s="8">
        <v>147.04095005989</v>
      </c>
      <c r="T18" s="8">
        <v>2.08995669790719</v>
      </c>
      <c r="U18" s="8">
        <v>7.29221064208914</v>
      </c>
      <c r="V18" s="8">
        <v>2.70040934713408</v>
      </c>
      <c r="W18" s="8">
        <v>0.782459417697187</v>
      </c>
      <c r="X18" s="8">
        <v>0.0548812996011834</v>
      </c>
      <c r="Y18" s="8">
        <v>0.00484368214458227</v>
      </c>
      <c r="Z18" s="8">
        <v>0.0695965670459562</v>
      </c>
      <c r="AA18" s="8">
        <v>0.895366677776044</v>
      </c>
      <c r="AB18" s="8">
        <v>0.0550535627029059</v>
      </c>
      <c r="AC18" s="8">
        <v>0.0696675948142457</v>
      </c>
      <c r="AD18" s="8">
        <v>0.896071107996795</v>
      </c>
      <c r="AE18" s="8">
        <v>0.0851250516623897</v>
      </c>
      <c r="AF18" s="8">
        <v>0.110411637241432</v>
      </c>
      <c r="AG18" s="8">
        <v>0.740410864486236</v>
      </c>
      <c r="AH18" s="12">
        <v>10.0</v>
      </c>
      <c r="AI18" s="8">
        <v>2.08995669790718</v>
      </c>
      <c r="AJ18" s="8">
        <v>7.29221064208915</v>
      </c>
      <c r="AK18" s="8">
        <v>2.70040934713408</v>
      </c>
      <c r="AL18" s="8">
        <v>0.782390073965653</v>
      </c>
      <c r="AM18" s="8">
        <v>1.47268280230273</v>
      </c>
      <c r="AN18" s="8">
        <v>3.47303537879342</v>
      </c>
      <c r="AO18" s="8">
        <v>1.86360816128107</v>
      </c>
      <c r="AP18" s="8">
        <v>0.896071107996795</v>
      </c>
      <c r="AQ18" s="8">
        <v>2.27709513196893</v>
      </c>
      <c r="AR18" s="8">
        <v>8.72322897683019</v>
      </c>
      <c r="AS18" s="8">
        <v>2.95351129620832</v>
      </c>
      <c r="AT18" s="8">
        <v>0.740410864486236</v>
      </c>
      <c r="AU18" s="9">
        <f t="shared" si="3"/>
        <v>-1.108019917</v>
      </c>
      <c r="AV18" s="10">
        <f t="shared" si="4"/>
        <v>-1.179416006</v>
      </c>
      <c r="AW18" s="10">
        <f t="shared" si="5"/>
        <v>-0.969090319</v>
      </c>
      <c r="AX18" s="11">
        <f t="shared" si="6"/>
        <v>-1.014971735</v>
      </c>
      <c r="AY18" s="9">
        <f t="shared" si="7"/>
        <v>-1.075290764</v>
      </c>
      <c r="AZ18" s="11">
        <f t="shared" si="8"/>
        <v>-1.099210497</v>
      </c>
      <c r="BA18" s="9">
        <f t="shared" si="9"/>
        <v>-0.6337258551</v>
      </c>
      <c r="BB18" s="10">
        <f t="shared" si="10"/>
        <v>-0.7134520264</v>
      </c>
      <c r="BC18" s="11">
        <f t="shared" si="11"/>
        <v>-0.7779621788</v>
      </c>
      <c r="BD18" s="4">
        <f t="shared" ref="BD18:BE18" si="27">((R18-R$68)/R$69)</f>
        <v>-0.3609301619</v>
      </c>
      <c r="BE18" s="4">
        <f t="shared" si="27"/>
        <v>-0.8483699951</v>
      </c>
      <c r="BF18" s="3"/>
    </row>
    <row r="19">
      <c r="A19" s="3" t="s">
        <v>57</v>
      </c>
      <c r="B19" s="4">
        <f t="shared" si="2"/>
        <v>0.6139229257</v>
      </c>
      <c r="C19" s="3" t="s">
        <v>58</v>
      </c>
      <c r="D19" s="3" t="s">
        <v>59</v>
      </c>
      <c r="E19" s="5" t="s">
        <v>60</v>
      </c>
      <c r="F19" s="3" t="s">
        <v>61</v>
      </c>
      <c r="G19" s="5" t="s">
        <v>62</v>
      </c>
      <c r="H19" s="5" t="s">
        <v>63</v>
      </c>
      <c r="I19" s="6">
        <v>20.0</v>
      </c>
      <c r="J19" s="5" t="s">
        <v>91</v>
      </c>
      <c r="K19" s="3" t="s">
        <v>65</v>
      </c>
      <c r="L19" s="5" t="s">
        <v>83</v>
      </c>
      <c r="M19" s="3" t="s">
        <v>67</v>
      </c>
      <c r="N19" s="3" t="s">
        <v>84</v>
      </c>
      <c r="O19" s="3" t="s">
        <v>69</v>
      </c>
      <c r="P19" s="5" t="s">
        <v>70</v>
      </c>
      <c r="Q19" s="3"/>
      <c r="R19" s="8">
        <v>213.470755338668</v>
      </c>
      <c r="S19" s="8">
        <v>126.851146697998</v>
      </c>
      <c r="T19" s="8">
        <v>2.7573497331677</v>
      </c>
      <c r="U19" s="8">
        <v>12.1075481293779</v>
      </c>
      <c r="V19" s="8">
        <v>3.47959022434796</v>
      </c>
      <c r="W19" s="8">
        <v>0.638754880360194</v>
      </c>
      <c r="X19" s="8">
        <v>0.0739635107597092</v>
      </c>
      <c r="Y19" s="8">
        <v>0.00841883621830805</v>
      </c>
      <c r="Z19" s="8">
        <v>0.0917542163516644</v>
      </c>
      <c r="AA19" s="8">
        <v>0.818136125268619</v>
      </c>
      <c r="AB19" s="8">
        <v>0.0741896845711324</v>
      </c>
      <c r="AC19" s="8">
        <v>0.0918488737017</v>
      </c>
      <c r="AD19" s="8">
        <v>0.819356502632954</v>
      </c>
      <c r="AE19" s="8">
        <v>0.10989214790574</v>
      </c>
      <c r="AF19" s="8">
        <v>0.13861071811335</v>
      </c>
      <c r="AG19" s="8">
        <v>0.59088025552188</v>
      </c>
      <c r="AH19" s="12">
        <v>10.0</v>
      </c>
      <c r="AI19" s="8">
        <v>2.7573497331677</v>
      </c>
      <c r="AJ19" s="8">
        <v>12.1075481293779</v>
      </c>
      <c r="AK19" s="8">
        <v>3.47959022434796</v>
      </c>
      <c r="AL19" s="8">
        <v>0.638693561910547</v>
      </c>
      <c r="AM19" s="8">
        <v>1.98457406227779</v>
      </c>
      <c r="AN19" s="8">
        <v>6.0366395254688</v>
      </c>
      <c r="AO19" s="8">
        <v>2.45695737152047</v>
      </c>
      <c r="AP19" s="8">
        <v>0.819356502632954</v>
      </c>
      <c r="AQ19" s="8">
        <v>2.93961495647854</v>
      </c>
      <c r="AR19" s="8">
        <v>13.7480530645539</v>
      </c>
      <c r="AS19" s="8">
        <v>3.70783670953211</v>
      </c>
      <c r="AT19" s="8">
        <v>0.59088025552188</v>
      </c>
      <c r="AU19" s="9">
        <f t="shared" si="3"/>
        <v>-0.7427991509</v>
      </c>
      <c r="AV19" s="10">
        <f t="shared" si="4"/>
        <v>-0.7920609059</v>
      </c>
      <c r="AW19" s="10">
        <f t="shared" si="5"/>
        <v>-0.4697964681</v>
      </c>
      <c r="AX19" s="11">
        <f t="shared" si="6"/>
        <v>-0.5224687431</v>
      </c>
      <c r="AY19" s="9">
        <f t="shared" si="7"/>
        <v>-0.5112508074</v>
      </c>
      <c r="AZ19" s="11">
        <f t="shared" si="8"/>
        <v>-0.5398829234</v>
      </c>
      <c r="BA19" s="9">
        <f t="shared" si="9"/>
        <v>-0.5102613703</v>
      </c>
      <c r="BB19" s="10">
        <f t="shared" si="10"/>
        <v>-0.4742513676</v>
      </c>
      <c r="BC19" s="11">
        <f t="shared" si="11"/>
        <v>-0.4991821207</v>
      </c>
      <c r="BD19" s="4">
        <f t="shared" ref="BD19:BE19" si="28">((R19-R$68)/R$69)</f>
        <v>-0.6498970275</v>
      </c>
      <c r="BE19" s="4">
        <f t="shared" si="28"/>
        <v>-1.041301298</v>
      </c>
      <c r="BF19" s="3"/>
    </row>
    <row r="20">
      <c r="A20" s="3" t="s">
        <v>57</v>
      </c>
      <c r="B20" s="4">
        <f t="shared" si="2"/>
        <v>0.232374237</v>
      </c>
      <c r="C20" s="3" t="s">
        <v>58</v>
      </c>
      <c r="D20" s="3" t="s">
        <v>59</v>
      </c>
      <c r="E20" s="5" t="s">
        <v>60</v>
      </c>
      <c r="F20" s="3" t="s">
        <v>73</v>
      </c>
      <c r="G20" s="5" t="s">
        <v>60</v>
      </c>
      <c r="H20" s="5" t="s">
        <v>80</v>
      </c>
      <c r="I20" s="6">
        <v>20.0</v>
      </c>
      <c r="J20" s="5" t="s">
        <v>91</v>
      </c>
      <c r="K20" s="3" t="s">
        <v>65</v>
      </c>
      <c r="L20" s="5" t="s">
        <v>83</v>
      </c>
      <c r="M20" s="3" t="s">
        <v>78</v>
      </c>
      <c r="N20" s="3" t="s">
        <v>74</v>
      </c>
      <c r="O20" s="3" t="s">
        <v>69</v>
      </c>
      <c r="P20" s="5" t="s">
        <v>86</v>
      </c>
      <c r="Q20" s="3"/>
      <c r="R20" s="8">
        <v>63.3120896816253</v>
      </c>
      <c r="S20" s="8">
        <v>122.118220329284</v>
      </c>
      <c r="T20" s="8">
        <v>2.94535341302189</v>
      </c>
      <c r="U20" s="8">
        <v>16.098534871346</v>
      </c>
      <c r="V20" s="8">
        <v>4.0122979539593</v>
      </c>
      <c r="W20" s="8">
        <v>0.517307705021059</v>
      </c>
      <c r="X20" s="8">
        <v>0.126256895435335</v>
      </c>
      <c r="Y20" s="8">
        <v>0.0266111254980457</v>
      </c>
      <c r="Z20" s="8">
        <v>0.163129168139991</v>
      </c>
      <c r="AA20" s="8">
        <v>0.410482634726532</v>
      </c>
      <c r="AB20" s="8">
        <v>0.129395281868721</v>
      </c>
      <c r="AC20" s="8">
        <v>0.165964773884851</v>
      </c>
      <c r="AD20" s="8">
        <v>0.403456988453851</v>
      </c>
      <c r="AE20" s="8">
        <v>0.121026582431602</v>
      </c>
      <c r="AF20" s="8">
        <v>0.153407022928438</v>
      </c>
      <c r="AG20" s="8">
        <v>0.497957069878791</v>
      </c>
      <c r="AH20" s="12">
        <v>10.0</v>
      </c>
      <c r="AI20" s="8">
        <v>2.94535341302189</v>
      </c>
      <c r="AJ20" s="8">
        <v>16.098534871346</v>
      </c>
      <c r="AK20" s="8">
        <v>4.0122979539593</v>
      </c>
      <c r="AL20" s="8">
        <v>0.517448119714157</v>
      </c>
      <c r="AM20" s="8">
        <v>3.46132378998829</v>
      </c>
      <c r="AN20" s="8">
        <v>19.7096725842356</v>
      </c>
      <c r="AO20" s="8">
        <v>4.43955770141977</v>
      </c>
      <c r="AP20" s="8">
        <v>0.403456988453851</v>
      </c>
      <c r="AQ20" s="8">
        <v>3.23746108004535</v>
      </c>
      <c r="AR20" s="8">
        <v>16.8398437134025</v>
      </c>
      <c r="AS20" s="8">
        <v>4.10363786333572</v>
      </c>
      <c r="AT20" s="8">
        <v>0.497957069878791</v>
      </c>
      <c r="AU20" s="9">
        <f t="shared" si="3"/>
        <v>0.3108224072</v>
      </c>
      <c r="AV20" s="10">
        <f t="shared" si="4"/>
        <v>0.5022365106</v>
      </c>
      <c r="AW20" s="10">
        <f t="shared" si="5"/>
        <v>-0.2453311276</v>
      </c>
      <c r="AX20" s="11">
        <f t="shared" si="6"/>
        <v>-0.2640481082</v>
      </c>
      <c r="AY20" s="9">
        <f t="shared" si="7"/>
        <v>-0.3523615444</v>
      </c>
      <c r="AZ20" s="11">
        <f t="shared" si="8"/>
        <v>-0.1574837521</v>
      </c>
      <c r="BA20" s="9">
        <f t="shared" si="9"/>
        <v>0.1590873026</v>
      </c>
      <c r="BB20" s="10">
        <f t="shared" si="10"/>
        <v>-0.3256042954</v>
      </c>
      <c r="BC20" s="11">
        <f t="shared" si="11"/>
        <v>-0.2639585168</v>
      </c>
      <c r="BD20" s="4">
        <f t="shared" ref="BD20:BE20" si="29">((R20-R$68)/R$69)</f>
        <v>-0.8329469158</v>
      </c>
      <c r="BE20" s="4">
        <f t="shared" si="29"/>
        <v>-1.086528567</v>
      </c>
      <c r="BF20" s="3"/>
    </row>
    <row r="21">
      <c r="A21" s="3" t="s">
        <v>57</v>
      </c>
      <c r="B21" s="4">
        <f t="shared" si="2"/>
        <v>0.4593326623</v>
      </c>
      <c r="C21" s="3" t="s">
        <v>58</v>
      </c>
      <c r="D21" s="3" t="s">
        <v>59</v>
      </c>
      <c r="E21" s="5" t="s">
        <v>60</v>
      </c>
      <c r="F21" s="3" t="s">
        <v>61</v>
      </c>
      <c r="G21" s="5" t="s">
        <v>62</v>
      </c>
      <c r="H21" s="5" t="s">
        <v>80</v>
      </c>
      <c r="I21" s="6">
        <v>20.0</v>
      </c>
      <c r="J21" s="5" t="s">
        <v>91</v>
      </c>
      <c r="K21" s="3" t="s">
        <v>81</v>
      </c>
      <c r="L21" s="5" t="s">
        <v>66</v>
      </c>
      <c r="M21" s="3" t="s">
        <v>78</v>
      </c>
      <c r="N21" s="3" t="s">
        <v>74</v>
      </c>
      <c r="O21" s="3" t="s">
        <v>69</v>
      </c>
      <c r="P21" s="5" t="s">
        <v>87</v>
      </c>
      <c r="Q21" s="5" t="s">
        <v>87</v>
      </c>
      <c r="R21" s="8">
        <v>556.308709859848</v>
      </c>
      <c r="S21" s="8">
        <v>143.86995267868</v>
      </c>
      <c r="T21" s="8">
        <v>2.79232814057995</v>
      </c>
      <c r="U21" s="8">
        <v>12.1877233884057</v>
      </c>
      <c r="V21" s="8">
        <v>3.49109200514763</v>
      </c>
      <c r="W21" s="8">
        <v>0.640655427503775</v>
      </c>
      <c r="X21" s="8">
        <v>0.0902386928840339</v>
      </c>
      <c r="Y21" s="8">
        <v>0.012307775468238</v>
      </c>
      <c r="Z21" s="8">
        <v>0.110940414043927</v>
      </c>
      <c r="AA21" s="8">
        <v>0.737110437281366</v>
      </c>
      <c r="AB21" s="8">
        <v>0.0905065483854002</v>
      </c>
      <c r="AC21" s="8">
        <v>0.11105513770552</v>
      </c>
      <c r="AD21" s="8">
        <v>0.738661819841307</v>
      </c>
      <c r="AE21" s="8">
        <v>0.116177941550179</v>
      </c>
      <c r="AF21" s="8">
        <v>0.145664866868301</v>
      </c>
      <c r="AG21" s="8">
        <v>0.553953842233135</v>
      </c>
      <c r="AH21" s="12">
        <v>10.0</v>
      </c>
      <c r="AI21" s="8">
        <v>2.79232814057996</v>
      </c>
      <c r="AJ21" s="8">
        <v>12.1877233884057</v>
      </c>
      <c r="AK21" s="8">
        <v>3.49109200514763</v>
      </c>
      <c r="AL21" s="8">
        <v>0.640531907358306</v>
      </c>
      <c r="AM21" s="8">
        <v>2.42105016930945</v>
      </c>
      <c r="AN21" s="8">
        <v>8.8252066312475</v>
      </c>
      <c r="AO21" s="8">
        <v>2.97072493362268</v>
      </c>
      <c r="AP21" s="8">
        <v>0.738661819841307</v>
      </c>
      <c r="AQ21" s="8">
        <v>3.10775993646731</v>
      </c>
      <c r="AR21" s="8">
        <v>15.1829864769882</v>
      </c>
      <c r="AS21" s="8">
        <v>3.89653518872706</v>
      </c>
      <c r="AT21" s="8">
        <v>0.553953842233135</v>
      </c>
      <c r="AU21" s="9">
        <f t="shared" si="3"/>
        <v>-0.4313850857</v>
      </c>
      <c r="AV21" s="10">
        <f t="shared" si="4"/>
        <v>-0.45665895</v>
      </c>
      <c r="AW21" s="10">
        <f t="shared" si="5"/>
        <v>-0.3430776116</v>
      </c>
      <c r="AX21" s="11">
        <f t="shared" si="6"/>
        <v>-0.3992665232</v>
      </c>
      <c r="AY21" s="9">
        <f t="shared" si="7"/>
        <v>-0.4816891872</v>
      </c>
      <c r="AZ21" s="11">
        <f t="shared" si="8"/>
        <v>-0.5316264796</v>
      </c>
      <c r="BA21" s="9">
        <f t="shared" si="9"/>
        <v>-0.3803913488</v>
      </c>
      <c r="BB21" s="10">
        <f t="shared" si="10"/>
        <v>-0.4151810378</v>
      </c>
      <c r="BC21" s="11">
        <f t="shared" si="11"/>
        <v>-0.5027486237</v>
      </c>
      <c r="BD21" s="4">
        <f t="shared" ref="BD21:BE21" si="30">((R21-R$68)/R$69)</f>
        <v>-0.2319627778</v>
      </c>
      <c r="BE21" s="4">
        <f t="shared" si="30"/>
        <v>-0.8786716601</v>
      </c>
      <c r="BF21" s="3"/>
    </row>
    <row r="22">
      <c r="A22" s="3" t="s">
        <v>72</v>
      </c>
      <c r="B22" s="4">
        <f t="shared" si="2"/>
        <v>0.3607180218</v>
      </c>
      <c r="C22" s="3" t="s">
        <v>58</v>
      </c>
      <c r="D22" s="3" t="s">
        <v>59</v>
      </c>
      <c r="E22" s="5" t="s">
        <v>76</v>
      </c>
      <c r="F22" s="3" t="s">
        <v>61</v>
      </c>
      <c r="G22" s="5" t="s">
        <v>77</v>
      </c>
      <c r="H22" s="5" t="s">
        <v>63</v>
      </c>
      <c r="I22" s="6">
        <v>20.0</v>
      </c>
      <c r="J22" s="5" t="s">
        <v>91</v>
      </c>
      <c r="K22" s="3" t="s">
        <v>65</v>
      </c>
      <c r="L22" s="5" t="s">
        <v>83</v>
      </c>
      <c r="M22" s="3" t="s">
        <v>67</v>
      </c>
      <c r="N22" s="3" t="s">
        <v>74</v>
      </c>
      <c r="O22" s="3" t="s">
        <v>69</v>
      </c>
      <c r="P22" s="5" t="s">
        <v>86</v>
      </c>
      <c r="Q22" s="3"/>
      <c r="R22" s="8">
        <v>696.909157037735</v>
      </c>
      <c r="S22" s="8">
        <v>328.696696996688</v>
      </c>
      <c r="T22" s="8">
        <v>2.74104695311483</v>
      </c>
      <c r="U22" s="8">
        <v>11.6581960305276</v>
      </c>
      <c r="V22" s="8">
        <v>3.41441005600201</v>
      </c>
      <c r="W22" s="8">
        <v>0.64833211134728</v>
      </c>
      <c r="X22" s="8">
        <v>0.0809594393934266</v>
      </c>
      <c r="Y22" s="8">
        <v>0.00966419054634683</v>
      </c>
      <c r="Z22" s="8">
        <v>0.0983066149673908</v>
      </c>
      <c r="AA22" s="8">
        <v>0.773937267115207</v>
      </c>
      <c r="AB22" s="8">
        <v>0.0812706747967966</v>
      </c>
      <c r="AC22" s="8">
        <v>0.0985054480912525</v>
      </c>
      <c r="AD22" s="8">
        <v>0.774816127597768</v>
      </c>
      <c r="AE22" s="8">
        <v>0.106993042531276</v>
      </c>
      <c r="AF22" s="8">
        <v>0.134065809795683</v>
      </c>
      <c r="AG22" s="8">
        <v>0.586659958244872</v>
      </c>
      <c r="AH22" s="12">
        <v>10.0</v>
      </c>
      <c r="AI22" s="8">
        <v>2.74104695311481</v>
      </c>
      <c r="AJ22" s="8">
        <v>11.6581960305276</v>
      </c>
      <c r="AK22" s="8">
        <v>3.41441005600201</v>
      </c>
      <c r="AL22" s="8">
        <v>0.648216219851226</v>
      </c>
      <c r="AM22" s="8">
        <v>2.24848866937798</v>
      </c>
      <c r="AN22" s="8">
        <v>7.42735491543369</v>
      </c>
      <c r="AO22" s="8">
        <v>2.72531739719132</v>
      </c>
      <c r="AP22" s="8">
        <v>0.774816127597768</v>
      </c>
      <c r="AQ22" s="8">
        <v>2.96014084336533</v>
      </c>
      <c r="AR22" s="8">
        <v>13.7578239225191</v>
      </c>
      <c r="AS22" s="8">
        <v>3.70915407101391</v>
      </c>
      <c r="AT22" s="8">
        <v>0.586659958244872</v>
      </c>
      <c r="AU22" s="9">
        <f t="shared" si="3"/>
        <v>-0.6076555365</v>
      </c>
      <c r="AV22" s="10">
        <f t="shared" si="4"/>
        <v>-0.6758161188</v>
      </c>
      <c r="AW22" s="10">
        <f t="shared" si="5"/>
        <v>-0.4543275739</v>
      </c>
      <c r="AX22" s="11">
        <f t="shared" si="6"/>
        <v>-0.5216086309</v>
      </c>
      <c r="AY22" s="9">
        <f t="shared" si="7"/>
        <v>-0.5250289244</v>
      </c>
      <c r="AZ22" s="11">
        <f t="shared" si="8"/>
        <v>-0.5866718866</v>
      </c>
      <c r="BA22" s="9">
        <f t="shared" si="9"/>
        <v>-0.4385780912</v>
      </c>
      <c r="BB22" s="10">
        <f t="shared" si="10"/>
        <v>-0.4675002556</v>
      </c>
      <c r="BC22" s="11">
        <f t="shared" si="11"/>
        <v>-0.5176566619</v>
      </c>
      <c r="BD22" s="4">
        <f t="shared" ref="BD22:BE22" si="31">((R22-R$68)/R$69)</f>
        <v>-0.06056477001</v>
      </c>
      <c r="BE22" s="4">
        <f t="shared" si="31"/>
        <v>0.8875102103</v>
      </c>
      <c r="BF22" s="3"/>
    </row>
    <row r="23">
      <c r="A23" s="3" t="s">
        <v>57</v>
      </c>
      <c r="B23" s="4">
        <f t="shared" si="2"/>
        <v>0.5105956911</v>
      </c>
      <c r="C23" s="3" t="s">
        <v>58</v>
      </c>
      <c r="D23" s="3" t="s">
        <v>59</v>
      </c>
      <c r="E23" s="5" t="s">
        <v>76</v>
      </c>
      <c r="F23" s="3" t="s">
        <v>61</v>
      </c>
      <c r="G23" s="5" t="s">
        <v>77</v>
      </c>
      <c r="H23" s="5" t="s">
        <v>63</v>
      </c>
      <c r="I23" s="6">
        <v>20.0</v>
      </c>
      <c r="J23" s="5" t="s">
        <v>91</v>
      </c>
      <c r="K23" s="3" t="s">
        <v>81</v>
      </c>
      <c r="L23" s="5" t="s">
        <v>83</v>
      </c>
      <c r="M23" s="3" t="s">
        <v>78</v>
      </c>
      <c r="N23" s="3" t="s">
        <v>74</v>
      </c>
      <c r="O23" s="3" t="s">
        <v>69</v>
      </c>
      <c r="P23" s="5" t="s">
        <v>87</v>
      </c>
      <c r="Q23" s="3"/>
      <c r="R23" s="8">
        <v>1024.99970555305</v>
      </c>
      <c r="S23" s="8">
        <v>331.63477897644</v>
      </c>
      <c r="T23" s="8">
        <v>2.40659841841038</v>
      </c>
      <c r="U23" s="8">
        <v>9.27775792480616</v>
      </c>
      <c r="V23" s="8">
        <v>3.04594122149561</v>
      </c>
      <c r="W23" s="8">
        <v>0.720128326121473</v>
      </c>
      <c r="X23" s="8">
        <v>0.0675433913881869</v>
      </c>
      <c r="Y23" s="8">
        <v>0.00687632891761355</v>
      </c>
      <c r="Z23" s="8">
        <v>0.0829236330463972</v>
      </c>
      <c r="AA23" s="8">
        <v>0.839150345817833</v>
      </c>
      <c r="AB23" s="8">
        <v>0.0677373201027453</v>
      </c>
      <c r="AC23" s="8">
        <v>0.0830123885199232</v>
      </c>
      <c r="AD23" s="8">
        <v>0.840080066145402</v>
      </c>
      <c r="AE23" s="8">
        <v>0.0923768627479083</v>
      </c>
      <c r="AF23" s="8">
        <v>0.117537774923047</v>
      </c>
      <c r="AG23" s="8">
        <v>0.682293326550796</v>
      </c>
      <c r="AH23" s="12">
        <v>10.0</v>
      </c>
      <c r="AI23" s="8">
        <v>2.40659841841037</v>
      </c>
      <c r="AJ23" s="8">
        <v>9.27775792480616</v>
      </c>
      <c r="AK23" s="8">
        <v>3.0459412214956</v>
      </c>
      <c r="AL23" s="8">
        <v>0.720045473112032</v>
      </c>
      <c r="AM23" s="8">
        <v>1.87406585617592</v>
      </c>
      <c r="AN23" s="8">
        <v>5.27472102739718</v>
      </c>
      <c r="AO23" s="8">
        <v>2.29667608238453</v>
      </c>
      <c r="AP23" s="8">
        <v>0.840080066145402</v>
      </c>
      <c r="AQ23" s="8">
        <v>2.55575986935875</v>
      </c>
      <c r="AR23" s="8">
        <v>10.5747133855298</v>
      </c>
      <c r="AS23" s="8">
        <v>3.25187843953765</v>
      </c>
      <c r="AT23" s="8">
        <v>0.682293326550796</v>
      </c>
      <c r="AU23" s="9">
        <f t="shared" si="3"/>
        <v>-0.8659451839</v>
      </c>
      <c r="AV23" s="10">
        <f t="shared" si="4"/>
        <v>-0.9463738119</v>
      </c>
      <c r="AW23" s="10">
        <f t="shared" si="5"/>
        <v>-0.7590806186</v>
      </c>
      <c r="AX23" s="11">
        <f t="shared" si="6"/>
        <v>-0.8201662726</v>
      </c>
      <c r="AY23" s="9">
        <f t="shared" si="7"/>
        <v>-0.8076844619</v>
      </c>
      <c r="AZ23" s="11">
        <f t="shared" si="8"/>
        <v>-0.8511737309</v>
      </c>
      <c r="BA23" s="9">
        <f t="shared" si="9"/>
        <v>-0.5436138731</v>
      </c>
      <c r="BB23" s="10">
        <f t="shared" si="10"/>
        <v>-0.6204827444</v>
      </c>
      <c r="BC23" s="11">
        <f t="shared" si="11"/>
        <v>-0.6570098244</v>
      </c>
      <c r="BD23" s="4">
        <f t="shared" ref="BD23:BE23" si="32">((R23-R$68)/R$69)</f>
        <v>0.3393917559</v>
      </c>
      <c r="BE23" s="4">
        <f t="shared" si="32"/>
        <v>0.915586164</v>
      </c>
      <c r="BF23" s="3"/>
    </row>
    <row r="24">
      <c r="A24" s="3" t="s">
        <v>72</v>
      </c>
      <c r="B24" s="4">
        <f t="shared" si="2"/>
        <v>-0.009906253986</v>
      </c>
      <c r="C24" s="3" t="s">
        <v>58</v>
      </c>
      <c r="D24" s="3" t="s">
        <v>59</v>
      </c>
      <c r="E24" s="5" t="s">
        <v>60</v>
      </c>
      <c r="F24" s="3" t="s">
        <v>61</v>
      </c>
      <c r="G24" s="5" t="s">
        <v>62</v>
      </c>
      <c r="H24" s="5" t="s">
        <v>80</v>
      </c>
      <c r="I24" s="6">
        <v>20.0</v>
      </c>
      <c r="J24" s="5" t="s">
        <v>91</v>
      </c>
      <c r="K24" s="3" t="s">
        <v>65</v>
      </c>
      <c r="L24" s="5" t="s">
        <v>83</v>
      </c>
      <c r="M24" s="3" t="s">
        <v>78</v>
      </c>
      <c r="N24" s="3" t="s">
        <v>84</v>
      </c>
      <c r="O24" s="3" t="s">
        <v>69</v>
      </c>
      <c r="P24" s="5" t="s">
        <v>86</v>
      </c>
      <c r="Q24" s="3"/>
      <c r="R24" s="8">
        <v>64.2373027801513</v>
      </c>
      <c r="S24" s="8">
        <v>125.569796323776</v>
      </c>
      <c r="T24" s="8">
        <v>4.04784215653578</v>
      </c>
      <c r="U24" s="8">
        <v>28.9493714363019</v>
      </c>
      <c r="V24" s="8">
        <v>5.38046200955847</v>
      </c>
      <c r="W24" s="8">
        <v>0.146238337327382</v>
      </c>
      <c r="X24" s="8">
        <v>0.0836677560366405</v>
      </c>
      <c r="Y24" s="8">
        <v>0.0117941854661794</v>
      </c>
      <c r="Z24" s="8">
        <v>0.108601038052955</v>
      </c>
      <c r="AA24" s="8">
        <v>0.748080531057149</v>
      </c>
      <c r="AB24" s="8">
        <v>0.0844301155652626</v>
      </c>
      <c r="AC24" s="8">
        <v>0.109340539703041</v>
      </c>
      <c r="AD24" s="8">
        <v>0.746669209052397</v>
      </c>
      <c r="AE24" s="8">
        <v>0.159323582865591</v>
      </c>
      <c r="AF24" s="8">
        <v>0.20859873095715</v>
      </c>
      <c r="AG24" s="8">
        <v>0.085268796214599</v>
      </c>
      <c r="AH24" s="12">
        <v>10.0</v>
      </c>
      <c r="AI24" s="8">
        <v>4.04784215653578</v>
      </c>
      <c r="AJ24" s="8">
        <v>28.9493714363019</v>
      </c>
      <c r="AK24" s="8">
        <v>5.38046200955847</v>
      </c>
      <c r="AL24" s="8">
        <v>0.146159212697338</v>
      </c>
      <c r="AM24" s="8">
        <v>2.25850559137077</v>
      </c>
      <c r="AN24" s="8">
        <v>8.5548027265376</v>
      </c>
      <c r="AO24" s="8">
        <v>2.92485943705635</v>
      </c>
      <c r="AP24" s="8">
        <v>0.746669209052397</v>
      </c>
      <c r="AQ24" s="8">
        <v>4.26190584165459</v>
      </c>
      <c r="AR24" s="8">
        <v>31.1365791528956</v>
      </c>
      <c r="AS24" s="8">
        <v>5.58001605310375</v>
      </c>
      <c r="AT24" s="8">
        <v>0.085268796214599</v>
      </c>
      <c r="AU24" s="9">
        <f t="shared" si="3"/>
        <v>-0.5473563084</v>
      </c>
      <c r="AV24" s="10">
        <f t="shared" si="4"/>
        <v>-0.4866012399</v>
      </c>
      <c r="AW24" s="10">
        <f t="shared" si="5"/>
        <v>0.5267196867</v>
      </c>
      <c r="AX24" s="11">
        <f t="shared" si="6"/>
        <v>0.6998869021</v>
      </c>
      <c r="AY24" s="9">
        <f t="shared" si="7"/>
        <v>0.5793948127</v>
      </c>
      <c r="AZ24" s="11">
        <f t="shared" si="8"/>
        <v>0.8246397876</v>
      </c>
      <c r="BA24" s="9">
        <f t="shared" si="9"/>
        <v>-0.3932784409</v>
      </c>
      <c r="BB24" s="10">
        <f t="shared" si="10"/>
        <v>0.3345635969</v>
      </c>
      <c r="BC24" s="11">
        <f t="shared" si="11"/>
        <v>0.4563647647</v>
      </c>
      <c r="BD24" s="4">
        <f t="shared" ref="BD24:BE24" si="33">((R24-R$68)/R$69)</f>
        <v>-0.8318190411</v>
      </c>
      <c r="BE24" s="4">
        <f t="shared" si="33"/>
        <v>-1.053545727</v>
      </c>
      <c r="BF24" s="3"/>
    </row>
    <row r="25">
      <c r="A25" s="3" t="s">
        <v>72</v>
      </c>
      <c r="B25" s="4">
        <f t="shared" si="2"/>
        <v>0.2241519251</v>
      </c>
      <c r="C25" s="3" t="s">
        <v>58</v>
      </c>
      <c r="D25" s="3" t="s">
        <v>59</v>
      </c>
      <c r="E25" s="5" t="s">
        <v>76</v>
      </c>
      <c r="F25" s="3" t="s">
        <v>61</v>
      </c>
      <c r="G25" s="5" t="s">
        <v>77</v>
      </c>
      <c r="H25" s="5" t="s">
        <v>80</v>
      </c>
      <c r="I25" s="6">
        <v>20.0</v>
      </c>
      <c r="J25" s="5" t="s">
        <v>91</v>
      </c>
      <c r="K25" s="3" t="s">
        <v>81</v>
      </c>
      <c r="L25" s="5" t="s">
        <v>83</v>
      </c>
      <c r="M25" s="3" t="s">
        <v>67</v>
      </c>
      <c r="N25" s="3" t="s">
        <v>74</v>
      </c>
      <c r="O25" s="3" t="s">
        <v>69</v>
      </c>
      <c r="P25" s="5" t="s">
        <v>92</v>
      </c>
      <c r="Q25" s="3"/>
      <c r="R25" s="8">
        <v>1066.93214035034</v>
      </c>
      <c r="S25" s="8">
        <v>324.210508108139</v>
      </c>
      <c r="T25" s="8">
        <v>2.92201430019613</v>
      </c>
      <c r="U25" s="8">
        <v>13.0225008300904</v>
      </c>
      <c r="V25" s="8">
        <v>3.60867023016657</v>
      </c>
      <c r="W25" s="8">
        <v>0.607215294871672</v>
      </c>
      <c r="X25" s="8">
        <v>0.0882996501490775</v>
      </c>
      <c r="Y25" s="8">
        <v>0.0112017379895838</v>
      </c>
      <c r="Z25" s="8">
        <v>0.105838263353023</v>
      </c>
      <c r="AA25" s="8">
        <v>0.739277362208443</v>
      </c>
      <c r="AB25" s="8">
        <v>0.088637150391488</v>
      </c>
      <c r="AC25" s="8">
        <v>0.106065917992915</v>
      </c>
      <c r="AD25" s="8">
        <v>0.740140284453497</v>
      </c>
      <c r="AE25" s="8">
        <v>0.114611330852865</v>
      </c>
      <c r="AF25" s="8">
        <v>0.142343880427255</v>
      </c>
      <c r="AG25" s="8">
        <v>0.533398120641558</v>
      </c>
      <c r="AH25" s="12">
        <v>10.0</v>
      </c>
      <c r="AI25" s="8">
        <v>2.92201430019612</v>
      </c>
      <c r="AJ25" s="8">
        <v>13.0225008300904</v>
      </c>
      <c r="AK25" s="8">
        <v>3.60867023016657</v>
      </c>
      <c r="AL25" s="8">
        <v>0.60717406210255</v>
      </c>
      <c r="AM25" s="8">
        <v>2.45229449416448</v>
      </c>
      <c r="AN25" s="8">
        <v>8.61123389480382</v>
      </c>
      <c r="AO25" s="8">
        <v>2.93449039780399</v>
      </c>
      <c r="AP25" s="8">
        <v>0.740140284453497</v>
      </c>
      <c r="AQ25" s="8">
        <v>3.17091348692938</v>
      </c>
      <c r="AR25" s="8">
        <v>15.5092671614297</v>
      </c>
      <c r="AS25" s="8">
        <v>3.93818069182074</v>
      </c>
      <c r="AT25" s="8">
        <v>0.533398120641558</v>
      </c>
      <c r="AU25" s="9">
        <f t="shared" si="3"/>
        <v>-0.4670633163</v>
      </c>
      <c r="AV25" s="10">
        <f t="shared" si="4"/>
        <v>-0.5437864648</v>
      </c>
      <c r="AW25" s="10">
        <f t="shared" si="5"/>
        <v>-0.2954832934</v>
      </c>
      <c r="AX25" s="11">
        <f t="shared" si="6"/>
        <v>-0.3720759573</v>
      </c>
      <c r="AY25" s="9">
        <f t="shared" si="7"/>
        <v>-0.3720863415</v>
      </c>
      <c r="AZ25" s="11">
        <f t="shared" si="8"/>
        <v>-0.4472240703</v>
      </c>
      <c r="BA25" s="9">
        <f t="shared" si="9"/>
        <v>-0.3827707897</v>
      </c>
      <c r="BB25" s="10">
        <f t="shared" si="10"/>
        <v>-0.3822985251</v>
      </c>
      <c r="BC25" s="11">
        <f t="shared" si="11"/>
        <v>-0.4380323553</v>
      </c>
      <c r="BD25" s="4">
        <f t="shared" ref="BD25:BE25" si="34">((R25-R$68)/R$69)</f>
        <v>0.390509202</v>
      </c>
      <c r="BE25" s="4">
        <f t="shared" si="34"/>
        <v>0.8446407353</v>
      </c>
      <c r="BF25" s="3"/>
    </row>
    <row r="26">
      <c r="A26" s="3" t="s">
        <v>72</v>
      </c>
      <c r="B26" s="4">
        <f t="shared" si="2"/>
        <v>0.3042730276</v>
      </c>
      <c r="C26" s="3" t="s">
        <v>58</v>
      </c>
      <c r="D26" s="3" t="s">
        <v>59</v>
      </c>
      <c r="E26" s="5" t="s">
        <v>76</v>
      </c>
      <c r="F26" s="3" t="s">
        <v>73</v>
      </c>
      <c r="G26" s="5" t="s">
        <v>85</v>
      </c>
      <c r="H26" s="5" t="s">
        <v>63</v>
      </c>
      <c r="I26" s="6">
        <v>20.0</v>
      </c>
      <c r="J26" s="5" t="s">
        <v>91</v>
      </c>
      <c r="K26" s="3" t="s">
        <v>81</v>
      </c>
      <c r="L26" s="5" t="s">
        <v>66</v>
      </c>
      <c r="M26" s="3" t="s">
        <v>78</v>
      </c>
      <c r="N26" s="3" t="s">
        <v>74</v>
      </c>
      <c r="O26" s="3" t="s">
        <v>69</v>
      </c>
      <c r="P26" s="5" t="s">
        <v>75</v>
      </c>
      <c r="Q26" s="5" t="s">
        <v>82</v>
      </c>
      <c r="R26" s="8">
        <v>1381.67544364929</v>
      </c>
      <c r="S26" s="8">
        <v>365.66908621788</v>
      </c>
      <c r="T26" s="8">
        <v>2.50150121150174</v>
      </c>
      <c r="U26" s="8">
        <v>10.2626284116061</v>
      </c>
      <c r="V26" s="8">
        <v>3.20353373817197</v>
      </c>
      <c r="W26" s="8">
        <v>0.68624774422095</v>
      </c>
      <c r="X26" s="8">
        <v>0.0816725350118827</v>
      </c>
      <c r="Y26" s="8">
        <v>0.00977541045505992</v>
      </c>
      <c r="Z26" s="8">
        <v>0.0988706754050963</v>
      </c>
      <c r="AA26" s="8">
        <v>0.763212943133019</v>
      </c>
      <c r="AB26" s="8">
        <v>0.0821176812376148</v>
      </c>
      <c r="AC26" s="8">
        <v>0.099010258947731</v>
      </c>
      <c r="AD26" s="8">
        <v>0.767566048202575</v>
      </c>
      <c r="AE26" s="8">
        <v>0.102058199162751</v>
      </c>
      <c r="AF26" s="8">
        <v>0.131134590888509</v>
      </c>
      <c r="AG26" s="8">
        <v>0.599707129094305</v>
      </c>
      <c r="AH26" s="12">
        <v>10.0</v>
      </c>
      <c r="AI26" s="8">
        <v>2.50150121150173</v>
      </c>
      <c r="AJ26" s="8">
        <v>10.2626284116061</v>
      </c>
      <c r="AK26" s="8">
        <v>3.20353373817197</v>
      </c>
      <c r="AL26" s="8">
        <v>0.685987854876047</v>
      </c>
      <c r="AM26" s="8">
        <v>2.27192251424066</v>
      </c>
      <c r="AN26" s="8">
        <v>7.50367590616019</v>
      </c>
      <c r="AO26" s="8">
        <v>2.73928383088722</v>
      </c>
      <c r="AP26" s="8">
        <v>0.767566048202575</v>
      </c>
      <c r="AQ26" s="8">
        <v>2.82361017683607</v>
      </c>
      <c r="AR26" s="8">
        <v>13.1627977010584</v>
      </c>
      <c r="AS26" s="8">
        <v>3.62805701458211</v>
      </c>
      <c r="AT26" s="8">
        <v>0.599707129094305</v>
      </c>
      <c r="AU26" s="9">
        <f t="shared" si="3"/>
        <v>-0.5914900698</v>
      </c>
      <c r="AV26" s="10">
        <f t="shared" si="4"/>
        <v>-0.6670005288</v>
      </c>
      <c r="AW26" s="10">
        <f t="shared" si="5"/>
        <v>-0.5572209813</v>
      </c>
      <c r="AX26" s="11">
        <f t="shared" si="6"/>
        <v>-0.5745573215</v>
      </c>
      <c r="AY26" s="9">
        <f t="shared" si="7"/>
        <v>-0.7274783997</v>
      </c>
      <c r="AZ26" s="11">
        <f t="shared" si="8"/>
        <v>-0.7380474434</v>
      </c>
      <c r="BA26" s="9">
        <f t="shared" si="9"/>
        <v>-0.4269098135</v>
      </c>
      <c r="BB26" s="10">
        <f t="shared" si="10"/>
        <v>-0.4883715132</v>
      </c>
      <c r="BC26" s="11">
        <f t="shared" si="11"/>
        <v>-0.5909359535</v>
      </c>
      <c r="BD26" s="4">
        <f t="shared" ref="BD26:BE26" si="35">((R26-R$68)/R$69)</f>
        <v>0.7741948604</v>
      </c>
      <c r="BE26" s="4">
        <f t="shared" si="35"/>
        <v>1.240813861</v>
      </c>
      <c r="BF26" s="3"/>
    </row>
    <row r="27">
      <c r="A27" s="3" t="s">
        <v>57</v>
      </c>
      <c r="B27" s="4">
        <f t="shared" si="2"/>
        <v>-0.2820172551</v>
      </c>
      <c r="C27" s="3" t="s">
        <v>58</v>
      </c>
      <c r="D27" s="3" t="s">
        <v>59</v>
      </c>
      <c r="E27" s="5" t="s">
        <v>76</v>
      </c>
      <c r="F27" s="3" t="s">
        <v>73</v>
      </c>
      <c r="G27" s="5" t="s">
        <v>85</v>
      </c>
      <c r="H27" s="5" t="s">
        <v>80</v>
      </c>
      <c r="I27" s="6">
        <v>20.0</v>
      </c>
      <c r="J27" s="5" t="s">
        <v>91</v>
      </c>
      <c r="K27" s="3" t="s">
        <v>81</v>
      </c>
      <c r="L27" s="5" t="s">
        <v>66</v>
      </c>
      <c r="M27" s="3" t="s">
        <v>78</v>
      </c>
      <c r="N27" s="3" t="s">
        <v>74</v>
      </c>
      <c r="O27" s="3" t="s">
        <v>69</v>
      </c>
      <c r="P27" s="5" t="s">
        <v>75</v>
      </c>
      <c r="Q27" s="5" t="s">
        <v>87</v>
      </c>
      <c r="R27" s="8">
        <v>968.840086460113</v>
      </c>
      <c r="S27" s="8">
        <v>364.905105113983</v>
      </c>
      <c r="T27" s="8">
        <v>3.71285591533372</v>
      </c>
      <c r="U27" s="8">
        <v>21.7221416979541</v>
      </c>
      <c r="V27" s="8">
        <v>4.66070184606933</v>
      </c>
      <c r="W27" s="8">
        <v>0.337604292676006</v>
      </c>
      <c r="X27" s="8">
        <v>0.124488337284713</v>
      </c>
      <c r="Y27" s="8">
        <v>0.0225804439095831</v>
      </c>
      <c r="Z27" s="8">
        <v>0.150267907117864</v>
      </c>
      <c r="AA27" s="8">
        <v>0.456630839761265</v>
      </c>
      <c r="AB27" s="8">
        <v>0.125767093088579</v>
      </c>
      <c r="AC27" s="8">
        <v>0.151045142113576</v>
      </c>
      <c r="AD27" s="8">
        <v>0.462022504738918</v>
      </c>
      <c r="AE27" s="8">
        <v>0.135864843595359</v>
      </c>
      <c r="AF27" s="8">
        <v>0.174530086516015</v>
      </c>
      <c r="AG27" s="8">
        <v>0.292460743984854</v>
      </c>
      <c r="AH27" s="12">
        <v>10.0</v>
      </c>
      <c r="AI27" s="8">
        <v>3.71285591533374</v>
      </c>
      <c r="AJ27" s="8">
        <v>21.7221416979541</v>
      </c>
      <c r="AK27" s="8">
        <v>4.66070184606933</v>
      </c>
      <c r="AL27" s="8">
        <v>0.337432951241748</v>
      </c>
      <c r="AM27" s="8">
        <v>3.47955624211761</v>
      </c>
      <c r="AN27" s="8">
        <v>17.4633355791829</v>
      </c>
      <c r="AO27" s="8">
        <v>4.17891559847563</v>
      </c>
      <c r="AP27" s="8">
        <v>0.462022504738918</v>
      </c>
      <c r="AQ27" s="8">
        <v>3.75892733947183</v>
      </c>
      <c r="AR27" s="8">
        <v>23.3160127025549</v>
      </c>
      <c r="AS27" s="8">
        <v>4.8286657269431</v>
      </c>
      <c r="AT27" s="8">
        <v>0.292460743984854</v>
      </c>
      <c r="AU27" s="9">
        <f t="shared" si="3"/>
        <v>0.2415769302</v>
      </c>
      <c r="AV27" s="10">
        <f t="shared" si="4"/>
        <v>0.2416926758</v>
      </c>
      <c r="AW27" s="10">
        <f t="shared" si="5"/>
        <v>0.1476607303</v>
      </c>
      <c r="AX27" s="11">
        <f t="shared" si="6"/>
        <v>0.2093263605</v>
      </c>
      <c r="AY27" s="9">
        <f t="shared" si="7"/>
        <v>0.2962848384</v>
      </c>
      <c r="AZ27" s="11">
        <f t="shared" si="8"/>
        <v>0.3079668078</v>
      </c>
      <c r="BA27" s="9">
        <f t="shared" si="9"/>
        <v>0.06483196141</v>
      </c>
      <c r="BB27" s="10">
        <f t="shared" si="10"/>
        <v>0.003123427202</v>
      </c>
      <c r="BC27" s="11">
        <f t="shared" si="11"/>
        <v>0.08528196528</v>
      </c>
      <c r="BD27" s="4">
        <f t="shared" ref="BD27:BE27" si="36">((R27-R$68)/R$69)</f>
        <v>0.2709307586</v>
      </c>
      <c r="BE27" s="4">
        <f t="shared" si="36"/>
        <v>1.233513351</v>
      </c>
      <c r="BF27" s="3"/>
    </row>
    <row r="28">
      <c r="A28" s="3" t="s">
        <v>72</v>
      </c>
      <c r="B28" s="4">
        <f t="shared" si="2"/>
        <v>-0.5587921139</v>
      </c>
      <c r="C28" s="3" t="s">
        <v>58</v>
      </c>
      <c r="D28" s="3" t="s">
        <v>59</v>
      </c>
      <c r="E28" s="5" t="s">
        <v>60</v>
      </c>
      <c r="F28" s="3" t="s">
        <v>73</v>
      </c>
      <c r="G28" s="5" t="s">
        <v>60</v>
      </c>
      <c r="H28" s="5" t="s">
        <v>80</v>
      </c>
      <c r="I28" s="6">
        <v>20.0</v>
      </c>
      <c r="J28" s="5" t="s">
        <v>91</v>
      </c>
      <c r="K28" s="3" t="s">
        <v>81</v>
      </c>
      <c r="L28" s="5" t="s">
        <v>66</v>
      </c>
      <c r="M28" s="3" t="s">
        <v>89</v>
      </c>
      <c r="N28" s="3" t="s">
        <v>74</v>
      </c>
      <c r="O28" s="3" t="s">
        <v>69</v>
      </c>
      <c r="P28" s="5" t="s">
        <v>75</v>
      </c>
      <c r="Q28" s="5" t="s">
        <v>75</v>
      </c>
      <c r="R28" s="8">
        <v>620.395533084869</v>
      </c>
      <c r="S28" s="8">
        <v>127.980404615402</v>
      </c>
      <c r="T28" s="8">
        <v>4.49144686344404</v>
      </c>
      <c r="U28" s="8">
        <v>32.6878895077165</v>
      </c>
      <c r="V28" s="8">
        <v>5.71733237687967</v>
      </c>
      <c r="W28" s="8">
        <v>0.0202556124620153</v>
      </c>
      <c r="X28" s="8">
        <v>0.161388922338078</v>
      </c>
      <c r="Y28" s="8">
        <v>0.040905605653454</v>
      </c>
      <c r="Z28" s="8">
        <v>0.202251342772932</v>
      </c>
      <c r="AA28" s="8">
        <v>0.0938164238295523</v>
      </c>
      <c r="AB28" s="8">
        <v>0.164254165059468</v>
      </c>
      <c r="AC28" s="8">
        <v>0.204421927853115</v>
      </c>
      <c r="AD28" s="8">
        <v>0.0949660215703737</v>
      </c>
      <c r="AE28" s="8">
        <v>0.163464968190919</v>
      </c>
      <c r="AF28" s="8">
        <v>0.212922457551655</v>
      </c>
      <c r="AG28" s="8">
        <v>0.0328511671261426</v>
      </c>
      <c r="AH28" s="12">
        <v>10.0</v>
      </c>
      <c r="AI28" s="8">
        <v>4.49144686344404</v>
      </c>
      <c r="AJ28" s="8">
        <v>32.6878895077165</v>
      </c>
      <c r="AK28" s="8">
        <v>5.71733237687967</v>
      </c>
      <c r="AL28" s="8">
        <v>0.0201839688778067</v>
      </c>
      <c r="AM28" s="8">
        <v>4.39379891534079</v>
      </c>
      <c r="AN28" s="8">
        <v>29.9021580124171</v>
      </c>
      <c r="AO28" s="8">
        <v>5.46828657007084</v>
      </c>
      <c r="AP28" s="8">
        <v>0.0949660215703736</v>
      </c>
      <c r="AQ28" s="8">
        <v>4.3726878991071</v>
      </c>
      <c r="AR28" s="8">
        <v>32.4407221296063</v>
      </c>
      <c r="AS28" s="8">
        <v>5.6956757395068</v>
      </c>
      <c r="AT28" s="8">
        <v>0.0328511671261424</v>
      </c>
      <c r="AU28" s="9">
        <f t="shared" si="3"/>
        <v>0.9761185478</v>
      </c>
      <c r="AV28" s="10">
        <f t="shared" si="4"/>
        <v>1.173819732</v>
      </c>
      <c r="AW28" s="10">
        <f t="shared" si="5"/>
        <v>0.6102082074</v>
      </c>
      <c r="AX28" s="11">
        <f t="shared" si="6"/>
        <v>0.7754017138</v>
      </c>
      <c r="AY28" s="9">
        <f t="shared" si="7"/>
        <v>0.9543025005</v>
      </c>
      <c r="AZ28" s="11">
        <f t="shared" si="8"/>
        <v>1.066458973</v>
      </c>
      <c r="BA28" s="9">
        <f t="shared" si="9"/>
        <v>0.6555726607</v>
      </c>
      <c r="BB28" s="10">
        <f t="shared" si="10"/>
        <v>0.4184148666</v>
      </c>
      <c r="BC28" s="11">
        <f t="shared" si="11"/>
        <v>0.7007644742</v>
      </c>
      <c r="BD28" s="4">
        <f t="shared" ref="BD28:BE28" si="37">((R28-R$68)/R$69)</f>
        <v>-0.1538381769</v>
      </c>
      <c r="BE28" s="4">
        <f t="shared" si="37"/>
        <v>-1.030510247</v>
      </c>
      <c r="BF28" s="3"/>
    </row>
    <row r="29">
      <c r="A29" s="3" t="s">
        <v>57</v>
      </c>
      <c r="B29" s="4">
        <f t="shared" si="2"/>
        <v>0.7478305966</v>
      </c>
      <c r="C29" s="3" t="s">
        <v>58</v>
      </c>
      <c r="D29" s="3" t="s">
        <v>59</v>
      </c>
      <c r="E29" s="5" t="s">
        <v>60</v>
      </c>
      <c r="F29" s="3" t="s">
        <v>73</v>
      </c>
      <c r="G29" s="5" t="s">
        <v>60</v>
      </c>
      <c r="H29" s="5" t="s">
        <v>63</v>
      </c>
      <c r="I29" s="6">
        <v>150.0</v>
      </c>
      <c r="J29" s="5" t="s">
        <v>91</v>
      </c>
      <c r="K29" s="3" t="s">
        <v>81</v>
      </c>
      <c r="L29" s="5" t="s">
        <v>83</v>
      </c>
      <c r="M29" s="3" t="s">
        <v>78</v>
      </c>
      <c r="N29" s="3" t="s">
        <v>74</v>
      </c>
      <c r="O29" s="3" t="s">
        <v>69</v>
      </c>
      <c r="P29" s="5" t="s">
        <v>87</v>
      </c>
      <c r="Q29" s="3"/>
      <c r="R29" s="8">
        <v>270.256208896636</v>
      </c>
      <c r="S29" s="8">
        <v>125.386932373046</v>
      </c>
      <c r="T29" s="8">
        <v>2.5280111006659</v>
      </c>
      <c r="U29" s="8">
        <v>10.8119140608604</v>
      </c>
      <c r="V29" s="8">
        <v>3.28814751202869</v>
      </c>
      <c r="W29" s="8">
        <v>0.669532133695782</v>
      </c>
      <c r="X29" s="8">
        <v>0.0606881031207098</v>
      </c>
      <c r="Y29" s="8">
        <v>0.00578136289485922</v>
      </c>
      <c r="Z29" s="8">
        <v>0.0760352740171246</v>
      </c>
      <c r="AA29" s="8">
        <v>0.869942669937789</v>
      </c>
      <c r="AB29" s="8">
        <v>0.0608600238107526</v>
      </c>
      <c r="AC29" s="8">
        <v>0.0760624874748549</v>
      </c>
      <c r="AD29" s="8">
        <v>0.873116903361378</v>
      </c>
      <c r="AE29" s="8">
        <v>0.0972195142401098</v>
      </c>
      <c r="AF29" s="8">
        <v>0.127764951995609</v>
      </c>
      <c r="AG29" s="8">
        <v>0.638045997510886</v>
      </c>
      <c r="AH29" s="12">
        <v>10.0</v>
      </c>
      <c r="AI29" s="8">
        <v>2.5280111006659</v>
      </c>
      <c r="AJ29" s="8">
        <v>10.8119140608604</v>
      </c>
      <c r="AK29" s="8">
        <v>3.28814751202869</v>
      </c>
      <c r="AL29" s="8">
        <v>0.669628443576192</v>
      </c>
      <c r="AM29" s="8">
        <v>1.62800563693764</v>
      </c>
      <c r="AN29" s="8">
        <v>4.13988827549214</v>
      </c>
      <c r="AO29" s="8">
        <v>2.03467153995237</v>
      </c>
      <c r="AP29" s="8">
        <v>0.873116903361378</v>
      </c>
      <c r="AQ29" s="8">
        <v>2.60062200592293</v>
      </c>
      <c r="AR29" s="8">
        <v>11.680758499449</v>
      </c>
      <c r="AS29" s="8">
        <v>3.41771246588256</v>
      </c>
      <c r="AT29" s="8">
        <v>0.638045997510886</v>
      </c>
      <c r="AU29" s="9">
        <f t="shared" si="3"/>
        <v>-0.9972012157</v>
      </c>
      <c r="AV29" s="10">
        <f t="shared" si="4"/>
        <v>-1.067741008</v>
      </c>
      <c r="AW29" s="10">
        <f t="shared" si="5"/>
        <v>-0.725271232</v>
      </c>
      <c r="AX29" s="11">
        <f t="shared" si="6"/>
        <v>-0.711892373</v>
      </c>
      <c r="AY29" s="9">
        <f t="shared" si="7"/>
        <v>-0.7050738555</v>
      </c>
      <c r="AZ29" s="11">
        <f t="shared" si="8"/>
        <v>-0.6773082515</v>
      </c>
      <c r="BA29" s="9">
        <f t="shared" si="9"/>
        <v>-0.5967833585</v>
      </c>
      <c r="BB29" s="10">
        <f t="shared" si="10"/>
        <v>-0.5497013149</v>
      </c>
      <c r="BC29" s="11">
        <f t="shared" si="11"/>
        <v>-0.5591976909</v>
      </c>
      <c r="BD29" s="4">
        <f t="shared" ref="BD29:BE29" si="38">((R29-R$68)/R$69)</f>
        <v>-0.580673111</v>
      </c>
      <c r="BE29" s="4">
        <f t="shared" si="38"/>
        <v>-1.055293152</v>
      </c>
      <c r="BF29" s="3"/>
    </row>
    <row r="30">
      <c r="A30" s="3" t="s">
        <v>57</v>
      </c>
      <c r="B30" s="4">
        <f t="shared" si="2"/>
        <v>0.3841767737</v>
      </c>
      <c r="C30" s="3" t="s">
        <v>58</v>
      </c>
      <c r="D30" s="3" t="s">
        <v>59</v>
      </c>
      <c r="E30" s="5" t="s">
        <v>76</v>
      </c>
      <c r="F30" s="3" t="s">
        <v>61</v>
      </c>
      <c r="G30" s="5" t="s">
        <v>77</v>
      </c>
      <c r="H30" s="5" t="s">
        <v>80</v>
      </c>
      <c r="I30" s="6">
        <v>150.0</v>
      </c>
      <c r="J30" s="5" t="s">
        <v>91</v>
      </c>
      <c r="K30" s="3" t="s">
        <v>65</v>
      </c>
      <c r="L30" s="5" t="s">
        <v>83</v>
      </c>
      <c r="M30" s="3" t="s">
        <v>78</v>
      </c>
      <c r="N30" s="3" t="s">
        <v>68</v>
      </c>
      <c r="O30" s="3" t="s">
        <v>69</v>
      </c>
      <c r="P30" s="5" t="s">
        <v>75</v>
      </c>
      <c r="Q30" s="3"/>
      <c r="R30" s="8">
        <v>119.36383152008</v>
      </c>
      <c r="S30" s="8">
        <v>314.906559944152</v>
      </c>
      <c r="T30" s="8">
        <v>2.66363826908523</v>
      </c>
      <c r="U30" s="8">
        <v>11.5643510074967</v>
      </c>
      <c r="V30" s="8">
        <v>3.40063979384714</v>
      </c>
      <c r="W30" s="8">
        <v>0.65117827660061</v>
      </c>
      <c r="X30" s="8">
        <v>0.0993718011232613</v>
      </c>
      <c r="Y30" s="8">
        <v>0.0145071809781686</v>
      </c>
      <c r="Z30" s="8">
        <v>0.120445759486038</v>
      </c>
      <c r="AA30" s="8">
        <v>0.662342531572804</v>
      </c>
      <c r="AB30" s="8">
        <v>0.0997907451643561</v>
      </c>
      <c r="AC30" s="8">
        <v>0.120735042507834</v>
      </c>
      <c r="AD30" s="8">
        <v>0.663291618475118</v>
      </c>
      <c r="AE30" s="8">
        <v>0.101576697180907</v>
      </c>
      <c r="AF30" s="8">
        <v>0.128646960245839</v>
      </c>
      <c r="AG30" s="8">
        <v>0.618874559267203</v>
      </c>
      <c r="AH30" s="12">
        <v>10.0</v>
      </c>
      <c r="AI30" s="8">
        <v>2.66363826908522</v>
      </c>
      <c r="AJ30" s="8">
        <v>11.5643510074967</v>
      </c>
      <c r="AK30" s="8">
        <v>3.40063979384714</v>
      </c>
      <c r="AL30" s="8">
        <v>0.651159397878596</v>
      </c>
      <c r="AM30" s="8">
        <v>2.76087728288052</v>
      </c>
      <c r="AN30" s="8">
        <v>11.1578457690289</v>
      </c>
      <c r="AO30" s="8">
        <v>3.34033617605008</v>
      </c>
      <c r="AP30" s="8">
        <v>0.663291618475118</v>
      </c>
      <c r="AQ30" s="8">
        <v>2.8102886220051</v>
      </c>
      <c r="AR30" s="8">
        <v>12.6681364645807</v>
      </c>
      <c r="AS30" s="8">
        <v>3.55923256680155</v>
      </c>
      <c r="AT30" s="8">
        <v>0.618874559267202</v>
      </c>
      <c r="AU30" s="9">
        <f t="shared" si="3"/>
        <v>-0.254192367</v>
      </c>
      <c r="AV30" s="10">
        <f t="shared" si="4"/>
        <v>-0.2876172768</v>
      </c>
      <c r="AW30" s="10">
        <f t="shared" si="5"/>
        <v>-0.5672604853</v>
      </c>
      <c r="AX30" s="11">
        <f t="shared" si="6"/>
        <v>-0.6194931619</v>
      </c>
      <c r="AY30" s="9">
        <f t="shared" si="7"/>
        <v>-0.5904500309</v>
      </c>
      <c r="AZ30" s="11">
        <f t="shared" si="8"/>
        <v>-0.5965567382</v>
      </c>
      <c r="BA30" s="9">
        <f t="shared" si="9"/>
        <v>-0.2590905477</v>
      </c>
      <c r="BB30" s="10">
        <f t="shared" si="10"/>
        <v>-0.5190332082</v>
      </c>
      <c r="BC30" s="11">
        <f t="shared" si="11"/>
        <v>-0.523366608</v>
      </c>
      <c r="BD30" s="4">
        <f t="shared" ref="BD30:BE30" si="39">((R30-R$68)/R$69)</f>
        <v>-0.7646174255</v>
      </c>
      <c r="BE30" s="4">
        <f t="shared" si="39"/>
        <v>0.7557333392</v>
      </c>
      <c r="BF30" s="3"/>
    </row>
    <row r="31">
      <c r="A31" s="3" t="s">
        <v>72</v>
      </c>
      <c r="B31" s="4">
        <f t="shared" si="2"/>
        <v>0.374992468</v>
      </c>
      <c r="C31" s="3" t="s">
        <v>58</v>
      </c>
      <c r="D31" s="3" t="s">
        <v>59</v>
      </c>
      <c r="E31" s="5" t="s">
        <v>76</v>
      </c>
      <c r="F31" s="3" t="s">
        <v>73</v>
      </c>
      <c r="G31" s="5" t="s">
        <v>85</v>
      </c>
      <c r="H31" s="5" t="s">
        <v>80</v>
      </c>
      <c r="I31" s="6">
        <v>150.0</v>
      </c>
      <c r="J31" s="5" t="s">
        <v>91</v>
      </c>
      <c r="K31" s="3" t="s">
        <v>65</v>
      </c>
      <c r="L31" s="5" t="s">
        <v>66</v>
      </c>
      <c r="M31" s="3" t="s">
        <v>67</v>
      </c>
      <c r="N31" s="3" t="s">
        <v>68</v>
      </c>
      <c r="O31" s="3" t="s">
        <v>69</v>
      </c>
      <c r="P31" s="5" t="s">
        <v>75</v>
      </c>
      <c r="Q31" s="5" t="s">
        <v>75</v>
      </c>
      <c r="R31" s="8">
        <v>194.392905950546</v>
      </c>
      <c r="S31" s="8">
        <v>322.579672336578</v>
      </c>
      <c r="T31" s="8">
        <v>2.80681649278244</v>
      </c>
      <c r="U31" s="8">
        <v>12.7289755637323</v>
      </c>
      <c r="V31" s="8">
        <v>3.56776898968141</v>
      </c>
      <c r="W31" s="8">
        <v>0.612007143744539</v>
      </c>
      <c r="X31" s="8">
        <v>0.0858316513646991</v>
      </c>
      <c r="Y31" s="8">
        <v>0.0106460367333523</v>
      </c>
      <c r="Z31" s="8">
        <v>0.103179633326312</v>
      </c>
      <c r="AA31" s="8">
        <v>0.743816903563292</v>
      </c>
      <c r="AB31" s="8">
        <v>0.0866098827015395</v>
      </c>
      <c r="AC31" s="8">
        <v>0.103677272201746</v>
      </c>
      <c r="AD31" s="8">
        <v>0.746535168714666</v>
      </c>
      <c r="AE31" s="8">
        <v>0.105045259722531</v>
      </c>
      <c r="AF31" s="8">
        <v>0.136690951509185</v>
      </c>
      <c r="AG31" s="8">
        <v>0.566000263373035</v>
      </c>
      <c r="AH31" s="12">
        <v>10.0</v>
      </c>
      <c r="AI31" s="8">
        <v>2.80681649278243</v>
      </c>
      <c r="AJ31" s="8">
        <v>12.7289755637323</v>
      </c>
      <c r="AK31" s="8">
        <v>3.56776898968141</v>
      </c>
      <c r="AL31" s="8">
        <v>0.611741793684534</v>
      </c>
      <c r="AM31" s="8">
        <v>2.39620675474259</v>
      </c>
      <c r="AN31" s="8">
        <v>8.22774455297365</v>
      </c>
      <c r="AO31" s="8">
        <v>2.86840453091499</v>
      </c>
      <c r="AP31" s="8">
        <v>0.746535168714666</v>
      </c>
      <c r="AQ31" s="8">
        <v>2.90625218565667</v>
      </c>
      <c r="AR31" s="8">
        <v>14.3018825967208</v>
      </c>
      <c r="AS31" s="8">
        <v>3.78178299175413</v>
      </c>
      <c r="AT31" s="8">
        <v>0.566000263373035</v>
      </c>
      <c r="AU31" s="9">
        <f t="shared" si="3"/>
        <v>-0.5057545549</v>
      </c>
      <c r="AV31" s="10">
        <f t="shared" si="4"/>
        <v>-0.5854997553</v>
      </c>
      <c r="AW31" s="10">
        <f t="shared" si="5"/>
        <v>-0.4949396045</v>
      </c>
      <c r="AX31" s="11">
        <f t="shared" si="6"/>
        <v>-0.4741888303</v>
      </c>
      <c r="AY31" s="9">
        <f t="shared" si="7"/>
        <v>-0.4694445141</v>
      </c>
      <c r="AZ31" s="11">
        <f t="shared" si="8"/>
        <v>-0.4765846363</v>
      </c>
      <c r="BA31" s="9">
        <f t="shared" si="9"/>
        <v>-0.3930627164</v>
      </c>
      <c r="BB31" s="10">
        <f t="shared" si="10"/>
        <v>-0.4344514193</v>
      </c>
      <c r="BC31" s="11">
        <f t="shared" si="11"/>
        <v>-0.4468940351</v>
      </c>
      <c r="BD31" s="4">
        <f t="shared" ref="BD31:BE31" si="40">((R31-R$68)/R$69)</f>
        <v>-0.6731537485</v>
      </c>
      <c r="BE31" s="4">
        <f t="shared" si="40"/>
        <v>0.8290566672</v>
      </c>
      <c r="BF31" s="3"/>
    </row>
    <row r="32">
      <c r="A32" s="3" t="s">
        <v>72</v>
      </c>
      <c r="B32" s="4">
        <f t="shared" si="2"/>
        <v>-0.03121642393</v>
      </c>
      <c r="C32" s="3" t="s">
        <v>58</v>
      </c>
      <c r="D32" s="3" t="s">
        <v>59</v>
      </c>
      <c r="E32" s="5" t="s">
        <v>60</v>
      </c>
      <c r="F32" s="3" t="s">
        <v>73</v>
      </c>
      <c r="G32" s="5" t="s">
        <v>60</v>
      </c>
      <c r="H32" s="5" t="s">
        <v>63</v>
      </c>
      <c r="I32" s="6">
        <v>150.0</v>
      </c>
      <c r="J32" s="5" t="s">
        <v>91</v>
      </c>
      <c r="K32" s="3" t="s">
        <v>65</v>
      </c>
      <c r="L32" s="5" t="s">
        <v>66</v>
      </c>
      <c r="M32" s="3" t="s">
        <v>78</v>
      </c>
      <c r="N32" s="3" t="s">
        <v>74</v>
      </c>
      <c r="O32" s="3" t="s">
        <v>69</v>
      </c>
      <c r="P32" s="5" t="s">
        <v>75</v>
      </c>
      <c r="Q32" s="5" t="s">
        <v>75</v>
      </c>
      <c r="R32" s="8">
        <v>531.753926753997</v>
      </c>
      <c r="S32" s="8">
        <v>132.486864805221</v>
      </c>
      <c r="T32" s="8">
        <v>3.76558965205566</v>
      </c>
      <c r="U32" s="8">
        <v>21.7940269682694</v>
      </c>
      <c r="V32" s="8">
        <v>4.66840732673033</v>
      </c>
      <c r="W32" s="8">
        <v>0.33399857269161</v>
      </c>
      <c r="X32" s="8">
        <v>0.128059487680772</v>
      </c>
      <c r="Y32" s="8">
        <v>0.0240426551180881</v>
      </c>
      <c r="Z32" s="8">
        <v>0.155056941534676</v>
      </c>
      <c r="AA32" s="8">
        <v>0.459137302201609</v>
      </c>
      <c r="AB32" s="8">
        <v>0.129596299236224</v>
      </c>
      <c r="AC32" s="8">
        <v>0.156115217244531</v>
      </c>
      <c r="AD32" s="8">
        <v>0.465493246844914</v>
      </c>
      <c r="AE32" s="8">
        <v>0.137376294643336</v>
      </c>
      <c r="AF32" s="8">
        <v>0.174581216232512</v>
      </c>
      <c r="AG32" s="8">
        <v>0.324189491405627</v>
      </c>
      <c r="AH32" s="12">
        <v>10.0</v>
      </c>
      <c r="AI32" s="8">
        <v>3.76558965205566</v>
      </c>
      <c r="AJ32" s="8">
        <v>21.7940269682694</v>
      </c>
      <c r="AK32" s="8">
        <v>4.66840732673033</v>
      </c>
      <c r="AL32" s="8">
        <v>0.334056248531021</v>
      </c>
      <c r="AM32" s="8">
        <v>3.46670100456901</v>
      </c>
      <c r="AN32" s="8">
        <v>17.4396613826382</v>
      </c>
      <c r="AO32" s="8">
        <v>4.1760820612912</v>
      </c>
      <c r="AP32" s="8">
        <v>0.465493246844914</v>
      </c>
      <c r="AQ32" s="8">
        <v>3.67481588170925</v>
      </c>
      <c r="AR32" s="8">
        <v>21.8093439718715</v>
      </c>
      <c r="AS32" s="8">
        <v>4.6700475342197</v>
      </c>
      <c r="AT32" s="8">
        <v>0.324189491405627</v>
      </c>
      <c r="AU32" s="9">
        <f t="shared" si="3"/>
        <v>0.3146589064</v>
      </c>
      <c r="AV32" s="10">
        <f t="shared" si="4"/>
        <v>0.3302321812</v>
      </c>
      <c r="AW32" s="10">
        <f t="shared" si="5"/>
        <v>0.08427193487</v>
      </c>
      <c r="AX32" s="11">
        <f t="shared" si="6"/>
        <v>0.1057637163</v>
      </c>
      <c r="AY32" s="9">
        <f t="shared" si="7"/>
        <v>0.3408521818</v>
      </c>
      <c r="AZ32" s="11">
        <f t="shared" si="8"/>
        <v>0.3134981137</v>
      </c>
      <c r="BA32" s="9">
        <f t="shared" si="9"/>
        <v>0.05924614911</v>
      </c>
      <c r="BB32" s="10">
        <f t="shared" si="10"/>
        <v>-0.04763231665</v>
      </c>
      <c r="BC32" s="11">
        <f t="shared" si="11"/>
        <v>0.09183297591</v>
      </c>
      <c r="BD32" s="4">
        <f t="shared" ref="BD32:BE32" si="41">((R32-R$68)/R$69)</f>
        <v>-0.2618961172</v>
      </c>
      <c r="BE32" s="4">
        <f t="shared" si="41"/>
        <v>-0.9874470622</v>
      </c>
      <c r="BF32" s="3"/>
    </row>
    <row r="33">
      <c r="A33" s="3" t="s">
        <v>57</v>
      </c>
      <c r="B33" s="4">
        <f t="shared" si="2"/>
        <v>-0.588036778</v>
      </c>
      <c r="C33" s="3" t="s">
        <v>58</v>
      </c>
      <c r="D33" s="3" t="s">
        <v>59</v>
      </c>
      <c r="E33" s="5" t="s">
        <v>76</v>
      </c>
      <c r="F33" s="3" t="s">
        <v>73</v>
      </c>
      <c r="G33" s="5" t="s">
        <v>85</v>
      </c>
      <c r="H33" s="5" t="s">
        <v>63</v>
      </c>
      <c r="I33" s="6">
        <v>150.0</v>
      </c>
      <c r="J33" s="5" t="s">
        <v>91</v>
      </c>
      <c r="K33" s="3" t="s">
        <v>65</v>
      </c>
      <c r="L33" s="5" t="s">
        <v>83</v>
      </c>
      <c r="M33" s="3" t="s">
        <v>78</v>
      </c>
      <c r="N33" s="3" t="s">
        <v>74</v>
      </c>
      <c r="O33" s="3" t="s">
        <v>69</v>
      </c>
      <c r="P33" s="5" t="s">
        <v>75</v>
      </c>
      <c r="Q33" s="3"/>
      <c r="R33" s="8">
        <v>592.256257295608</v>
      </c>
      <c r="S33" s="8">
        <v>334.030455350875</v>
      </c>
      <c r="T33" s="8">
        <v>4.33523509376732</v>
      </c>
      <c r="U33" s="8">
        <v>31.078534857806</v>
      </c>
      <c r="V33" s="8">
        <v>5.57481254014931</v>
      </c>
      <c r="W33" s="8">
        <v>0.0494828841743756</v>
      </c>
      <c r="X33" s="8">
        <v>0.133097846765612</v>
      </c>
      <c r="Y33" s="8">
        <v>0.0287646384404686</v>
      </c>
      <c r="Z33" s="8">
        <v>0.169601410490799</v>
      </c>
      <c r="AA33" s="8">
        <v>0.303242139092395</v>
      </c>
      <c r="AB33" s="8">
        <v>0.135427980864005</v>
      </c>
      <c r="AC33" s="8">
        <v>0.17131534661265</v>
      </c>
      <c r="AD33" s="8">
        <v>0.304124234741255</v>
      </c>
      <c r="AE33" s="8">
        <v>0.160824438862049</v>
      </c>
      <c r="AF33" s="8">
        <v>0.207463631970722</v>
      </c>
      <c r="AG33" s="8">
        <v>-0.00190669203028237</v>
      </c>
      <c r="AH33" s="12">
        <v>10.0</v>
      </c>
      <c r="AI33" s="8">
        <v>4.33523509376734</v>
      </c>
      <c r="AJ33" s="8">
        <v>31.078534857806</v>
      </c>
      <c r="AK33" s="8">
        <v>5.57481254014931</v>
      </c>
      <c r="AL33" s="8">
        <v>0.0490703739236415</v>
      </c>
      <c r="AM33" s="8">
        <v>3.74684080390438</v>
      </c>
      <c r="AN33" s="8">
        <v>22.4649891854168</v>
      </c>
      <c r="AO33" s="8">
        <v>4.73972458961665</v>
      </c>
      <c r="AP33" s="8">
        <v>0.304124234741255</v>
      </c>
      <c r="AQ33" s="8">
        <v>4.44947614185037</v>
      </c>
      <c r="AR33" s="8">
        <v>32.9456157255378</v>
      </c>
      <c r="AS33" s="8">
        <v>5.73982715118999</v>
      </c>
      <c r="AT33" s="8">
        <v>-0.00190669203028237</v>
      </c>
      <c r="AU33" s="9">
        <f t="shared" si="3"/>
        <v>0.4259589518</v>
      </c>
      <c r="AV33" s="10">
        <f t="shared" si="4"/>
        <v>0.5956743889</v>
      </c>
      <c r="AW33" s="10">
        <f t="shared" si="5"/>
        <v>0.668078019</v>
      </c>
      <c r="AX33" s="11">
        <f t="shared" si="6"/>
        <v>0.8042284004</v>
      </c>
      <c r="AY33" s="9">
        <f t="shared" si="7"/>
        <v>0.8222818243</v>
      </c>
      <c r="AZ33" s="11">
        <f t="shared" si="8"/>
        <v>0.9641524654</v>
      </c>
      <c r="BA33" s="9">
        <f t="shared" si="9"/>
        <v>0.3189534351</v>
      </c>
      <c r="BB33" s="10">
        <f t="shared" si="10"/>
        <v>0.4740162105</v>
      </c>
      <c r="BC33" s="11">
        <f t="shared" si="11"/>
        <v>0.6447230744</v>
      </c>
      <c r="BD33" s="4">
        <f t="shared" ref="BD33:BE33" si="42">((R33-R$68)/R$69)</f>
        <v>-0.1881411674</v>
      </c>
      <c r="BE33" s="4">
        <f t="shared" si="42"/>
        <v>0.9384789558</v>
      </c>
      <c r="BF33" s="3"/>
    </row>
    <row r="34">
      <c r="A34" s="3" t="s">
        <v>57</v>
      </c>
      <c r="B34" s="4">
        <f t="shared" si="2"/>
        <v>0.4935444744</v>
      </c>
      <c r="C34" s="3" t="s">
        <v>58</v>
      </c>
      <c r="D34" s="3" t="s">
        <v>59</v>
      </c>
      <c r="E34" s="5" t="s">
        <v>60</v>
      </c>
      <c r="F34" s="3" t="s">
        <v>73</v>
      </c>
      <c r="G34" s="5" t="s">
        <v>60</v>
      </c>
      <c r="H34" s="5" t="s">
        <v>80</v>
      </c>
      <c r="I34" s="6">
        <v>20.0</v>
      </c>
      <c r="J34" s="5" t="s">
        <v>82</v>
      </c>
      <c r="K34" s="3" t="s">
        <v>65</v>
      </c>
      <c r="L34" s="5" t="s">
        <v>83</v>
      </c>
      <c r="M34" s="3" t="s">
        <v>67</v>
      </c>
      <c r="N34" s="3" t="s">
        <v>74</v>
      </c>
      <c r="O34" s="3" t="s">
        <v>69</v>
      </c>
      <c r="P34" s="5" t="s">
        <v>86</v>
      </c>
      <c r="Q34" s="3"/>
      <c r="R34" s="7">
        <v>112.2860622406</v>
      </c>
      <c r="S34" s="7">
        <v>123.732687950134</v>
      </c>
      <c r="T34" s="8">
        <v>2.85761349406776</v>
      </c>
      <c r="U34" s="8">
        <v>13.9279194787287</v>
      </c>
      <c r="V34" s="8">
        <v>3.73201279187635</v>
      </c>
      <c r="W34" s="8">
        <v>0.582690434425594</v>
      </c>
      <c r="X34" s="8">
        <v>0.0948879102034817</v>
      </c>
      <c r="Y34" s="8">
        <v>0.01395951120624</v>
      </c>
      <c r="Z34" s="8">
        <v>0.118150375396102</v>
      </c>
      <c r="AA34" s="8">
        <v>0.690754370106879</v>
      </c>
      <c r="AB34" s="8">
        <v>0.0963713948934256</v>
      </c>
      <c r="AC34" s="8">
        <v>0.119300918927593</v>
      </c>
      <c r="AD34" s="8">
        <v>0.691753962143374</v>
      </c>
      <c r="AE34" s="8">
        <v>0.105417402602262</v>
      </c>
      <c r="AF34" s="8">
        <v>0.141691714650517</v>
      </c>
      <c r="AG34" s="8">
        <v>0.571708669535399</v>
      </c>
      <c r="AH34" s="8">
        <v>10.0</v>
      </c>
      <c r="AI34" s="8">
        <v>2.85761349406776</v>
      </c>
      <c r="AJ34" s="8">
        <v>13.9279194787287</v>
      </c>
      <c r="AK34" s="8">
        <v>3.73201279187635</v>
      </c>
      <c r="AL34" s="8">
        <v>0.582512086556829</v>
      </c>
      <c r="AM34" s="8">
        <v>2.57793481339914</v>
      </c>
      <c r="AN34" s="8">
        <v>10.1843930176894</v>
      </c>
      <c r="AO34" s="8">
        <v>3.19129958131313</v>
      </c>
      <c r="AP34" s="8">
        <v>0.691753962143374</v>
      </c>
      <c r="AQ34" s="8">
        <v>2.81991551961052</v>
      </c>
      <c r="AR34" s="8">
        <v>14.366020585307</v>
      </c>
      <c r="AS34" s="8">
        <v>3.79025336690135</v>
      </c>
      <c r="AT34" s="8">
        <v>0.571708669535399</v>
      </c>
      <c r="AU34" s="9">
        <f t="shared" si="3"/>
        <v>-0.319452075</v>
      </c>
      <c r="AV34" s="10">
        <f t="shared" si="4"/>
        <v>-0.3126615985</v>
      </c>
      <c r="AW34" s="10">
        <f t="shared" si="5"/>
        <v>-0.5600053805</v>
      </c>
      <c r="AX34" s="11">
        <f t="shared" si="6"/>
        <v>-0.4686584782</v>
      </c>
      <c r="AY34" s="9">
        <f t="shared" si="7"/>
        <v>-0.4265139816</v>
      </c>
      <c r="AZ34" s="11">
        <f t="shared" si="8"/>
        <v>-0.3586837869</v>
      </c>
      <c r="BA34" s="9">
        <f t="shared" si="9"/>
        <v>-0.3048978432</v>
      </c>
      <c r="BB34" s="10">
        <f t="shared" si="10"/>
        <v>-0.4435830246</v>
      </c>
      <c r="BC34" s="11">
        <f t="shared" si="11"/>
        <v>-0.3901866082</v>
      </c>
      <c r="BD34" s="4">
        <f t="shared" ref="BD34:BE34" si="43">((R34-R$68)/R$69)</f>
        <v>-0.7732455315</v>
      </c>
      <c r="BE34" s="4">
        <f t="shared" si="43"/>
        <v>-1.071100911</v>
      </c>
      <c r="BF34" s="4"/>
    </row>
    <row r="35">
      <c r="A35" s="3" t="s">
        <v>57</v>
      </c>
      <c r="B35" s="4">
        <f t="shared" si="2"/>
        <v>0.3920044867</v>
      </c>
      <c r="C35" s="3" t="s">
        <v>58</v>
      </c>
      <c r="D35" s="3" t="s">
        <v>59</v>
      </c>
      <c r="E35" s="5" t="s">
        <v>76</v>
      </c>
      <c r="F35" s="3" t="s">
        <v>61</v>
      </c>
      <c r="G35" s="5" t="s">
        <v>77</v>
      </c>
      <c r="H35" s="5" t="s">
        <v>80</v>
      </c>
      <c r="I35" s="6">
        <v>20.0</v>
      </c>
      <c r="J35" s="5" t="s">
        <v>82</v>
      </c>
      <c r="K35" s="3" t="s">
        <v>65</v>
      </c>
      <c r="L35" s="5" t="s">
        <v>83</v>
      </c>
      <c r="M35" s="3" t="s">
        <v>78</v>
      </c>
      <c r="N35" s="3" t="s">
        <v>68</v>
      </c>
      <c r="O35" s="3" t="s">
        <v>69</v>
      </c>
      <c r="P35" s="5" t="s">
        <v>86</v>
      </c>
      <c r="Q35" s="3"/>
      <c r="R35" s="7">
        <v>249.993406772613</v>
      </c>
      <c r="S35" s="7">
        <v>317.522227048873</v>
      </c>
      <c r="T35" s="8">
        <v>2.67155991833055</v>
      </c>
      <c r="U35" s="8">
        <v>11.1820703089677</v>
      </c>
      <c r="V35" s="8">
        <v>3.34396027323408</v>
      </c>
      <c r="W35" s="8">
        <v>0.662721680735378</v>
      </c>
      <c r="X35" s="8">
        <v>0.0925715462385737</v>
      </c>
      <c r="Y35" s="8">
        <v>0.0124597776280774</v>
      </c>
      <c r="Z35" s="8">
        <v>0.111623374022099</v>
      </c>
      <c r="AA35" s="8">
        <v>0.70999624410879</v>
      </c>
      <c r="AB35" s="8">
        <v>0.0928806348413743</v>
      </c>
      <c r="AC35" s="8">
        <v>0.111802287697465</v>
      </c>
      <c r="AD35" s="8">
        <v>0.711272181950805</v>
      </c>
      <c r="AE35" s="8">
        <v>0.104457505820395</v>
      </c>
      <c r="AF35" s="8">
        <v>0.131938375132258</v>
      </c>
      <c r="AG35" s="8">
        <v>0.599122995613297</v>
      </c>
      <c r="AH35" s="8">
        <v>10.0</v>
      </c>
      <c r="AI35" s="8">
        <v>2.67155991833054</v>
      </c>
      <c r="AJ35" s="8">
        <v>11.1820703089677</v>
      </c>
      <c r="AK35" s="8">
        <v>3.34396027323408</v>
      </c>
      <c r="AL35" s="8">
        <v>0.662690959742103</v>
      </c>
      <c r="AM35" s="8">
        <v>2.5696975639447</v>
      </c>
      <c r="AN35" s="8">
        <v>9.56786536893229</v>
      </c>
      <c r="AO35" s="8">
        <v>3.09319662629653</v>
      </c>
      <c r="AP35" s="8">
        <v>0.711272181950805</v>
      </c>
      <c r="AQ35" s="8">
        <v>2.88999099436428</v>
      </c>
      <c r="AR35" s="8">
        <v>13.3246539179301</v>
      </c>
      <c r="AS35" s="8">
        <v>3.6502950453258</v>
      </c>
      <c r="AT35" s="8">
        <v>0.599122995613297</v>
      </c>
      <c r="AU35" s="9">
        <f t="shared" si="3"/>
        <v>-0.3860746681</v>
      </c>
      <c r="AV35" s="10">
        <f t="shared" si="4"/>
        <v>-0.4436113543</v>
      </c>
      <c r="AW35" s="10">
        <f t="shared" si="5"/>
        <v>-0.5071945025</v>
      </c>
      <c r="AX35" s="11">
        <f t="shared" si="6"/>
        <v>-0.5600379954</v>
      </c>
      <c r="AY35" s="9">
        <f t="shared" si="7"/>
        <v>-0.5837551353</v>
      </c>
      <c r="AZ35" s="11">
        <f t="shared" si="8"/>
        <v>-0.6372435923</v>
      </c>
      <c r="BA35" s="9">
        <f t="shared" si="9"/>
        <v>-0.3363104659</v>
      </c>
      <c r="BB35" s="10">
        <f t="shared" si="10"/>
        <v>-0.4874370884</v>
      </c>
      <c r="BC35" s="11">
        <f t="shared" si="11"/>
        <v>-0.5457385462</v>
      </c>
      <c r="BD35" s="4">
        <f t="shared" ref="BD35:BE35" si="44">((R35-R$68)/R$69)</f>
        <v>-0.6053743406</v>
      </c>
      <c r="BE35" s="4">
        <f t="shared" si="44"/>
        <v>0.7807283357</v>
      </c>
      <c r="BF35" s="4"/>
    </row>
    <row r="36">
      <c r="A36" s="3" t="s">
        <v>72</v>
      </c>
      <c r="B36" s="4">
        <f t="shared" si="2"/>
        <v>0.4259408713</v>
      </c>
      <c r="C36" s="3" t="s">
        <v>58</v>
      </c>
      <c r="D36" s="3" t="s">
        <v>59</v>
      </c>
      <c r="E36" s="5" t="s">
        <v>60</v>
      </c>
      <c r="F36" s="3" t="s">
        <v>61</v>
      </c>
      <c r="G36" s="5" t="s">
        <v>62</v>
      </c>
      <c r="H36" s="5" t="s">
        <v>80</v>
      </c>
      <c r="I36" s="6">
        <v>20.0</v>
      </c>
      <c r="J36" s="5" t="s">
        <v>82</v>
      </c>
      <c r="K36" s="3" t="s">
        <v>65</v>
      </c>
      <c r="L36" s="5" t="s">
        <v>66</v>
      </c>
      <c r="M36" s="3" t="s">
        <v>89</v>
      </c>
      <c r="N36" s="3" t="s">
        <v>68</v>
      </c>
      <c r="O36" s="3" t="s">
        <v>69</v>
      </c>
      <c r="P36" s="5" t="s">
        <v>71</v>
      </c>
      <c r="Q36" s="3" t="s">
        <v>93</v>
      </c>
      <c r="R36" s="7">
        <v>149.871419429779</v>
      </c>
      <c r="S36" s="7">
        <v>136.624994993209</v>
      </c>
      <c r="T36" s="8">
        <v>3.28867545825084</v>
      </c>
      <c r="U36" s="8">
        <v>16.4688933464144</v>
      </c>
      <c r="V36" s="8">
        <v>4.05818843160522</v>
      </c>
      <c r="W36" s="8">
        <v>0.514379826929327</v>
      </c>
      <c r="X36" s="8">
        <v>0.104816414912405</v>
      </c>
      <c r="Y36" s="8">
        <v>0.0162985847785591</v>
      </c>
      <c r="Z36" s="8">
        <v>0.127665910792815</v>
      </c>
      <c r="AA36" s="8">
        <v>0.651868216443715</v>
      </c>
      <c r="AB36" s="8">
        <v>0.10526049596882</v>
      </c>
      <c r="AC36" s="8">
        <v>0.127963145292661</v>
      </c>
      <c r="AD36" s="8">
        <v>0.653027252283118</v>
      </c>
      <c r="AE36" s="8">
        <v>0.126444897803815</v>
      </c>
      <c r="AF36" s="8">
        <v>0.158319218885068</v>
      </c>
      <c r="AG36" s="8">
        <v>0.473088779172446</v>
      </c>
      <c r="AH36" s="8">
        <v>10.0</v>
      </c>
      <c r="AI36" s="8">
        <v>2.86691905213041</v>
      </c>
      <c r="AJ36" s="8">
        <v>12.5156452200174</v>
      </c>
      <c r="AK36" s="8">
        <v>3.53774578227682</v>
      </c>
      <c r="AL36" s="8">
        <v>0.514261893670243</v>
      </c>
      <c r="AM36" s="8">
        <v>2.45461628793957</v>
      </c>
      <c r="AN36" s="8">
        <v>8.90443180375641</v>
      </c>
      <c r="AO36" s="8">
        <v>2.98402945758858</v>
      </c>
      <c r="AP36" s="8">
        <v>0.653027252283118</v>
      </c>
      <c r="AQ36" s="8">
        <v>2.94862476961951</v>
      </c>
      <c r="AR36" s="8">
        <v>13.6302454440077</v>
      </c>
      <c r="AS36" s="8">
        <v>3.6919162292782</v>
      </c>
      <c r="AT36" s="8">
        <v>0.473088779172446</v>
      </c>
      <c r="AU36" s="9">
        <f t="shared" si="3"/>
        <v>-0.1497999204</v>
      </c>
      <c r="AV36" s="10">
        <f t="shared" si="4"/>
        <v>-0.1613918011</v>
      </c>
      <c r="AW36" s="10">
        <f t="shared" si="5"/>
        <v>-0.4630064158</v>
      </c>
      <c r="AX36" s="11">
        <f t="shared" si="6"/>
        <v>-0.5328633076</v>
      </c>
      <c r="AY36" s="9">
        <f t="shared" si="7"/>
        <v>-0.4186494905</v>
      </c>
      <c r="AZ36" s="11">
        <f t="shared" si="8"/>
        <v>-0.4981365099</v>
      </c>
      <c r="BA36" s="9">
        <f t="shared" si="9"/>
        <v>-0.2425710769</v>
      </c>
      <c r="BB36" s="10">
        <f t="shared" si="10"/>
        <v>-0.2858230656</v>
      </c>
      <c r="BC36" s="11">
        <f t="shared" si="11"/>
        <v>-0.2577770426</v>
      </c>
      <c r="BD36" s="4">
        <f t="shared" ref="BD36:BE36" si="45">((R36-R$68)/R$69)</f>
        <v>-0.7274273604</v>
      </c>
      <c r="BE36" s="4">
        <f t="shared" si="45"/>
        <v>-0.9479035938</v>
      </c>
      <c r="BF36" s="4"/>
    </row>
    <row r="37">
      <c r="A37" s="3" t="s">
        <v>72</v>
      </c>
      <c r="B37" s="4">
        <f t="shared" si="2"/>
        <v>0.4817151748</v>
      </c>
      <c r="C37" s="3" t="s">
        <v>58</v>
      </c>
      <c r="D37" s="3" t="s">
        <v>59</v>
      </c>
      <c r="E37" s="5" t="s">
        <v>60</v>
      </c>
      <c r="F37" s="3" t="s">
        <v>61</v>
      </c>
      <c r="G37" s="5" t="s">
        <v>62</v>
      </c>
      <c r="H37" s="5" t="s">
        <v>63</v>
      </c>
      <c r="I37" s="6">
        <v>20.0</v>
      </c>
      <c r="J37" s="5" t="s">
        <v>82</v>
      </c>
      <c r="K37" s="3" t="s">
        <v>81</v>
      </c>
      <c r="L37" s="5" t="s">
        <v>66</v>
      </c>
      <c r="M37" s="3" t="s">
        <v>89</v>
      </c>
      <c r="N37" s="3" t="s">
        <v>74</v>
      </c>
      <c r="O37" s="3" t="s">
        <v>69</v>
      </c>
      <c r="P37" s="5" t="s">
        <v>92</v>
      </c>
      <c r="Q37" s="3" t="s">
        <v>79</v>
      </c>
      <c r="R37" s="7">
        <v>644.304824590683</v>
      </c>
      <c r="S37" s="7">
        <v>139.724162817001</v>
      </c>
      <c r="T37" s="8">
        <v>2.938514949519</v>
      </c>
      <c r="U37" s="8">
        <v>13.3974793722152</v>
      </c>
      <c r="V37" s="8">
        <v>3.66025673583359</v>
      </c>
      <c r="W37" s="8">
        <v>0.60025148697593</v>
      </c>
      <c r="X37" s="8">
        <v>0.104463172765798</v>
      </c>
      <c r="Y37" s="8">
        <v>0.0165156673005819</v>
      </c>
      <c r="Z37" s="8">
        <v>0.128513296201529</v>
      </c>
      <c r="AA37" s="8">
        <v>0.643228212169468</v>
      </c>
      <c r="AB37" s="8">
        <v>0.104874482149247</v>
      </c>
      <c r="AC37" s="8">
        <v>0.12875408237781</v>
      </c>
      <c r="AD37" s="8">
        <v>0.645025890293548</v>
      </c>
      <c r="AE37" s="8">
        <v>0.113704030737014</v>
      </c>
      <c r="AF37" s="8">
        <v>0.143480719280702</v>
      </c>
      <c r="AG37" s="8">
        <v>0.561626893787225</v>
      </c>
      <c r="AH37" s="8">
        <v>10.0</v>
      </c>
      <c r="AI37" s="8">
        <v>2.56166490147581</v>
      </c>
      <c r="AJ37" s="8">
        <v>10.1815037075125</v>
      </c>
      <c r="AK37" s="8">
        <v>3.19084686368879</v>
      </c>
      <c r="AL37" s="8">
        <v>0.60020018094277</v>
      </c>
      <c r="AM37" s="8">
        <v>2.44561466011926</v>
      </c>
      <c r="AN37" s="8">
        <v>9.01484814507683</v>
      </c>
      <c r="AO37" s="8">
        <v>3.00247367100476</v>
      </c>
      <c r="AP37" s="8">
        <v>0.645025890293548</v>
      </c>
      <c r="AQ37" s="8">
        <v>2.65151482788122</v>
      </c>
      <c r="AR37" s="8">
        <v>11.1949843228301</v>
      </c>
      <c r="AS37" s="8">
        <v>3.34589066211527</v>
      </c>
      <c r="AT37" s="8">
        <v>0.561626893787225</v>
      </c>
      <c r="AU37" s="9">
        <f t="shared" si="3"/>
        <v>-0.1571671531</v>
      </c>
      <c r="AV37" s="10">
        <f t="shared" si="4"/>
        <v>-0.1475795446</v>
      </c>
      <c r="AW37" s="10">
        <f t="shared" si="5"/>
        <v>-0.6869169486</v>
      </c>
      <c r="AX37" s="11">
        <f t="shared" si="6"/>
        <v>-0.7587852028</v>
      </c>
      <c r="AY37" s="9">
        <f t="shared" si="7"/>
        <v>-0.6766317122</v>
      </c>
      <c r="AZ37" s="11">
        <f t="shared" si="8"/>
        <v>-0.7471545954</v>
      </c>
      <c r="BA37" s="9">
        <f t="shared" si="9"/>
        <v>-0.229693685</v>
      </c>
      <c r="BB37" s="10">
        <f t="shared" si="10"/>
        <v>-0.427455441</v>
      </c>
      <c r="BC37" s="11">
        <f t="shared" si="11"/>
        <v>-0.4245025976</v>
      </c>
      <c r="BD37" s="4">
        <f t="shared" ref="BD37:BE37" si="46">((R37-R$68)/R$69)</f>
        <v>-0.1246917196</v>
      </c>
      <c r="BE37" s="4">
        <f t="shared" si="46"/>
        <v>-0.9182883233</v>
      </c>
      <c r="BF37" s="4"/>
    </row>
    <row r="38">
      <c r="A38" s="3" t="s">
        <v>72</v>
      </c>
      <c r="B38" s="4">
        <f t="shared" si="2"/>
        <v>0.2076147028</v>
      </c>
      <c r="C38" s="3" t="s">
        <v>58</v>
      </c>
      <c r="D38" s="3" t="s">
        <v>59</v>
      </c>
      <c r="E38" s="5" t="s">
        <v>76</v>
      </c>
      <c r="F38" s="3" t="s">
        <v>73</v>
      </c>
      <c r="G38" s="5" t="s">
        <v>85</v>
      </c>
      <c r="H38" s="5" t="s">
        <v>80</v>
      </c>
      <c r="I38" s="6">
        <v>20.0</v>
      </c>
      <c r="J38" s="5" t="s">
        <v>82</v>
      </c>
      <c r="K38" s="3" t="s">
        <v>65</v>
      </c>
      <c r="L38" s="5" t="s">
        <v>83</v>
      </c>
      <c r="M38" s="3" t="s">
        <v>78</v>
      </c>
      <c r="N38" s="3" t="s">
        <v>68</v>
      </c>
      <c r="O38" s="3" t="s">
        <v>69</v>
      </c>
      <c r="P38" s="5" t="s">
        <v>70</v>
      </c>
      <c r="Q38" s="3"/>
      <c r="R38" s="7">
        <v>204.887410640716</v>
      </c>
      <c r="S38" s="7">
        <v>332.693548679351</v>
      </c>
      <c r="T38" s="8">
        <v>3.24950663555686</v>
      </c>
      <c r="U38" s="8">
        <v>16.8841576647565</v>
      </c>
      <c r="V38" s="8">
        <v>4.10903366556621</v>
      </c>
      <c r="W38" s="8">
        <v>0.485315458476602</v>
      </c>
      <c r="X38" s="8">
        <v>0.104341100926886</v>
      </c>
      <c r="Y38" s="8">
        <v>0.0159024641369269</v>
      </c>
      <c r="Z38" s="8">
        <v>0.126104972689132</v>
      </c>
      <c r="AA38" s="8">
        <v>0.617327780693392</v>
      </c>
      <c r="AB38" s="8">
        <v>0.105570189638516</v>
      </c>
      <c r="AC38" s="8">
        <v>0.126996186723366</v>
      </c>
      <c r="AD38" s="8">
        <v>0.619695078378463</v>
      </c>
      <c r="AE38" s="8">
        <v>0.123069204362283</v>
      </c>
      <c r="AF38" s="8">
        <v>0.159014836575229</v>
      </c>
      <c r="AG38" s="8">
        <v>0.412665885327674</v>
      </c>
      <c r="AH38" s="8">
        <v>10.0</v>
      </c>
      <c r="AI38" s="8">
        <v>2.87757515317384</v>
      </c>
      <c r="AJ38" s="8">
        <v>13.2403020386748</v>
      </c>
      <c r="AK38" s="8">
        <v>3.63872258336285</v>
      </c>
      <c r="AL38" s="8">
        <v>0.485000757740183</v>
      </c>
      <c r="AM38" s="8">
        <v>2.58646964614372</v>
      </c>
      <c r="AN38" s="8">
        <v>9.68085087322619</v>
      </c>
      <c r="AO38" s="8">
        <v>3.11140657472246</v>
      </c>
      <c r="AP38" s="8">
        <v>0.619695078378463</v>
      </c>
      <c r="AQ38" s="8">
        <v>3.01519550687601</v>
      </c>
      <c r="AR38" s="8">
        <v>15.1777523801909</v>
      </c>
      <c r="AS38" s="8">
        <v>3.89586349609312</v>
      </c>
      <c r="AT38" s="8">
        <v>0.412665885327675</v>
      </c>
      <c r="AU38" s="9">
        <f t="shared" si="3"/>
        <v>-0.1438892892</v>
      </c>
      <c r="AV38" s="10">
        <f t="shared" si="4"/>
        <v>-0.178277948</v>
      </c>
      <c r="AW38" s="10">
        <f t="shared" si="5"/>
        <v>-0.412836808</v>
      </c>
      <c r="AX38" s="11">
        <f t="shared" si="6"/>
        <v>-0.3997050748</v>
      </c>
      <c r="AY38" s="9">
        <f t="shared" si="7"/>
        <v>-0.4096436027</v>
      </c>
      <c r="AZ38" s="11">
        <f t="shared" si="8"/>
        <v>-0.4256512747</v>
      </c>
      <c r="BA38" s="9">
        <f t="shared" si="9"/>
        <v>-0.1889262766</v>
      </c>
      <c r="BB38" s="10">
        <f t="shared" si="10"/>
        <v>-0.1891659589</v>
      </c>
      <c r="BC38" s="11">
        <f t="shared" si="11"/>
        <v>-0.2010086419</v>
      </c>
      <c r="BD38" s="4">
        <f t="shared" ref="BD38:BE38" si="47">((R38-R$68)/R$69)</f>
        <v>-0.6603604948</v>
      </c>
      <c r="BE38" s="4">
        <f t="shared" si="47"/>
        <v>0.9257036384</v>
      </c>
      <c r="BF38" s="4"/>
    </row>
    <row r="39">
      <c r="A39" s="3" t="s">
        <v>57</v>
      </c>
      <c r="B39" s="4">
        <f t="shared" si="2"/>
        <v>-0.0667594469</v>
      </c>
      <c r="C39" s="3" t="s">
        <v>58</v>
      </c>
      <c r="D39" s="3" t="s">
        <v>59</v>
      </c>
      <c r="E39" s="5" t="s">
        <v>60</v>
      </c>
      <c r="F39" s="3" t="s">
        <v>73</v>
      </c>
      <c r="G39" s="5" t="s">
        <v>60</v>
      </c>
      <c r="H39" s="5" t="s">
        <v>63</v>
      </c>
      <c r="I39" s="6">
        <v>20.0</v>
      </c>
      <c r="J39" s="5" t="s">
        <v>82</v>
      </c>
      <c r="K39" s="3" t="s">
        <v>81</v>
      </c>
      <c r="L39" s="5" t="s">
        <v>66</v>
      </c>
      <c r="M39" s="3" t="s">
        <v>78</v>
      </c>
      <c r="N39" s="3" t="s">
        <v>74</v>
      </c>
      <c r="O39" s="3" t="s">
        <v>69</v>
      </c>
      <c r="P39" s="5" t="s">
        <v>87</v>
      </c>
      <c r="Q39" s="5" t="s">
        <v>75</v>
      </c>
      <c r="R39" s="7">
        <v>782.196872234344</v>
      </c>
      <c r="S39" s="7">
        <v>134.419016361236</v>
      </c>
      <c r="T39" s="8">
        <v>3.59668499344858</v>
      </c>
      <c r="U39" s="8">
        <v>20.4885475500864</v>
      </c>
      <c r="V39" s="8">
        <v>4.5264276808634</v>
      </c>
      <c r="W39" s="8">
        <v>0.373882096335073</v>
      </c>
      <c r="X39" s="8">
        <v>0.135009423575323</v>
      </c>
      <c r="Y39" s="8">
        <v>0.0272996314739839</v>
      </c>
      <c r="Z39" s="8">
        <v>0.165226001204362</v>
      </c>
      <c r="AA39" s="8">
        <v>0.385868480190761</v>
      </c>
      <c r="AB39" s="8">
        <v>0.137012063560603</v>
      </c>
      <c r="AC39" s="8">
        <v>0.166730971668846</v>
      </c>
      <c r="AD39" s="8">
        <v>0.390329356794748</v>
      </c>
      <c r="AE39" s="8">
        <v>0.135139347396213</v>
      </c>
      <c r="AF39" s="8">
        <v>0.174127891750251</v>
      </c>
      <c r="AG39" s="8">
        <v>0.327694607252538</v>
      </c>
      <c r="AH39" s="8">
        <v>10.0</v>
      </c>
      <c r="AI39" s="8">
        <v>3.59668499344859</v>
      </c>
      <c r="AJ39" s="8">
        <v>20.4885475500864</v>
      </c>
      <c r="AK39" s="8">
        <v>4.5264276808634</v>
      </c>
      <c r="AL39" s="8">
        <v>0.373946804896583</v>
      </c>
      <c r="AM39" s="8">
        <v>3.66507270024614</v>
      </c>
      <c r="AN39" s="8">
        <v>19.8920771527649</v>
      </c>
      <c r="AO39" s="8">
        <v>4.46005349214164</v>
      </c>
      <c r="AP39" s="8">
        <v>0.390329356794748</v>
      </c>
      <c r="AQ39" s="8">
        <v>3.6149775428487</v>
      </c>
      <c r="AR39" s="8">
        <v>21.6962290140625</v>
      </c>
      <c r="AS39" s="8">
        <v>4.65792110431923</v>
      </c>
      <c r="AT39" s="8">
        <v>0.327694607252538</v>
      </c>
      <c r="AU39" s="9">
        <f t="shared" si="3"/>
        <v>0.4561918224</v>
      </c>
      <c r="AV39" s="10">
        <f t="shared" si="4"/>
        <v>0.5156167409</v>
      </c>
      <c r="AW39" s="10">
        <f t="shared" si="5"/>
        <v>0.03917605466</v>
      </c>
      <c r="AX39" s="11">
        <f t="shared" si="6"/>
        <v>0.09784630702</v>
      </c>
      <c r="AY39" s="9">
        <f t="shared" si="7"/>
        <v>0.1981042487</v>
      </c>
      <c r="AZ39" s="11">
        <f t="shared" si="8"/>
        <v>0.2115793768</v>
      </c>
      <c r="BA39" s="9">
        <f t="shared" si="9"/>
        <v>0.1802149128</v>
      </c>
      <c r="BB39" s="10">
        <f t="shared" si="10"/>
        <v>-0.05323936946</v>
      </c>
      <c r="BC39" s="11">
        <f t="shared" si="11"/>
        <v>0.01444284678</v>
      </c>
      <c r="BD39" s="4">
        <f t="shared" ref="BD39:BE39" si="48">((R39-R$68)/R$69)</f>
        <v>0.04340463241</v>
      </c>
      <c r="BE39" s="4">
        <f t="shared" si="48"/>
        <v>-0.9689836571</v>
      </c>
      <c r="BF39" s="4"/>
    </row>
    <row r="40">
      <c r="A40" s="3" t="s">
        <v>57</v>
      </c>
      <c r="B40" s="4">
        <f t="shared" si="2"/>
        <v>0.07037422755</v>
      </c>
      <c r="C40" s="3" t="s">
        <v>58</v>
      </c>
      <c r="D40" s="3" t="s">
        <v>59</v>
      </c>
      <c r="E40" s="5" t="s">
        <v>76</v>
      </c>
      <c r="F40" s="3" t="s">
        <v>61</v>
      </c>
      <c r="G40" s="5" t="s">
        <v>77</v>
      </c>
      <c r="H40" s="5" t="s">
        <v>63</v>
      </c>
      <c r="I40" s="6">
        <v>20.0</v>
      </c>
      <c r="J40" s="5" t="s">
        <v>82</v>
      </c>
      <c r="K40" s="3" t="s">
        <v>81</v>
      </c>
      <c r="L40" s="5" t="s">
        <v>66</v>
      </c>
      <c r="M40" s="3" t="s">
        <v>89</v>
      </c>
      <c r="N40" s="3" t="s">
        <v>74</v>
      </c>
      <c r="O40" s="3" t="s">
        <v>69</v>
      </c>
      <c r="P40" s="5" t="s">
        <v>87</v>
      </c>
      <c r="Q40" s="5" t="s">
        <v>75</v>
      </c>
      <c r="R40" s="7">
        <v>1808.0409450531</v>
      </c>
      <c r="S40" s="7">
        <v>354.730869531631</v>
      </c>
      <c r="T40" s="8">
        <v>2.97912529499041</v>
      </c>
      <c r="U40" s="8">
        <v>13.813213899196</v>
      </c>
      <c r="V40" s="8">
        <v>3.71661322970201</v>
      </c>
      <c r="W40" s="8">
        <v>0.583277083944528</v>
      </c>
      <c r="X40" s="8">
        <v>0.0982396892534644</v>
      </c>
      <c r="Y40" s="8">
        <v>0.0140379253994591</v>
      </c>
      <c r="Z40" s="8">
        <v>0.118481751335212</v>
      </c>
      <c r="AA40" s="8">
        <v>0.671627772174445</v>
      </c>
      <c r="AB40" s="8">
        <v>0.0985819882569352</v>
      </c>
      <c r="AC40" s="8">
        <v>0.118686890555556</v>
      </c>
      <c r="AD40" s="8">
        <v>0.673094456264151</v>
      </c>
      <c r="AE40" s="8">
        <v>0.109226762512342</v>
      </c>
      <c r="AF40" s="8">
        <v>0.139507917767301</v>
      </c>
      <c r="AG40" s="8">
        <v>0.552421598617254</v>
      </c>
      <c r="AH40" s="8">
        <v>10.0</v>
      </c>
      <c r="AI40" s="8">
        <v>2.9791252949904</v>
      </c>
      <c r="AJ40" s="8">
        <v>13.813213899196</v>
      </c>
      <c r="AK40" s="8">
        <v>3.71661322970201</v>
      </c>
      <c r="AL40" s="8">
        <v>0.583188978059855</v>
      </c>
      <c r="AM40" s="8">
        <v>2.72743500844188</v>
      </c>
      <c r="AN40" s="8">
        <v>10.782492863485</v>
      </c>
      <c r="AO40" s="8">
        <v>3.28367063870373</v>
      </c>
      <c r="AP40" s="8">
        <v>0.673094456264151</v>
      </c>
      <c r="AQ40" s="8">
        <v>3.02194042950814</v>
      </c>
      <c r="AR40" s="8">
        <v>14.8974312084537</v>
      </c>
      <c r="AS40" s="8">
        <v>3.85971905822868</v>
      </c>
      <c r="AT40" s="8">
        <v>0.552421598617253</v>
      </c>
      <c r="AU40" s="9">
        <f t="shared" si="3"/>
        <v>-0.2772619903</v>
      </c>
      <c r="AV40" s="10">
        <f t="shared" si="4"/>
        <v>-0.3233844708</v>
      </c>
      <c r="AW40" s="10">
        <f t="shared" si="5"/>
        <v>-0.4077536417</v>
      </c>
      <c r="AX40" s="11">
        <f t="shared" si="6"/>
        <v>-0.4233039665</v>
      </c>
      <c r="AY40" s="9">
        <f t="shared" si="7"/>
        <v>-0.3238196061</v>
      </c>
      <c r="AZ40" s="11">
        <f t="shared" si="8"/>
        <v>-0.3697382159</v>
      </c>
      <c r="BA40" s="9">
        <f t="shared" si="9"/>
        <v>-0.2748672347</v>
      </c>
      <c r="BB40" s="10">
        <f t="shared" si="10"/>
        <v>-0.4127299431</v>
      </c>
      <c r="BC40" s="11">
        <f t="shared" si="11"/>
        <v>-0.3914998193</v>
      </c>
      <c r="BD40" s="4">
        <f t="shared" ref="BD40:BE40" si="49">((R40-R$68)/R$69)</f>
        <v>1.293952791</v>
      </c>
      <c r="BE40" s="4">
        <f t="shared" si="49"/>
        <v>1.136289594</v>
      </c>
      <c r="BF40" s="4"/>
    </row>
    <row r="41">
      <c r="A41" s="3" t="s">
        <v>72</v>
      </c>
      <c r="B41" s="4">
        <f t="shared" si="2"/>
        <v>-0.2956484724</v>
      </c>
      <c r="C41" s="3" t="s">
        <v>58</v>
      </c>
      <c r="D41" s="3" t="s">
        <v>59</v>
      </c>
      <c r="E41" s="5" t="s">
        <v>76</v>
      </c>
      <c r="F41" s="3" t="s">
        <v>73</v>
      </c>
      <c r="G41" s="5" t="s">
        <v>85</v>
      </c>
      <c r="H41" s="5" t="s">
        <v>63</v>
      </c>
      <c r="I41" s="6">
        <v>20.0</v>
      </c>
      <c r="J41" s="5" t="s">
        <v>82</v>
      </c>
      <c r="K41" s="3" t="s">
        <v>81</v>
      </c>
      <c r="L41" s="5" t="s">
        <v>66</v>
      </c>
      <c r="M41" s="3" t="s">
        <v>89</v>
      </c>
      <c r="N41" s="3" t="s">
        <v>74</v>
      </c>
      <c r="O41" s="3" t="s">
        <v>69</v>
      </c>
      <c r="P41" s="5" t="s">
        <v>92</v>
      </c>
      <c r="Q41" s="3" t="s">
        <v>79</v>
      </c>
      <c r="R41" s="7">
        <v>1485.25092840194</v>
      </c>
      <c r="S41" s="7">
        <v>367.637141227722</v>
      </c>
      <c r="T41" s="8">
        <v>3.8207623633897</v>
      </c>
      <c r="U41" s="8">
        <v>23.0880796969104</v>
      </c>
      <c r="V41" s="8">
        <v>4.80500569166264</v>
      </c>
      <c r="W41" s="8">
        <v>0.293712404859201</v>
      </c>
      <c r="X41" s="8">
        <v>0.134229278666123</v>
      </c>
      <c r="Y41" s="8">
        <v>0.0265722213012676</v>
      </c>
      <c r="Z41" s="8">
        <v>0.163009880992741</v>
      </c>
      <c r="AA41" s="8">
        <v>0.356348451528351</v>
      </c>
      <c r="AB41" s="8">
        <v>0.136060817006472</v>
      </c>
      <c r="AC41" s="8">
        <v>0.164326245388287</v>
      </c>
      <c r="AD41" s="8">
        <v>0.359744912448149</v>
      </c>
      <c r="AE41" s="8">
        <v>0.137097442049429</v>
      </c>
      <c r="AF41" s="8">
        <v>0.176102764897162</v>
      </c>
      <c r="AG41" s="8">
        <v>0.278102274528531</v>
      </c>
      <c r="AH41" s="8">
        <v>10.0</v>
      </c>
      <c r="AI41" s="8">
        <v>3.38344618926681</v>
      </c>
      <c r="AJ41" s="8">
        <v>18.1053242187014</v>
      </c>
      <c r="AK41" s="8">
        <v>4.25503516068921</v>
      </c>
      <c r="AL41" s="8">
        <v>0.293559394178143</v>
      </c>
      <c r="AM41" s="8">
        <v>3.33349001665882</v>
      </c>
      <c r="AN41" s="8">
        <v>16.2086197327778</v>
      </c>
      <c r="AO41" s="8">
        <v>4.02599301201304</v>
      </c>
      <c r="AP41" s="8">
        <v>0.359744912448148</v>
      </c>
      <c r="AQ41" s="8">
        <v>3.35888733021119</v>
      </c>
      <c r="AR41" s="8">
        <v>18.6150633286062</v>
      </c>
      <c r="AS41" s="8">
        <v>4.31451773998047</v>
      </c>
      <c r="AT41" s="8">
        <v>0.278102274528531</v>
      </c>
      <c r="AU41" s="9">
        <f t="shared" si="3"/>
        <v>0.4380368902</v>
      </c>
      <c r="AV41" s="10">
        <f t="shared" si="4"/>
        <v>0.4736226343</v>
      </c>
      <c r="AW41" s="10">
        <f t="shared" si="5"/>
        <v>-0.1538208395</v>
      </c>
      <c r="AX41" s="11">
        <f t="shared" si="6"/>
        <v>-0.1263635383</v>
      </c>
      <c r="AY41" s="9">
        <f t="shared" si="7"/>
        <v>0.01788779521</v>
      </c>
      <c r="AZ41" s="11">
        <f t="shared" si="8"/>
        <v>0.0167628404</v>
      </c>
      <c r="BA41" s="9">
        <f t="shared" si="9"/>
        <v>0.2294375171</v>
      </c>
      <c r="BB41" s="10">
        <f t="shared" si="10"/>
        <v>0.0260923389</v>
      </c>
      <c r="BC41" s="11">
        <f t="shared" si="11"/>
        <v>0.1703993604</v>
      </c>
      <c r="BD41" s="4">
        <f t="shared" ref="BD41:BE41" si="50">((R41-R$68)/R$69)</f>
        <v>0.9004578425</v>
      </c>
      <c r="BE41" s="4">
        <f t="shared" si="50"/>
        <v>1.259620355</v>
      </c>
      <c r="BF41" s="4"/>
    </row>
    <row r="42">
      <c r="A42" s="3" t="s">
        <v>57</v>
      </c>
      <c r="B42" s="4">
        <f t="shared" si="2"/>
        <v>0.1338394351</v>
      </c>
      <c r="C42" s="3" t="s">
        <v>58</v>
      </c>
      <c r="D42" s="3" t="s">
        <v>59</v>
      </c>
      <c r="E42" s="5" t="s">
        <v>60</v>
      </c>
      <c r="F42" s="3" t="s">
        <v>61</v>
      </c>
      <c r="G42" s="5" t="s">
        <v>62</v>
      </c>
      <c r="H42" s="5" t="s">
        <v>63</v>
      </c>
      <c r="I42" s="6">
        <v>150.0</v>
      </c>
      <c r="J42" s="5" t="s">
        <v>82</v>
      </c>
      <c r="K42" s="3" t="s">
        <v>65</v>
      </c>
      <c r="L42" s="5" t="s">
        <v>83</v>
      </c>
      <c r="M42" s="3" t="s">
        <v>67</v>
      </c>
      <c r="N42" s="3" t="s">
        <v>84</v>
      </c>
      <c r="O42" s="3" t="s">
        <v>69</v>
      </c>
      <c r="P42" s="5" t="s">
        <v>71</v>
      </c>
      <c r="Q42" s="3"/>
      <c r="R42" s="7">
        <v>320.327401399612</v>
      </c>
      <c r="S42" s="7">
        <v>129.177507400512</v>
      </c>
      <c r="T42" s="8">
        <v>3.42359850811273</v>
      </c>
      <c r="U42" s="8">
        <v>18.0283293344335</v>
      </c>
      <c r="V42" s="8">
        <v>4.2459780185999</v>
      </c>
      <c r="W42" s="8">
        <v>0.462075022199831</v>
      </c>
      <c r="X42" s="8">
        <v>0.120612365876635</v>
      </c>
      <c r="Y42" s="8">
        <v>0.0216147788651011</v>
      </c>
      <c r="Z42" s="8">
        <v>0.147019654689776</v>
      </c>
      <c r="AA42" s="8">
        <v>0.533077098314277</v>
      </c>
      <c r="AB42" s="8">
        <v>0.121241868034622</v>
      </c>
      <c r="AC42" s="8">
        <v>0.147504171281421</v>
      </c>
      <c r="AD42" s="8">
        <v>0.534110131147697</v>
      </c>
      <c r="AE42" s="8">
        <v>0.13516352077187</v>
      </c>
      <c r="AF42" s="8">
        <v>0.168474578117464</v>
      </c>
      <c r="AG42" s="8">
        <v>0.395598452779493</v>
      </c>
      <c r="AH42" s="8">
        <v>10.0</v>
      </c>
      <c r="AI42" s="8">
        <v>3.42359850811273</v>
      </c>
      <c r="AJ42" s="8">
        <v>18.0283293344336</v>
      </c>
      <c r="AK42" s="8">
        <v>4.2459780185999</v>
      </c>
      <c r="AL42" s="8">
        <v>0.46200903874809</v>
      </c>
      <c r="AM42" s="8">
        <v>3.24321996992614</v>
      </c>
      <c r="AN42" s="8">
        <v>15.5688371727813</v>
      </c>
      <c r="AO42" s="8">
        <v>3.94573658177803</v>
      </c>
      <c r="AP42" s="8">
        <v>0.534110131147697</v>
      </c>
      <c r="AQ42" s="8">
        <v>3.61562418064754</v>
      </c>
      <c r="AR42" s="8">
        <v>20.3102995043311</v>
      </c>
      <c r="AS42" s="8">
        <v>4.50669496464217</v>
      </c>
      <c r="AT42" s="8">
        <v>0.395598452779493</v>
      </c>
      <c r="AU42" s="9">
        <f t="shared" si="3"/>
        <v>0.1552111466</v>
      </c>
      <c r="AV42" s="10">
        <f t="shared" si="4"/>
        <v>0.179856155</v>
      </c>
      <c r="AW42" s="10">
        <f t="shared" si="5"/>
        <v>0.03966337937</v>
      </c>
      <c r="AX42" s="11">
        <f t="shared" si="6"/>
        <v>-0.00089002728</v>
      </c>
      <c r="AY42" s="9">
        <f t="shared" si="7"/>
        <v>0.05182209028</v>
      </c>
      <c r="AZ42" s="11">
        <f t="shared" si="8"/>
        <v>0.0102612572</v>
      </c>
      <c r="BA42" s="9">
        <f t="shared" si="9"/>
        <v>-0.05118586361</v>
      </c>
      <c r="BB42" s="10">
        <f t="shared" si="10"/>
        <v>-0.1618635816</v>
      </c>
      <c r="BC42" s="11">
        <f t="shared" si="11"/>
        <v>-0.156403295</v>
      </c>
      <c r="BD42" s="4">
        <f t="shared" ref="BD42:BE42" si="51">((R42-R$68)/R$69)</f>
        <v>-0.5196341683</v>
      </c>
      <c r="BE42" s="4">
        <f t="shared" si="51"/>
        <v>-1.019070879</v>
      </c>
      <c r="BF42" s="4"/>
    </row>
    <row r="43">
      <c r="A43" s="3" t="s">
        <v>72</v>
      </c>
      <c r="B43" s="4">
        <f t="shared" si="2"/>
        <v>0.2366918789</v>
      </c>
      <c r="C43" s="3" t="s">
        <v>58</v>
      </c>
      <c r="D43" s="3" t="s">
        <v>59</v>
      </c>
      <c r="E43" s="5" t="s">
        <v>76</v>
      </c>
      <c r="F43" s="3" t="s">
        <v>61</v>
      </c>
      <c r="G43" s="5" t="s">
        <v>77</v>
      </c>
      <c r="H43" s="5" t="s">
        <v>63</v>
      </c>
      <c r="I43" s="6">
        <v>150.0</v>
      </c>
      <c r="J43" s="5" t="s">
        <v>82</v>
      </c>
      <c r="K43" s="3" t="s">
        <v>65</v>
      </c>
      <c r="L43" s="5" t="s">
        <v>83</v>
      </c>
      <c r="M43" s="3" t="s">
        <v>67</v>
      </c>
      <c r="N43" s="3" t="s">
        <v>74</v>
      </c>
      <c r="O43" s="3" t="s">
        <v>69</v>
      </c>
      <c r="P43" s="5" t="s">
        <v>70</v>
      </c>
      <c r="Q43" s="3"/>
      <c r="R43" s="7">
        <v>614.188953638076</v>
      </c>
      <c r="S43" s="7">
        <v>332.19306063652</v>
      </c>
      <c r="T43" s="8">
        <v>3.1961275508693</v>
      </c>
      <c r="U43" s="8">
        <v>15.2882156129621</v>
      </c>
      <c r="V43" s="8">
        <v>3.9100147842383</v>
      </c>
      <c r="W43" s="8">
        <v>0.538832761687484</v>
      </c>
      <c r="X43" s="8">
        <v>0.0974499640645335</v>
      </c>
      <c r="Y43" s="8">
        <v>0.0134940187222994</v>
      </c>
      <c r="Z43" s="8">
        <v>0.116163758213564</v>
      </c>
      <c r="AA43" s="8">
        <v>0.684350723908824</v>
      </c>
      <c r="AB43" s="8">
        <v>0.0977563871968326</v>
      </c>
      <c r="AC43" s="8">
        <v>0.116339056492831</v>
      </c>
      <c r="AD43" s="8">
        <v>0.685900058033807</v>
      </c>
      <c r="AE43" s="8">
        <v>0.12515008491693</v>
      </c>
      <c r="AF43" s="8">
        <v>0.154265265961075</v>
      </c>
      <c r="AG43" s="8">
        <v>0.452722350812909</v>
      </c>
      <c r="AH43" s="8">
        <v>10.0</v>
      </c>
      <c r="AI43" s="8">
        <v>2.83030572275776</v>
      </c>
      <c r="AJ43" s="8">
        <v>11.9887883285127</v>
      </c>
      <c r="AK43" s="8">
        <v>3.46248297158452</v>
      </c>
      <c r="AL43" s="8">
        <v>0.538681090455647</v>
      </c>
      <c r="AM43" s="8">
        <v>2.39503148632242</v>
      </c>
      <c r="AN43" s="8">
        <v>8.12424933340169</v>
      </c>
      <c r="AO43" s="8">
        <v>2.85030688407436</v>
      </c>
      <c r="AP43" s="8">
        <v>0.685900058033807</v>
      </c>
      <c r="AQ43" s="8">
        <v>3.06617708046498</v>
      </c>
      <c r="AR43" s="8">
        <v>14.2846128122952</v>
      </c>
      <c r="AS43" s="8">
        <v>3.77949901604633</v>
      </c>
      <c r="AT43" s="8">
        <v>0.452722350812909</v>
      </c>
      <c r="AU43" s="9">
        <f t="shared" si="3"/>
        <v>-0.2930189265</v>
      </c>
      <c r="AV43" s="10">
        <f t="shared" si="4"/>
        <v>-0.3643850598</v>
      </c>
      <c r="AW43" s="10">
        <f t="shared" si="5"/>
        <v>-0.3744156389</v>
      </c>
      <c r="AX43" s="11">
        <f t="shared" si="6"/>
        <v>-0.4756800499</v>
      </c>
      <c r="AY43" s="9">
        <f t="shared" si="7"/>
        <v>-0.4495928472</v>
      </c>
      <c r="AZ43" s="11">
        <f t="shared" si="8"/>
        <v>-0.5521632019</v>
      </c>
      <c r="BA43" s="9">
        <f t="shared" si="9"/>
        <v>-0.29547657</v>
      </c>
      <c r="BB43" s="10">
        <f t="shared" si="10"/>
        <v>-0.2532433609</v>
      </c>
      <c r="BC43" s="11">
        <f t="shared" si="11"/>
        <v>-0.305151784</v>
      </c>
      <c r="BD43" s="4">
        <f t="shared" ref="BD43:BE43" si="52">((R43-R$68)/R$69)</f>
        <v>-0.1614042648</v>
      </c>
      <c r="BE43" s="4">
        <f t="shared" si="52"/>
        <v>0.9209210356</v>
      </c>
      <c r="BF43" s="4"/>
    </row>
    <row r="44">
      <c r="A44" s="3" t="s">
        <v>57</v>
      </c>
      <c r="B44" s="4">
        <f t="shared" si="2"/>
        <v>0.2273702058</v>
      </c>
      <c r="C44" s="3" t="s">
        <v>58</v>
      </c>
      <c r="D44" s="3" t="s">
        <v>59</v>
      </c>
      <c r="E44" s="5" t="s">
        <v>60</v>
      </c>
      <c r="F44" s="3" t="s">
        <v>61</v>
      </c>
      <c r="G44" s="5" t="s">
        <v>62</v>
      </c>
      <c r="H44" s="5" t="s">
        <v>80</v>
      </c>
      <c r="I44" s="6">
        <v>150.0</v>
      </c>
      <c r="J44" s="5" t="s">
        <v>82</v>
      </c>
      <c r="K44" s="3" t="s">
        <v>81</v>
      </c>
      <c r="L44" s="5" t="s">
        <v>66</v>
      </c>
      <c r="M44" s="3" t="s">
        <v>78</v>
      </c>
      <c r="N44" s="3" t="s">
        <v>68</v>
      </c>
      <c r="O44" s="3" t="s">
        <v>69</v>
      </c>
      <c r="P44" s="5" t="s">
        <v>87</v>
      </c>
      <c r="Q44" s="5" t="s">
        <v>75</v>
      </c>
      <c r="R44" s="7">
        <v>692.986011266708</v>
      </c>
      <c r="S44" s="7">
        <v>134.139004945755</v>
      </c>
      <c r="T44" s="8">
        <v>3.29322391852486</v>
      </c>
      <c r="U44" s="8">
        <v>15.9899613291495</v>
      </c>
      <c r="V44" s="8">
        <v>3.99874496925591</v>
      </c>
      <c r="W44" s="8">
        <v>0.528543654843664</v>
      </c>
      <c r="X44" s="8">
        <v>0.103942916107838</v>
      </c>
      <c r="Y44" s="8">
        <v>0.0152458684113612</v>
      </c>
      <c r="Z44" s="8">
        <v>0.123474160905677</v>
      </c>
      <c r="AA44" s="8">
        <v>0.674353851329856</v>
      </c>
      <c r="AB44" s="8">
        <v>0.104171658133199</v>
      </c>
      <c r="AC44" s="8">
        <v>0.123554716824717</v>
      </c>
      <c r="AD44" s="8">
        <v>0.676522400212253</v>
      </c>
      <c r="AE44" s="8">
        <v>0.13459447753968</v>
      </c>
      <c r="AF44" s="8">
        <v>0.164390422105394</v>
      </c>
      <c r="AG44" s="8">
        <v>0.431902090154442</v>
      </c>
      <c r="AH44" s="8">
        <v>10.0</v>
      </c>
      <c r="AI44" s="8">
        <v>3.29322391852487</v>
      </c>
      <c r="AJ44" s="8">
        <v>15.9899613291495</v>
      </c>
      <c r="AK44" s="8">
        <v>3.99874496925591</v>
      </c>
      <c r="AL44" s="8">
        <v>0.528387647370482</v>
      </c>
      <c r="AM44" s="8">
        <v>2.78659185506309</v>
      </c>
      <c r="AN44" s="8">
        <v>10.9236111500177</v>
      </c>
      <c r="AO44" s="8">
        <v>3.30508867506119</v>
      </c>
      <c r="AP44" s="8">
        <v>0.676522400212253</v>
      </c>
      <c r="AQ44" s="8">
        <v>3.60040227418646</v>
      </c>
      <c r="AR44" s="8">
        <v>19.3375118978127</v>
      </c>
      <c r="AS44" s="8">
        <v>4.39744379131931</v>
      </c>
      <c r="AT44" s="8">
        <v>0.431902090154442</v>
      </c>
      <c r="AU44" s="9">
        <f t="shared" si="3"/>
        <v>-0.1705808389</v>
      </c>
      <c r="AV44" s="10">
        <f t="shared" si="4"/>
        <v>-0.2383768686</v>
      </c>
      <c r="AW44" s="10">
        <f t="shared" si="5"/>
        <v>0.02819171616</v>
      </c>
      <c r="AX44" s="11">
        <f t="shared" si="6"/>
        <v>-0.07222068741</v>
      </c>
      <c r="AY44" s="9">
        <f t="shared" si="7"/>
        <v>-0.05836257452</v>
      </c>
      <c r="AZ44" s="11">
        <f t="shared" si="8"/>
        <v>-0.1672126331</v>
      </c>
      <c r="BA44" s="9">
        <f t="shared" si="9"/>
        <v>-0.2803841676</v>
      </c>
      <c r="BB44" s="10">
        <f t="shared" si="10"/>
        <v>-0.2199376712</v>
      </c>
      <c r="BC44" s="11">
        <f t="shared" si="11"/>
        <v>-0.2851818723</v>
      </c>
      <c r="BD44" s="4">
        <f t="shared" ref="BD44:BE44" si="53">((R44-R$68)/R$69)</f>
        <v>-0.06534725387</v>
      </c>
      <c r="BE44" s="4">
        <f t="shared" si="53"/>
        <v>-0.9716594121</v>
      </c>
      <c r="BF44" s="4"/>
    </row>
    <row r="45">
      <c r="A45" s="3" t="s">
        <v>72</v>
      </c>
      <c r="B45" s="4">
        <f t="shared" si="2"/>
        <v>0.4305867429</v>
      </c>
      <c r="C45" s="3" t="s">
        <v>58</v>
      </c>
      <c r="D45" s="3" t="s">
        <v>59</v>
      </c>
      <c r="E45" s="5" t="s">
        <v>76</v>
      </c>
      <c r="F45" s="3" t="s">
        <v>61</v>
      </c>
      <c r="G45" s="5" t="s">
        <v>77</v>
      </c>
      <c r="H45" s="5" t="s">
        <v>80</v>
      </c>
      <c r="I45" s="6">
        <v>150.0</v>
      </c>
      <c r="J45" s="5" t="s">
        <v>82</v>
      </c>
      <c r="K45" s="3" t="s">
        <v>81</v>
      </c>
      <c r="L45" s="5" t="s">
        <v>83</v>
      </c>
      <c r="M45" s="3" t="s">
        <v>78</v>
      </c>
      <c r="N45" s="3" t="s">
        <v>68</v>
      </c>
      <c r="O45" s="3" t="s">
        <v>69</v>
      </c>
      <c r="P45" s="5" t="s">
        <v>92</v>
      </c>
      <c r="Q45" s="3"/>
      <c r="R45" s="7">
        <v>889.605242013931</v>
      </c>
      <c r="S45" s="7">
        <v>327.217785358428</v>
      </c>
      <c r="T45" s="8">
        <v>2.9823070089586</v>
      </c>
      <c r="U45" s="8">
        <v>13.727410672591</v>
      </c>
      <c r="V45" s="8">
        <v>3.70505204721756</v>
      </c>
      <c r="W45" s="8">
        <v>0.586031071466254</v>
      </c>
      <c r="X45" s="8">
        <v>0.0424576020119962</v>
      </c>
      <c r="Y45" s="8">
        <v>0.0028031033843867</v>
      </c>
      <c r="Z45" s="8">
        <v>0.0529443423265104</v>
      </c>
      <c r="AA45" s="8">
        <v>0.934757221686552</v>
      </c>
      <c r="AB45" s="8">
        <v>0.0422597663396237</v>
      </c>
      <c r="AC45" s="8">
        <v>0.0527677831335708</v>
      </c>
      <c r="AD45" s="8">
        <v>0.935683123259614</v>
      </c>
      <c r="AE45" s="8">
        <v>0.136307309738527</v>
      </c>
      <c r="AF45" s="8">
        <v>0.165959622623289</v>
      </c>
      <c r="AG45" s="8">
        <v>0.365730600762664</v>
      </c>
      <c r="AH45" s="8">
        <v>10.0</v>
      </c>
      <c r="AI45" s="8">
        <v>2.64095861636696</v>
      </c>
      <c r="AJ45" s="8">
        <v>10.7648286117005</v>
      </c>
      <c r="AK45" s="8">
        <v>3.28097982494567</v>
      </c>
      <c r="AL45" s="8">
        <v>0.585910337597837</v>
      </c>
      <c r="AM45" s="8">
        <v>1.03536427532077</v>
      </c>
      <c r="AN45" s="8">
        <v>1.67135947183315</v>
      </c>
      <c r="AO45" s="8">
        <v>1.29281068677248</v>
      </c>
      <c r="AP45" s="8">
        <v>0.935683123259614</v>
      </c>
      <c r="AQ45" s="8">
        <v>3.33952908859417</v>
      </c>
      <c r="AR45" s="8">
        <v>16.532443453844</v>
      </c>
      <c r="AS45" s="8">
        <v>4.06601075427058</v>
      </c>
      <c r="AT45" s="8">
        <v>0.365730600762663</v>
      </c>
      <c r="AU45" s="9">
        <f t="shared" si="3"/>
        <v>-1.352194789</v>
      </c>
      <c r="AV45" s="10">
        <f t="shared" si="4"/>
        <v>-1.474540029</v>
      </c>
      <c r="AW45" s="10">
        <f t="shared" si="5"/>
        <v>-0.1684097629</v>
      </c>
      <c r="AX45" s="11">
        <f t="shared" si="6"/>
        <v>-0.2886150437</v>
      </c>
      <c r="AY45" s="9">
        <f t="shared" si="7"/>
        <v>-0.6096174924</v>
      </c>
      <c r="AZ45" s="11">
        <f t="shared" si="8"/>
        <v>-0.6824535074</v>
      </c>
      <c r="BA45" s="9">
        <f t="shared" si="9"/>
        <v>-0.697477432</v>
      </c>
      <c r="BB45" s="10">
        <f t="shared" si="10"/>
        <v>-0.1140846691</v>
      </c>
      <c r="BC45" s="11">
        <f t="shared" si="11"/>
        <v>-0.3967794239</v>
      </c>
      <c r="BD45" s="4">
        <f t="shared" ref="BD45:BE45" si="54">((R45-R$68)/R$69)</f>
        <v>0.1743400666</v>
      </c>
      <c r="BE45" s="4">
        <f t="shared" si="54"/>
        <v>0.8733779107</v>
      </c>
      <c r="BF45" s="4"/>
    </row>
    <row r="46">
      <c r="A46" s="3" t="s">
        <v>72</v>
      </c>
      <c r="B46" s="4">
        <f t="shared" si="2"/>
        <v>-0.1624254454</v>
      </c>
      <c r="C46" s="3" t="s">
        <v>58</v>
      </c>
      <c r="D46" s="3" t="s">
        <v>59</v>
      </c>
      <c r="E46" s="5" t="s">
        <v>60</v>
      </c>
      <c r="F46" s="3" t="s">
        <v>73</v>
      </c>
      <c r="G46" s="5" t="s">
        <v>60</v>
      </c>
      <c r="H46" s="5" t="s">
        <v>80</v>
      </c>
      <c r="I46" s="6">
        <v>150.0</v>
      </c>
      <c r="J46" s="5" t="s">
        <v>82</v>
      </c>
      <c r="K46" s="3" t="s">
        <v>81</v>
      </c>
      <c r="L46" s="5" t="s">
        <v>83</v>
      </c>
      <c r="M46" s="3" t="s">
        <v>89</v>
      </c>
      <c r="N46" s="3" t="s">
        <v>68</v>
      </c>
      <c r="O46" s="3" t="s">
        <v>69</v>
      </c>
      <c r="P46" s="5" t="s">
        <v>92</v>
      </c>
      <c r="Q46" s="3"/>
      <c r="R46" s="7">
        <v>518.463577270507</v>
      </c>
      <c r="S46" s="7">
        <v>136.761530160903</v>
      </c>
      <c r="T46" s="8">
        <v>3.8632912766075</v>
      </c>
      <c r="U46" s="8">
        <v>24.6134171929491</v>
      </c>
      <c r="V46" s="8">
        <v>4.96119110627167</v>
      </c>
      <c r="W46" s="8">
        <v>0.262421905772219</v>
      </c>
      <c r="X46" s="8">
        <v>0.132465916350079</v>
      </c>
      <c r="Y46" s="8">
        <v>0.0262538833758178</v>
      </c>
      <c r="Z46" s="8">
        <v>0.16203050137495</v>
      </c>
      <c r="AA46" s="8">
        <v>0.418396634255637</v>
      </c>
      <c r="AB46" s="8">
        <v>0.134255769453807</v>
      </c>
      <c r="AC46" s="8">
        <v>0.163256280751707</v>
      </c>
      <c r="AD46" s="8">
        <v>0.422768900101908</v>
      </c>
      <c r="AE46" s="8">
        <v>0.145044665858107</v>
      </c>
      <c r="AF46" s="8">
        <v>0.194231675535424</v>
      </c>
      <c r="AG46" s="8">
        <v>0.195195335200693</v>
      </c>
      <c r="AH46" s="8">
        <v>10.0</v>
      </c>
      <c r="AI46" s="8">
        <v>3.8632912766075</v>
      </c>
      <c r="AJ46" s="8">
        <v>24.6134171929491</v>
      </c>
      <c r="AK46" s="8">
        <v>4.96119110627167</v>
      </c>
      <c r="AL46" s="8">
        <v>0.262215422606067</v>
      </c>
      <c r="AM46" s="8">
        <v>3.59134183288935</v>
      </c>
      <c r="AN46" s="8">
        <v>19.0716105364172</v>
      </c>
      <c r="AO46" s="8">
        <v>4.36710551010818</v>
      </c>
      <c r="AP46" s="8">
        <v>0.422768900101908</v>
      </c>
      <c r="AQ46" s="8">
        <v>3.87994481170437</v>
      </c>
      <c r="AR46" s="8">
        <v>26.9952706470054</v>
      </c>
      <c r="AS46" s="8">
        <v>5.19569732057261</v>
      </c>
      <c r="AT46" s="8">
        <v>0.195195335200693</v>
      </c>
      <c r="AU46" s="9">
        <f t="shared" si="3"/>
        <v>0.4035868143</v>
      </c>
      <c r="AV46" s="10">
        <f t="shared" si="4"/>
        <v>0.4549376766</v>
      </c>
      <c r="AW46" s="10">
        <f t="shared" si="5"/>
        <v>0.2388629518</v>
      </c>
      <c r="AX46" s="11">
        <f t="shared" si="6"/>
        <v>0.4489631998</v>
      </c>
      <c r="AY46" s="9">
        <f t="shared" si="7"/>
        <v>0.423423646</v>
      </c>
      <c r="AZ46" s="11">
        <f t="shared" si="8"/>
        <v>0.5236701619</v>
      </c>
      <c r="BA46" s="9">
        <f t="shared" si="9"/>
        <v>0.1280067122</v>
      </c>
      <c r="BB46" s="10">
        <f t="shared" si="10"/>
        <v>0.1587166534</v>
      </c>
      <c r="BC46" s="11">
        <f t="shared" si="11"/>
        <v>0.2312085901</v>
      </c>
      <c r="BD46" s="4">
        <f t="shared" ref="BD46:BE46" si="55">((R46-R$68)/R$69)</f>
        <v>-0.2780976263</v>
      </c>
      <c r="BE46" s="4">
        <f t="shared" si="55"/>
        <v>-0.9465988804</v>
      </c>
      <c r="BF46" s="4"/>
    </row>
    <row r="47">
      <c r="A47" s="3" t="s">
        <v>72</v>
      </c>
      <c r="B47" s="4">
        <f t="shared" si="2"/>
        <v>-0.5721107696</v>
      </c>
      <c r="C47" s="3" t="s">
        <v>58</v>
      </c>
      <c r="D47" s="3" t="s">
        <v>59</v>
      </c>
      <c r="E47" s="5" t="s">
        <v>60</v>
      </c>
      <c r="F47" s="3" t="s">
        <v>73</v>
      </c>
      <c r="G47" s="5" t="s">
        <v>60</v>
      </c>
      <c r="H47" s="5" t="s">
        <v>63</v>
      </c>
      <c r="I47" s="6">
        <v>150.0</v>
      </c>
      <c r="J47" s="5" t="s">
        <v>82</v>
      </c>
      <c r="K47" s="3" t="s">
        <v>65</v>
      </c>
      <c r="L47" s="5" t="s">
        <v>66</v>
      </c>
      <c r="M47" s="3" t="s">
        <v>89</v>
      </c>
      <c r="N47" s="3" t="s">
        <v>68</v>
      </c>
      <c r="O47" s="3" t="s">
        <v>69</v>
      </c>
      <c r="P47" s="5" t="s">
        <v>71</v>
      </c>
      <c r="Q47" s="5" t="s">
        <v>70</v>
      </c>
      <c r="R47" s="7">
        <v>637.232214927673</v>
      </c>
      <c r="S47" s="7">
        <v>134.924242258071</v>
      </c>
      <c r="T47" s="8">
        <v>4.45197472937108</v>
      </c>
      <c r="U47" s="8">
        <v>32.7992140073073</v>
      </c>
      <c r="V47" s="8">
        <v>5.72705980476084</v>
      </c>
      <c r="W47" s="8">
        <v>-0.00228579980383286</v>
      </c>
      <c r="X47" s="8">
        <v>0.160286582280926</v>
      </c>
      <c r="Y47" s="8">
        <v>0.0396198863093224</v>
      </c>
      <c r="Z47" s="8">
        <v>0.199047447382081</v>
      </c>
      <c r="AA47" s="8">
        <v>0.108712474122546</v>
      </c>
      <c r="AB47" s="8">
        <v>0.163695148575434</v>
      </c>
      <c r="AC47" s="8">
        <v>0.202013087666329</v>
      </c>
      <c r="AD47" s="8">
        <v>0.105002680826831</v>
      </c>
      <c r="AE47" s="8">
        <v>0.162164646915586</v>
      </c>
      <c r="AF47" s="8">
        <v>0.215271155935826</v>
      </c>
      <c r="AG47" s="8">
        <v>-0.0275467663192752</v>
      </c>
      <c r="AH47" s="8">
        <v>10.0</v>
      </c>
      <c r="AI47" s="8">
        <v>4.45197472937109</v>
      </c>
      <c r="AJ47" s="8">
        <v>32.7992140073073</v>
      </c>
      <c r="AK47" s="8">
        <v>5.72705980476084</v>
      </c>
      <c r="AL47" s="8">
        <v>-0.00222100546452996</v>
      </c>
      <c r="AM47" s="8">
        <v>4.37884522439287</v>
      </c>
      <c r="AN47" s="8">
        <v>29.2015958500346</v>
      </c>
      <c r="AO47" s="8">
        <v>5.40385009507431</v>
      </c>
      <c r="AP47" s="8">
        <v>0.105002680826831</v>
      </c>
      <c r="AQ47" s="8">
        <v>4.33790430499195</v>
      </c>
      <c r="AR47" s="8">
        <v>33.160361652932</v>
      </c>
      <c r="AS47" s="8">
        <v>5.75850342128335</v>
      </c>
      <c r="AT47" s="8">
        <v>-0.0275467663192754</v>
      </c>
      <c r="AU47" s="9">
        <f t="shared" si="3"/>
        <v>0.965449488</v>
      </c>
      <c r="AV47" s="10">
        <f t="shared" si="4"/>
        <v>1.131753784</v>
      </c>
      <c r="AW47" s="10">
        <f t="shared" si="5"/>
        <v>0.583994298</v>
      </c>
      <c r="AX47" s="11">
        <f t="shared" si="6"/>
        <v>0.8164222344</v>
      </c>
      <c r="AY47" s="9">
        <f t="shared" si="7"/>
        <v>0.9209430562</v>
      </c>
      <c r="AZ47" s="11">
        <f t="shared" si="8"/>
        <v>1.073441715</v>
      </c>
      <c r="BA47" s="9">
        <f t="shared" si="9"/>
        <v>0.6394196615</v>
      </c>
      <c r="BB47" s="10">
        <f t="shared" si="10"/>
        <v>0.5150320446</v>
      </c>
      <c r="BC47" s="11">
        <f t="shared" si="11"/>
        <v>0.7442315004</v>
      </c>
      <c r="BD47" s="4">
        <f t="shared" ref="BD47:BE47" si="56">((R47-R$68)/R$69)</f>
        <v>-0.1333135357</v>
      </c>
      <c r="BE47" s="4">
        <f t="shared" si="56"/>
        <v>-0.9641557799</v>
      </c>
      <c r="BF47" s="4"/>
    </row>
    <row r="48">
      <c r="A48" s="3" t="s">
        <v>57</v>
      </c>
      <c r="B48" s="4">
        <f t="shared" si="2"/>
        <v>-1.124208472</v>
      </c>
      <c r="C48" s="3" t="s">
        <v>58</v>
      </c>
      <c r="D48" s="3" t="s">
        <v>59</v>
      </c>
      <c r="E48" s="5" t="s">
        <v>76</v>
      </c>
      <c r="F48" s="3" t="s">
        <v>73</v>
      </c>
      <c r="G48" s="5" t="s">
        <v>85</v>
      </c>
      <c r="H48" s="5" t="s">
        <v>63</v>
      </c>
      <c r="I48" s="6">
        <v>150.0</v>
      </c>
      <c r="J48" s="5" t="s">
        <v>82</v>
      </c>
      <c r="K48" s="3" t="s">
        <v>65</v>
      </c>
      <c r="L48" s="5" t="s">
        <v>66</v>
      </c>
      <c r="M48" s="3" t="s">
        <v>78</v>
      </c>
      <c r="N48" s="3" t="s">
        <v>74</v>
      </c>
      <c r="O48" s="3" t="s">
        <v>69</v>
      </c>
      <c r="P48" s="5" t="s">
        <v>71</v>
      </c>
      <c r="Q48" s="5" t="s">
        <v>70</v>
      </c>
      <c r="R48" s="7">
        <v>658.823311805725</v>
      </c>
      <c r="S48" s="7">
        <v>326.405558347702</v>
      </c>
      <c r="T48" s="8">
        <v>5.07400347333312</v>
      </c>
      <c r="U48" s="8">
        <v>40.8092695168962</v>
      </c>
      <c r="V48" s="8">
        <v>6.38821332744111</v>
      </c>
      <c r="W48" s="8">
        <v>-0.248276477186462</v>
      </c>
      <c r="X48" s="8">
        <v>0.174733362617384</v>
      </c>
      <c r="Y48" s="8">
        <v>0.0443754907400408</v>
      </c>
      <c r="Z48" s="8">
        <v>0.210654909128747</v>
      </c>
      <c r="AA48" s="8">
        <v>-0.0748952074869995</v>
      </c>
      <c r="AB48" s="8">
        <v>0.177234727596576</v>
      </c>
      <c r="AC48" s="8">
        <v>0.212591829224502</v>
      </c>
      <c r="AD48" s="8">
        <v>-0.0715990278465434</v>
      </c>
      <c r="AE48" s="8">
        <v>0.188801353527601</v>
      </c>
      <c r="AF48" s="8">
        <v>0.247376760159367</v>
      </c>
      <c r="AG48" s="8">
        <v>-0.424495622146931</v>
      </c>
      <c r="AH48" s="8">
        <v>10.0</v>
      </c>
      <c r="AI48" s="8">
        <v>5.07400347333316</v>
      </c>
      <c r="AJ48" s="8">
        <v>40.8092695168962</v>
      </c>
      <c r="AK48" s="8">
        <v>6.38821332744111</v>
      </c>
      <c r="AL48" s="8">
        <v>-0.248667080983849</v>
      </c>
      <c r="AM48" s="8">
        <v>4.90349413017224</v>
      </c>
      <c r="AN48" s="8">
        <v>34.5944804712729</v>
      </c>
      <c r="AO48" s="8">
        <v>5.88170727521125</v>
      </c>
      <c r="AP48" s="8">
        <v>-0.0715990278465432</v>
      </c>
      <c r="AQ48" s="8">
        <v>5.22350411426403</v>
      </c>
      <c r="AR48" s="8">
        <v>46.8415729161984</v>
      </c>
      <c r="AS48" s="8">
        <v>6.84409036440917</v>
      </c>
      <c r="AT48" s="8">
        <v>-0.42449562214693</v>
      </c>
      <c r="AU48" s="9">
        <f t="shared" si="3"/>
        <v>1.223857929</v>
      </c>
      <c r="AV48" s="10">
        <f t="shared" si="4"/>
        <v>1.316491982</v>
      </c>
      <c r="AW48" s="10">
        <f t="shared" si="5"/>
        <v>1.251407593</v>
      </c>
      <c r="AX48" s="11">
        <f t="shared" si="6"/>
        <v>1.525207604</v>
      </c>
      <c r="AY48" s="9">
        <f t="shared" si="7"/>
        <v>1.446643876</v>
      </c>
      <c r="AZ48" s="11">
        <f t="shared" si="8"/>
        <v>1.548044475</v>
      </c>
      <c r="BA48" s="9">
        <f t="shared" si="9"/>
        <v>0.9236424492</v>
      </c>
      <c r="BB48" s="10">
        <f t="shared" si="10"/>
        <v>1.150021954</v>
      </c>
      <c r="BC48" s="11">
        <f t="shared" si="11"/>
        <v>1.222352022</v>
      </c>
      <c r="BD48" s="4">
        <f t="shared" ref="BD48:BE48" si="57">((R48-R$68)/R$69)</f>
        <v>-0.1069930576</v>
      </c>
      <c r="BE48" s="4">
        <f t="shared" si="57"/>
        <v>0.8656163682</v>
      </c>
      <c r="BF48" s="4"/>
    </row>
    <row r="49">
      <c r="A49" s="3" t="s">
        <v>57</v>
      </c>
      <c r="B49" s="4">
        <f t="shared" si="2"/>
        <v>-0.6255287802</v>
      </c>
      <c r="C49" s="3" t="s">
        <v>58</v>
      </c>
      <c r="D49" s="3" t="s">
        <v>59</v>
      </c>
      <c r="E49" s="5" t="s">
        <v>76</v>
      </c>
      <c r="F49" s="3" t="s">
        <v>73</v>
      </c>
      <c r="G49" s="5" t="s">
        <v>85</v>
      </c>
      <c r="H49" s="5" t="s">
        <v>80</v>
      </c>
      <c r="I49" s="6">
        <v>150.0</v>
      </c>
      <c r="J49" s="5" t="s">
        <v>82</v>
      </c>
      <c r="K49" s="3" t="s">
        <v>81</v>
      </c>
      <c r="L49" s="5" t="s">
        <v>83</v>
      </c>
      <c r="M49" s="3" t="s">
        <v>67</v>
      </c>
      <c r="N49" s="3" t="s">
        <v>68</v>
      </c>
      <c r="O49" s="3" t="s">
        <v>69</v>
      </c>
      <c r="P49" s="5" t="s">
        <v>87</v>
      </c>
      <c r="Q49" s="3"/>
      <c r="R49" s="7">
        <v>2395.49100732803</v>
      </c>
      <c r="S49" s="7">
        <v>316.036942243576</v>
      </c>
      <c r="T49" s="8">
        <v>4.32116304233828</v>
      </c>
      <c r="U49" s="8">
        <v>28.971010405598</v>
      </c>
      <c r="V49" s="8">
        <v>5.38247251786742</v>
      </c>
      <c r="W49" s="8">
        <v>0.11675134297523</v>
      </c>
      <c r="X49" s="8">
        <v>0.115922751831048</v>
      </c>
      <c r="Y49" s="8">
        <v>0.0191140888054317</v>
      </c>
      <c r="Z49" s="8">
        <v>0.138253711723887</v>
      </c>
      <c r="AA49" s="8">
        <v>0.540044189364754</v>
      </c>
      <c r="AB49" s="8">
        <v>0.116905432831995</v>
      </c>
      <c r="AC49" s="8">
        <v>0.138769409076238</v>
      </c>
      <c r="AD49" s="8">
        <v>0.545914052404058</v>
      </c>
      <c r="AE49" s="8">
        <v>0.160684336040808</v>
      </c>
      <c r="AF49" s="8">
        <v>0.206983883931095</v>
      </c>
      <c r="AG49" s="8">
        <v>0.00486271901587087</v>
      </c>
      <c r="AH49" s="8">
        <v>10.0</v>
      </c>
      <c r="AI49" s="8">
        <v>4.3211630423383</v>
      </c>
      <c r="AJ49" s="8">
        <v>28.971010405598</v>
      </c>
      <c r="AK49" s="8">
        <v>5.38247251786742</v>
      </c>
      <c r="AL49" s="8">
        <v>0.116328531003478</v>
      </c>
      <c r="AM49" s="8">
        <v>3.23438364168537</v>
      </c>
      <c r="AN49" s="8">
        <v>14.7401245489104</v>
      </c>
      <c r="AO49" s="8">
        <v>3.8392869844426</v>
      </c>
      <c r="AP49" s="8">
        <v>0.545914052404058</v>
      </c>
      <c r="AQ49" s="8">
        <v>4.44559996379605</v>
      </c>
      <c r="AR49" s="8">
        <v>32.7934221132676</v>
      </c>
      <c r="AS49" s="8">
        <v>5.72655412209363</v>
      </c>
      <c r="AT49" s="8">
        <v>0.00486271901587065</v>
      </c>
      <c r="AU49" s="9">
        <f t="shared" si="3"/>
        <v>0.072448495</v>
      </c>
      <c r="AV49" s="10">
        <f t="shared" si="4"/>
        <v>0.02731965304</v>
      </c>
      <c r="AW49" s="10">
        <f t="shared" si="5"/>
        <v>0.6651568206</v>
      </c>
      <c r="AX49" s="11">
        <f t="shared" si="6"/>
        <v>0.7955623706</v>
      </c>
      <c r="AY49" s="9">
        <f t="shared" si="7"/>
        <v>0.8103889832</v>
      </c>
      <c r="AZ49" s="11">
        <f t="shared" si="8"/>
        <v>0.8260830118</v>
      </c>
      <c r="BA49" s="9">
        <f t="shared" si="9"/>
        <v>-0.07018309433</v>
      </c>
      <c r="BB49" s="10">
        <f t="shared" si="10"/>
        <v>0.4631873401</v>
      </c>
      <c r="BC49" s="11">
        <f t="shared" si="11"/>
        <v>0.5142381192</v>
      </c>
      <c r="BD49" s="4">
        <f t="shared" ref="BD49:BE49" si="58">((R49-R$68)/R$69)</f>
        <v>2.010079748</v>
      </c>
      <c r="BE49" s="4">
        <f t="shared" si="58"/>
        <v>0.7665351349</v>
      </c>
      <c r="BF49" s="4"/>
    </row>
    <row r="50">
      <c r="A50" s="3" t="s">
        <v>72</v>
      </c>
      <c r="B50" s="4">
        <f t="shared" si="2"/>
        <v>0.7660490738</v>
      </c>
      <c r="C50" s="3" t="s">
        <v>58</v>
      </c>
      <c r="D50" s="3" t="s">
        <v>59</v>
      </c>
      <c r="E50" s="5" t="s">
        <v>60</v>
      </c>
      <c r="F50" s="3" t="s">
        <v>61</v>
      </c>
      <c r="G50" s="5" t="s">
        <v>62</v>
      </c>
      <c r="H50" s="5" t="s">
        <v>80</v>
      </c>
      <c r="I50" s="6">
        <v>20.0</v>
      </c>
      <c r="J50" s="5" t="s">
        <v>94</v>
      </c>
      <c r="K50" s="3" t="s">
        <v>65</v>
      </c>
      <c r="L50" s="5" t="s">
        <v>83</v>
      </c>
      <c r="M50" s="3" t="s">
        <v>67</v>
      </c>
      <c r="N50" s="3" t="s">
        <v>74</v>
      </c>
      <c r="O50" s="3" t="s">
        <v>69</v>
      </c>
      <c r="P50" s="5" t="s">
        <v>75</v>
      </c>
      <c r="Q50" s="3"/>
      <c r="R50" s="8">
        <v>302.252524375915</v>
      </c>
      <c r="S50" s="8">
        <v>126.373441934585</v>
      </c>
      <c r="T50" s="8">
        <v>2.37866845145131</v>
      </c>
      <c r="U50" s="8">
        <v>9.10997751760927</v>
      </c>
      <c r="V50" s="8">
        <v>3.01827393018083</v>
      </c>
      <c r="W50" s="8">
        <v>0.731411841463608</v>
      </c>
      <c r="X50" s="8">
        <v>0.0728085745838342</v>
      </c>
      <c r="Y50" s="8">
        <v>0.0080194449412105</v>
      </c>
      <c r="Z50" s="8">
        <v>0.0895513536537025</v>
      </c>
      <c r="AA50" s="8">
        <v>0.828707602012925</v>
      </c>
      <c r="AB50" s="8">
        <v>0.0731118468709225</v>
      </c>
      <c r="AC50" s="8">
        <v>0.0897484315123917</v>
      </c>
      <c r="AD50" s="8">
        <v>0.829321315315395</v>
      </c>
      <c r="AE50" s="8">
        <v>0.0923238239471736</v>
      </c>
      <c r="AF50" s="8">
        <v>0.119079745019712</v>
      </c>
      <c r="AG50" s="8">
        <v>0.701910991636717</v>
      </c>
      <c r="AH50" s="12">
        <v>10.0</v>
      </c>
      <c r="AI50" s="8">
        <v>2.37866845145131</v>
      </c>
      <c r="AJ50" s="8">
        <v>9.10997751760927</v>
      </c>
      <c r="AK50" s="8">
        <v>3.01827393018083</v>
      </c>
      <c r="AL50" s="8">
        <v>0.731307797370999</v>
      </c>
      <c r="AM50" s="8">
        <v>1.95574190379717</v>
      </c>
      <c r="AN50" s="8">
        <v>5.76369919992752</v>
      </c>
      <c r="AO50" s="8">
        <v>2.40077054295647</v>
      </c>
      <c r="AP50" s="8">
        <v>0.829321315315395</v>
      </c>
      <c r="AQ50" s="8">
        <v>2.46966229058689</v>
      </c>
      <c r="AR50" s="8">
        <v>10.1466659988227</v>
      </c>
      <c r="AS50" s="8">
        <v>3.18538317927729</v>
      </c>
      <c r="AT50" s="8">
        <v>0.701910991636717</v>
      </c>
      <c r="AU50" s="9">
        <f t="shared" si="3"/>
        <v>-0.7633701273</v>
      </c>
      <c r="AV50" s="10">
        <f t="shared" si="4"/>
        <v>-0.8287412524</v>
      </c>
      <c r="AW50" s="10">
        <f t="shared" si="5"/>
        <v>-0.8239662116</v>
      </c>
      <c r="AX50" s="11">
        <f t="shared" si="6"/>
        <v>-0.8635813744</v>
      </c>
      <c r="AY50" s="9">
        <f t="shared" si="7"/>
        <v>-0.8312891693</v>
      </c>
      <c r="AZ50" s="11">
        <f t="shared" si="8"/>
        <v>-0.8710344325</v>
      </c>
      <c r="BA50" s="9">
        <f t="shared" si="9"/>
        <v>-0.5262987397</v>
      </c>
      <c r="BB50" s="10">
        <f t="shared" si="10"/>
        <v>-0.6518646698</v>
      </c>
      <c r="BC50" s="11">
        <f t="shared" si="11"/>
        <v>-0.6788594251</v>
      </c>
      <c r="BD50" s="4">
        <f t="shared" ref="BD50:BE50" si="59">((R50-R$68)/R$69)</f>
        <v>-0.5416682228</v>
      </c>
      <c r="BE50" s="4">
        <f t="shared" si="59"/>
        <v>-1.045866187</v>
      </c>
      <c r="BF50" s="3"/>
    </row>
    <row r="51">
      <c r="A51" s="3" t="s">
        <v>72</v>
      </c>
      <c r="B51" s="4">
        <f t="shared" si="2"/>
        <v>0.7350533282</v>
      </c>
      <c r="C51" s="3" t="s">
        <v>58</v>
      </c>
      <c r="D51" s="3" t="s">
        <v>59</v>
      </c>
      <c r="E51" s="5" t="s">
        <v>60</v>
      </c>
      <c r="F51" s="3" t="s">
        <v>73</v>
      </c>
      <c r="G51" s="5" t="s">
        <v>60</v>
      </c>
      <c r="H51" s="5" t="s">
        <v>80</v>
      </c>
      <c r="I51" s="6">
        <v>20.0</v>
      </c>
      <c r="J51" s="5" t="s">
        <v>94</v>
      </c>
      <c r="K51" s="3" t="s">
        <v>81</v>
      </c>
      <c r="L51" s="5" t="s">
        <v>66</v>
      </c>
      <c r="M51" s="3" t="s">
        <v>78</v>
      </c>
      <c r="N51" s="3" t="s">
        <v>74</v>
      </c>
      <c r="O51" s="3" t="s">
        <v>69</v>
      </c>
      <c r="P51" s="5" t="s">
        <v>75</v>
      </c>
      <c r="Q51" s="5" t="s">
        <v>82</v>
      </c>
      <c r="R51" s="8">
        <v>331.392376422882</v>
      </c>
      <c r="S51" s="8">
        <v>134.002805233001</v>
      </c>
      <c r="T51" s="8">
        <v>2.28239537949479</v>
      </c>
      <c r="U51" s="8">
        <v>9.08155704641395</v>
      </c>
      <c r="V51" s="8">
        <v>3.01356218558933</v>
      </c>
      <c r="W51" s="8">
        <v>0.728010598090174</v>
      </c>
      <c r="X51" s="8">
        <v>0.0676396794777131</v>
      </c>
      <c r="Y51" s="8">
        <v>0.00750703615269978</v>
      </c>
      <c r="Z51" s="8">
        <v>0.086643154101751</v>
      </c>
      <c r="AA51" s="8">
        <v>0.833696317200967</v>
      </c>
      <c r="AB51" s="8">
        <v>0.0689697043338075</v>
      </c>
      <c r="AC51" s="8">
        <v>0.0878522316317766</v>
      </c>
      <c r="AD51" s="8">
        <v>0.832846482110779</v>
      </c>
      <c r="AE51" s="8">
        <v>0.0990922919562936</v>
      </c>
      <c r="AF51" s="8">
        <v>0.130046238197438</v>
      </c>
      <c r="AG51" s="8">
        <v>0.639217087819502</v>
      </c>
      <c r="AH51" s="12">
        <v>10.0</v>
      </c>
      <c r="AI51" s="8">
        <v>2.28239537949479</v>
      </c>
      <c r="AJ51" s="8">
        <v>9.08155704641395</v>
      </c>
      <c r="AK51" s="8">
        <v>3.01356218558933</v>
      </c>
      <c r="AL51" s="8">
        <v>0.727781287943765</v>
      </c>
      <c r="AM51" s="8">
        <v>1.84493959092935</v>
      </c>
      <c r="AN51" s="8">
        <v>5.52272182413261</v>
      </c>
      <c r="AO51" s="8">
        <v>2.35004719615002</v>
      </c>
      <c r="AP51" s="8">
        <v>0.832846482110779</v>
      </c>
      <c r="AQ51" s="8">
        <v>2.65071880983085</v>
      </c>
      <c r="AR51" s="8">
        <v>12.1016102230918</v>
      </c>
      <c r="AS51" s="8">
        <v>3.47873687178146</v>
      </c>
      <c r="AT51" s="8">
        <v>0.639217087819502</v>
      </c>
      <c r="AU51" s="9">
        <f t="shared" si="3"/>
        <v>-0.8424246233</v>
      </c>
      <c r="AV51" s="10">
        <f t="shared" si="4"/>
        <v>-0.8618548839</v>
      </c>
      <c r="AW51" s="10">
        <f t="shared" si="5"/>
        <v>-0.6875168506</v>
      </c>
      <c r="AX51" s="11">
        <f t="shared" si="6"/>
        <v>-0.6720492205</v>
      </c>
      <c r="AY51" s="9">
        <f t="shared" si="7"/>
        <v>-0.9126533078</v>
      </c>
      <c r="AZ51" s="11">
        <f t="shared" si="8"/>
        <v>-0.8744167135</v>
      </c>
      <c r="BA51" s="9">
        <f t="shared" si="9"/>
        <v>-0.5319721431</v>
      </c>
      <c r="BB51" s="10">
        <f t="shared" si="10"/>
        <v>-0.551574681</v>
      </c>
      <c r="BC51" s="11">
        <f t="shared" si="11"/>
        <v>-0.6720177803</v>
      </c>
      <c r="BD51" s="4">
        <f t="shared" ref="BD51:BE51" si="60">((R51-R$68)/R$69)</f>
        <v>-0.5061454866</v>
      </c>
      <c r="BE51" s="4">
        <f t="shared" si="60"/>
        <v>-0.97296092</v>
      </c>
      <c r="BF51" s="3"/>
    </row>
    <row r="52">
      <c r="A52" s="3" t="s">
        <v>57</v>
      </c>
      <c r="B52" s="4">
        <f t="shared" si="2"/>
        <v>0.2533374978</v>
      </c>
      <c r="C52" s="3" t="s">
        <v>58</v>
      </c>
      <c r="D52" s="3" t="s">
        <v>59</v>
      </c>
      <c r="E52" s="5" t="s">
        <v>76</v>
      </c>
      <c r="F52" s="3" t="s">
        <v>73</v>
      </c>
      <c r="G52" s="5" t="s">
        <v>85</v>
      </c>
      <c r="H52" s="5" t="s">
        <v>63</v>
      </c>
      <c r="I52" s="6">
        <v>20.0</v>
      </c>
      <c r="J52" s="5" t="s">
        <v>94</v>
      </c>
      <c r="K52" s="3" t="s">
        <v>65</v>
      </c>
      <c r="L52" s="5" t="s">
        <v>66</v>
      </c>
      <c r="M52" s="3" t="s">
        <v>67</v>
      </c>
      <c r="N52" s="3" t="s">
        <v>68</v>
      </c>
      <c r="O52" s="3" t="s">
        <v>69</v>
      </c>
      <c r="P52" s="5" t="s">
        <v>71</v>
      </c>
      <c r="Q52" s="5" t="s">
        <v>75</v>
      </c>
      <c r="R52" s="8">
        <v>284.969317197799</v>
      </c>
      <c r="S52" s="8">
        <v>355.58923125267</v>
      </c>
      <c r="T52" s="8">
        <v>2.84895699404161</v>
      </c>
      <c r="U52" s="8">
        <v>13.7728072081746</v>
      </c>
      <c r="V52" s="8">
        <v>3.71117329266293</v>
      </c>
      <c r="W52" s="8">
        <v>0.578885733880138</v>
      </c>
      <c r="X52" s="8">
        <v>0.0912552518685481</v>
      </c>
      <c r="Y52" s="8">
        <v>0.0127389225279874</v>
      </c>
      <c r="Z52" s="8">
        <v>0.11286683537686</v>
      </c>
      <c r="AA52" s="8">
        <v>0.691428611931351</v>
      </c>
      <c r="AB52" s="8">
        <v>0.0926217392897189</v>
      </c>
      <c r="AC52" s="8">
        <v>0.113967879995049</v>
      </c>
      <c r="AD52" s="8">
        <v>0.692033049419012</v>
      </c>
      <c r="AE52" s="8">
        <v>0.111190242250269</v>
      </c>
      <c r="AF52" s="8">
        <v>0.143626974041001</v>
      </c>
      <c r="AG52" s="8">
        <v>0.51980752978016</v>
      </c>
      <c r="AH52" s="12">
        <v>10.0</v>
      </c>
      <c r="AI52" s="8">
        <v>2.8489569940416</v>
      </c>
      <c r="AJ52" s="8">
        <v>13.7728072081746</v>
      </c>
      <c r="AK52" s="8">
        <v>3.71117329266294</v>
      </c>
      <c r="AL52" s="8">
        <v>0.578584689773374</v>
      </c>
      <c r="AM52" s="8">
        <v>2.56253478701557</v>
      </c>
      <c r="AN52" s="8">
        <v>9.94211116361438</v>
      </c>
      <c r="AO52" s="8">
        <v>3.1531113465297</v>
      </c>
      <c r="AP52" s="8">
        <v>0.692033049419012</v>
      </c>
      <c r="AQ52" s="8">
        <v>3.07626336892414</v>
      </c>
      <c r="AR52" s="8">
        <v>15.7901296837344</v>
      </c>
      <c r="AS52" s="8">
        <v>3.97367961513437</v>
      </c>
      <c r="AT52" s="8">
        <v>0.51980752978016</v>
      </c>
      <c r="AU52" s="9">
        <f t="shared" si="3"/>
        <v>-0.3910157963</v>
      </c>
      <c r="AV52" s="10">
        <f t="shared" si="4"/>
        <v>-0.4057932814</v>
      </c>
      <c r="AW52" s="10">
        <f t="shared" si="5"/>
        <v>-0.366814324</v>
      </c>
      <c r="AX52" s="11">
        <f t="shared" si="6"/>
        <v>-0.3488985253</v>
      </c>
      <c r="AY52" s="9">
        <f t="shared" si="7"/>
        <v>-0.4338299283</v>
      </c>
      <c r="AZ52" s="11">
        <f t="shared" si="8"/>
        <v>-0.3736432229</v>
      </c>
      <c r="BA52" s="9">
        <f t="shared" si="9"/>
        <v>-0.3053470063</v>
      </c>
      <c r="BB52" s="10">
        <f t="shared" si="10"/>
        <v>-0.360557971</v>
      </c>
      <c r="BC52" s="11">
        <f t="shared" si="11"/>
        <v>-0.3825672173</v>
      </c>
      <c r="BD52" s="4">
        <f t="shared" ref="BD52:BE52" si="61">((R52-R$68)/R$69)</f>
        <v>-0.5627371976</v>
      </c>
      <c r="BE52" s="4">
        <f t="shared" si="61"/>
        <v>1.144491994</v>
      </c>
      <c r="BF52" s="3"/>
    </row>
    <row r="53">
      <c r="A53" s="3" t="s">
        <v>72</v>
      </c>
      <c r="B53" s="4">
        <f t="shared" si="2"/>
        <v>0.3082409776</v>
      </c>
      <c r="C53" s="3" t="s">
        <v>58</v>
      </c>
      <c r="D53" s="3" t="s">
        <v>59</v>
      </c>
      <c r="E53" s="5" t="s">
        <v>76</v>
      </c>
      <c r="F53" s="3" t="s">
        <v>61</v>
      </c>
      <c r="G53" s="5" t="s">
        <v>77</v>
      </c>
      <c r="H53" s="5" t="s">
        <v>80</v>
      </c>
      <c r="I53" s="6">
        <v>20.0</v>
      </c>
      <c r="J53" s="5" t="s">
        <v>94</v>
      </c>
      <c r="K53" s="3" t="s">
        <v>81</v>
      </c>
      <c r="L53" s="5" t="s">
        <v>66</v>
      </c>
      <c r="M53" s="3" t="s">
        <v>89</v>
      </c>
      <c r="N53" s="3" t="s">
        <v>74</v>
      </c>
      <c r="O53" s="3" t="s">
        <v>69</v>
      </c>
      <c r="P53" s="5" t="s">
        <v>75</v>
      </c>
      <c r="Q53" s="5" t="s">
        <v>87</v>
      </c>
      <c r="R53" s="8">
        <v>1023.5369246006</v>
      </c>
      <c r="S53" s="8">
        <v>343.584377765655</v>
      </c>
      <c r="T53" s="8">
        <v>2.71844648206529</v>
      </c>
      <c r="U53" s="8">
        <v>10.962515471578</v>
      </c>
      <c r="V53" s="8">
        <v>3.31096896264191</v>
      </c>
      <c r="W53" s="8">
        <v>0.669332774470137</v>
      </c>
      <c r="X53" s="8">
        <v>0.0915359681939942</v>
      </c>
      <c r="Y53" s="8">
        <v>0.0120455409793384</v>
      </c>
      <c r="Z53" s="8">
        <v>0.109752179838663</v>
      </c>
      <c r="AA53" s="8">
        <v>0.71963768294887</v>
      </c>
      <c r="AB53" s="8">
        <v>0.0916059846747048</v>
      </c>
      <c r="AC53" s="8">
        <v>0.109689887582921</v>
      </c>
      <c r="AD53" s="8">
        <v>0.722079596720616</v>
      </c>
      <c r="AE53" s="8">
        <v>0.102613680313223</v>
      </c>
      <c r="AF53" s="8">
        <v>0.126256786346971</v>
      </c>
      <c r="AG53" s="8">
        <v>0.632905106178058</v>
      </c>
      <c r="AH53" s="12">
        <v>10.0</v>
      </c>
      <c r="AI53" s="8">
        <v>2.71844648206529</v>
      </c>
      <c r="AJ53" s="8">
        <v>10.962515471578</v>
      </c>
      <c r="AK53" s="8">
        <v>3.31096896264191</v>
      </c>
      <c r="AL53" s="8">
        <v>0.669313868509229</v>
      </c>
      <c r="AM53" s="8">
        <v>2.53443224266685</v>
      </c>
      <c r="AN53" s="8">
        <v>9.20972914845164</v>
      </c>
      <c r="AO53" s="8">
        <v>3.03475355646082</v>
      </c>
      <c r="AP53" s="8">
        <v>0.722079596720616</v>
      </c>
      <c r="AQ53" s="8">
        <v>2.83897848866584</v>
      </c>
      <c r="AR53" s="8">
        <v>12.2017785048558</v>
      </c>
      <c r="AS53" s="8">
        <v>3.49310442226622</v>
      </c>
      <c r="AT53" s="8">
        <v>0.632905106178057</v>
      </c>
      <c r="AU53" s="9">
        <f t="shared" si="3"/>
        <v>-0.4104018914</v>
      </c>
      <c r="AV53" s="10">
        <f t="shared" si="4"/>
        <v>-0.4805005239</v>
      </c>
      <c r="AW53" s="10">
        <f t="shared" si="5"/>
        <v>-0.5456389829</v>
      </c>
      <c r="AX53" s="11">
        <f t="shared" si="6"/>
        <v>-0.662668572</v>
      </c>
      <c r="AY53" s="9">
        <f t="shared" si="7"/>
        <v>-0.5441294665</v>
      </c>
      <c r="AZ53" s="11">
        <f t="shared" si="8"/>
        <v>-0.6609260905</v>
      </c>
      <c r="BA53" s="9">
        <f t="shared" si="9"/>
        <v>-0.3537039191</v>
      </c>
      <c r="BB53" s="10">
        <f t="shared" si="10"/>
        <v>-0.5414775498</v>
      </c>
      <c r="BC53" s="11">
        <f t="shared" si="11"/>
        <v>-0.5585873959</v>
      </c>
      <c r="BD53" s="4">
        <f t="shared" ref="BD53:BE53" si="62">((R53-R$68)/R$69)</f>
        <v>0.3376085628</v>
      </c>
      <c r="BE53" s="4">
        <f t="shared" si="62"/>
        <v>1.029775075</v>
      </c>
      <c r="BF53" s="3"/>
    </row>
    <row r="54">
      <c r="A54" s="3" t="s">
        <v>72</v>
      </c>
      <c r="B54" s="4">
        <f t="shared" si="2"/>
        <v>-0.04176760088</v>
      </c>
      <c r="C54" s="3" t="s">
        <v>58</v>
      </c>
      <c r="D54" s="3" t="s">
        <v>59</v>
      </c>
      <c r="E54" s="5" t="s">
        <v>76</v>
      </c>
      <c r="F54" s="3" t="s">
        <v>61</v>
      </c>
      <c r="G54" s="5" t="s">
        <v>77</v>
      </c>
      <c r="H54" s="5" t="s">
        <v>63</v>
      </c>
      <c r="I54" s="6">
        <v>20.0</v>
      </c>
      <c r="J54" s="5" t="s">
        <v>94</v>
      </c>
      <c r="K54" s="3" t="s">
        <v>65</v>
      </c>
      <c r="L54" s="5" t="s">
        <v>66</v>
      </c>
      <c r="M54" s="3" t="s">
        <v>78</v>
      </c>
      <c r="N54" s="3" t="s">
        <v>74</v>
      </c>
      <c r="O54" s="3" t="s">
        <v>69</v>
      </c>
      <c r="P54" s="5" t="s">
        <v>71</v>
      </c>
      <c r="Q54" s="5" t="s">
        <v>75</v>
      </c>
      <c r="R54" s="8">
        <v>325.372703552246</v>
      </c>
      <c r="S54" s="8">
        <v>350.295860290527</v>
      </c>
      <c r="T54" s="8">
        <v>3.45058565312745</v>
      </c>
      <c r="U54" s="8">
        <v>19.9072952786505</v>
      </c>
      <c r="V54" s="8">
        <v>4.46175921343258</v>
      </c>
      <c r="W54" s="8">
        <v>0.399337683625263</v>
      </c>
      <c r="X54" s="8">
        <v>0.09959763536</v>
      </c>
      <c r="Y54" s="8">
        <v>0.0164057284051039</v>
      </c>
      <c r="Z54" s="8">
        <v>0.128084848460322</v>
      </c>
      <c r="AA54" s="8">
        <v>0.616240617314256</v>
      </c>
      <c r="AB54" s="8">
        <v>0.100571272606514</v>
      </c>
      <c r="AC54" s="8">
        <v>0.129093700153899</v>
      </c>
      <c r="AD54" s="8">
        <v>0.613253066064008</v>
      </c>
      <c r="AE54" s="8">
        <v>0.135173269182646</v>
      </c>
      <c r="AF54" s="8">
        <v>0.171250462047982</v>
      </c>
      <c r="AG54" s="8">
        <v>0.325573057800886</v>
      </c>
      <c r="AH54" s="12">
        <v>10.0</v>
      </c>
      <c r="AI54" s="8">
        <v>3.45058565312746</v>
      </c>
      <c r="AJ54" s="8">
        <v>19.9072952786505</v>
      </c>
      <c r="AK54" s="8">
        <v>4.46175921343258</v>
      </c>
      <c r="AL54" s="8">
        <v>0.399301266909254</v>
      </c>
      <c r="AM54" s="8">
        <v>2.78247187544685</v>
      </c>
      <c r="AN54" s="8">
        <v>12.7562720640465</v>
      </c>
      <c r="AO54" s="8">
        <v>3.57159237092455</v>
      </c>
      <c r="AP54" s="8">
        <v>0.613253066064008</v>
      </c>
      <c r="AQ54" s="8">
        <v>3.73979378072012</v>
      </c>
      <c r="AR54" s="8">
        <v>22.4479754731221</v>
      </c>
      <c r="AS54" s="8">
        <v>4.73792944999417</v>
      </c>
      <c r="AT54" s="8">
        <v>0.325573057800886</v>
      </c>
      <c r="AU54" s="9">
        <f t="shared" si="3"/>
        <v>-0.2392956793</v>
      </c>
      <c r="AV54" s="10">
        <f t="shared" si="4"/>
        <v>-0.1416487469</v>
      </c>
      <c r="AW54" s="10">
        <f t="shared" si="5"/>
        <v>0.1332411343</v>
      </c>
      <c r="AX54" s="11">
        <f t="shared" si="6"/>
        <v>0.1500841727</v>
      </c>
      <c r="AY54" s="9">
        <f t="shared" si="7"/>
        <v>0.07462998204</v>
      </c>
      <c r="AZ54" s="11">
        <f t="shared" si="8"/>
        <v>0.1651577332</v>
      </c>
      <c r="BA54" s="9">
        <f t="shared" si="9"/>
        <v>-0.1785585021</v>
      </c>
      <c r="BB54" s="10">
        <f t="shared" si="10"/>
        <v>-0.04984557584</v>
      </c>
      <c r="BC54" s="11">
        <f t="shared" si="11"/>
        <v>-0.03474636661</v>
      </c>
      <c r="BD54" s="4">
        <f t="shared" ref="BD54:BE54" si="63">((R54-R$68)/R$69)</f>
        <v>-0.5134837274</v>
      </c>
      <c r="BE54" s="4">
        <f t="shared" si="63"/>
        <v>1.093909186</v>
      </c>
      <c r="BF54" s="3"/>
    </row>
    <row r="55">
      <c r="A55" s="3" t="s">
        <v>72</v>
      </c>
      <c r="B55" s="4">
        <f t="shared" si="2"/>
        <v>0.08977988967</v>
      </c>
      <c r="C55" s="3" t="s">
        <v>58</v>
      </c>
      <c r="D55" s="3" t="s">
        <v>59</v>
      </c>
      <c r="E55" s="5" t="s">
        <v>76</v>
      </c>
      <c r="F55" s="3" t="s">
        <v>73</v>
      </c>
      <c r="G55" s="5" t="s">
        <v>85</v>
      </c>
      <c r="H55" s="5" t="s">
        <v>80</v>
      </c>
      <c r="I55" s="6">
        <v>20.0</v>
      </c>
      <c r="J55" s="5" t="s">
        <v>94</v>
      </c>
      <c r="K55" s="3" t="s">
        <v>65</v>
      </c>
      <c r="L55" s="5" t="s">
        <v>66</v>
      </c>
      <c r="M55" s="3" t="s">
        <v>89</v>
      </c>
      <c r="N55" s="3" t="s">
        <v>84</v>
      </c>
      <c r="O55" s="3" t="s">
        <v>69</v>
      </c>
      <c r="P55" s="5" t="s">
        <v>86</v>
      </c>
      <c r="Q55" s="5" t="s">
        <v>86</v>
      </c>
      <c r="R55" s="8">
        <v>898.210957050323</v>
      </c>
      <c r="S55" s="8">
        <v>321.223539352417</v>
      </c>
      <c r="T55" s="8">
        <v>3.23279844964099</v>
      </c>
      <c r="U55" s="8">
        <v>16.0681172221601</v>
      </c>
      <c r="V55" s="8">
        <v>4.00850560959569</v>
      </c>
      <c r="W55" s="8">
        <v>0.510023743251409</v>
      </c>
      <c r="X55" s="8">
        <v>0.102999375939643</v>
      </c>
      <c r="Y55" s="8">
        <v>0.0152615989451944</v>
      </c>
      <c r="Z55" s="8">
        <v>0.123537844182236</v>
      </c>
      <c r="AA55" s="8">
        <v>0.63274937215777</v>
      </c>
      <c r="AB55" s="8">
        <v>0.104050770574955</v>
      </c>
      <c r="AC55" s="8">
        <v>0.124240549036901</v>
      </c>
      <c r="AD55" s="8">
        <v>0.636020178069662</v>
      </c>
      <c r="AE55" s="8">
        <v>0.117744039111489</v>
      </c>
      <c r="AF55" s="8">
        <v>0.146614552005571</v>
      </c>
      <c r="AG55" s="8">
        <v>0.500697100533253</v>
      </c>
      <c r="AH55" s="12">
        <v>10.0</v>
      </c>
      <c r="AI55" s="8">
        <v>3.232798449641</v>
      </c>
      <c r="AJ55" s="8">
        <v>16.0681172221601</v>
      </c>
      <c r="AK55" s="8">
        <v>4.00850560959569</v>
      </c>
      <c r="AL55" s="8">
        <v>0.509891558805595</v>
      </c>
      <c r="AM55" s="8">
        <v>2.87873798590721</v>
      </c>
      <c r="AN55" s="8">
        <v>11.8151815464622</v>
      </c>
      <c r="AO55" s="8">
        <v>3.43732185668759</v>
      </c>
      <c r="AP55" s="8">
        <v>0.636020178069662</v>
      </c>
      <c r="AQ55" s="8">
        <v>3.25758508208468</v>
      </c>
      <c r="AR55" s="8">
        <v>16.4538612485693</v>
      </c>
      <c r="AS55" s="8">
        <v>4.05633593882081</v>
      </c>
      <c r="AT55" s="8">
        <v>0.500697100533253</v>
      </c>
      <c r="AU55" s="9">
        <f t="shared" si="3"/>
        <v>-0.1728880277</v>
      </c>
      <c r="AV55" s="10">
        <f t="shared" si="4"/>
        <v>-0.2264000747</v>
      </c>
      <c r="AW55" s="10">
        <f t="shared" si="5"/>
        <v>-0.2301651053</v>
      </c>
      <c r="AX55" s="11">
        <f t="shared" si="6"/>
        <v>-0.2949317811</v>
      </c>
      <c r="AY55" s="9">
        <f t="shared" si="7"/>
        <v>-0.1094305016</v>
      </c>
      <c r="AZ55" s="11">
        <f t="shared" si="8"/>
        <v>-0.1602060504</v>
      </c>
      <c r="BA55" s="9">
        <f t="shared" si="9"/>
        <v>-0.2151998918</v>
      </c>
      <c r="BB55" s="10">
        <f t="shared" si="10"/>
        <v>-0.3299874591</v>
      </c>
      <c r="BC55" s="11">
        <f t="shared" si="11"/>
        <v>-0.2492983245</v>
      </c>
      <c r="BD55" s="4">
        <f t="shared" ref="BD55:BE55" si="64">((R55-R$68)/R$69)</f>
        <v>0.1848308043</v>
      </c>
      <c r="BE55" s="4">
        <f t="shared" si="64"/>
        <v>0.8160976255</v>
      </c>
      <c r="BF55" s="3"/>
    </row>
    <row r="56">
      <c r="A56" s="3" t="s">
        <v>57</v>
      </c>
      <c r="B56" s="4">
        <f t="shared" si="2"/>
        <v>0.1123446528</v>
      </c>
      <c r="C56" s="3" t="s">
        <v>58</v>
      </c>
      <c r="D56" s="3" t="s">
        <v>59</v>
      </c>
      <c r="E56" s="5" t="s">
        <v>60</v>
      </c>
      <c r="F56" s="3" t="s">
        <v>73</v>
      </c>
      <c r="G56" s="5" t="s">
        <v>60</v>
      </c>
      <c r="H56" s="5" t="s">
        <v>63</v>
      </c>
      <c r="I56" s="6">
        <v>20.0</v>
      </c>
      <c r="J56" s="5" t="s">
        <v>94</v>
      </c>
      <c r="K56" s="3" t="s">
        <v>81</v>
      </c>
      <c r="L56" s="5" t="s">
        <v>66</v>
      </c>
      <c r="M56" s="3" t="s">
        <v>67</v>
      </c>
      <c r="N56" s="3" t="s">
        <v>68</v>
      </c>
      <c r="O56" s="3" t="s">
        <v>69</v>
      </c>
      <c r="P56" s="5" t="s">
        <v>82</v>
      </c>
      <c r="Q56" s="5" t="s">
        <v>82</v>
      </c>
      <c r="R56" s="8">
        <v>1684.92640709877</v>
      </c>
      <c r="S56" s="8">
        <v>149.252370357513</v>
      </c>
      <c r="T56" s="8">
        <v>2.96481778129979</v>
      </c>
      <c r="U56" s="8">
        <v>16.4620564015376</v>
      </c>
      <c r="V56" s="8">
        <v>4.05734598001423</v>
      </c>
      <c r="W56" s="8">
        <v>0.496817831666243</v>
      </c>
      <c r="X56" s="8">
        <v>0.0968346701262457</v>
      </c>
      <c r="Y56" s="8">
        <v>0.0170964768444651</v>
      </c>
      <c r="Z56" s="8">
        <v>0.1307534964904</v>
      </c>
      <c r="AA56" s="8">
        <v>0.615398276790634</v>
      </c>
      <c r="AB56" s="8">
        <v>0.0987950327679559</v>
      </c>
      <c r="AC56" s="8">
        <v>0.132107614531533</v>
      </c>
      <c r="AD56" s="8">
        <v>0.617247159592858</v>
      </c>
      <c r="AE56" s="8">
        <v>0.123093756050967</v>
      </c>
      <c r="AF56" s="8">
        <v>0.168697902595864</v>
      </c>
      <c r="AG56" s="8">
        <v>0.368971059701692</v>
      </c>
      <c r="AH56" s="12">
        <v>10.0</v>
      </c>
      <c r="AI56" s="8">
        <v>2.96481778129979</v>
      </c>
      <c r="AJ56" s="8">
        <v>16.4620564015376</v>
      </c>
      <c r="AK56" s="8">
        <v>4.05734598001423</v>
      </c>
      <c r="AL56" s="8">
        <v>0.49698127781089</v>
      </c>
      <c r="AM56" s="8">
        <v>2.64276712654282</v>
      </c>
      <c r="AN56" s="8">
        <v>12.4882985865788</v>
      </c>
      <c r="AO56" s="8">
        <v>3.53387868871851</v>
      </c>
      <c r="AP56" s="8">
        <v>0.617247159592858</v>
      </c>
      <c r="AQ56" s="8">
        <v>3.29275797436336</v>
      </c>
      <c r="AR56" s="8">
        <v>20.3641805508408</v>
      </c>
      <c r="AS56" s="8">
        <v>4.51266889443938</v>
      </c>
      <c r="AT56" s="8">
        <v>0.368971059701692</v>
      </c>
      <c r="AU56" s="9">
        <f t="shared" si="3"/>
        <v>-0.2731959481</v>
      </c>
      <c r="AV56" s="10">
        <f t="shared" si="4"/>
        <v>-0.08901629441</v>
      </c>
      <c r="AW56" s="10">
        <f t="shared" si="5"/>
        <v>-0.2036578097</v>
      </c>
      <c r="AX56" s="11">
        <f t="shared" si="6"/>
        <v>0.003010382601</v>
      </c>
      <c r="AY56" s="9">
        <f t="shared" si="7"/>
        <v>-0.3359114455</v>
      </c>
      <c r="AZ56" s="11">
        <f t="shared" si="8"/>
        <v>-0.1251464556</v>
      </c>
      <c r="BA56" s="9">
        <f t="shared" si="9"/>
        <v>-0.1849865961</v>
      </c>
      <c r="BB56" s="10">
        <f t="shared" si="10"/>
        <v>-0.1192683564</v>
      </c>
      <c r="BC56" s="11">
        <f t="shared" si="11"/>
        <v>-0.2242515866</v>
      </c>
      <c r="BD56" s="4">
        <f t="shared" ref="BD56:BE56" si="65">((R56-R$68)/R$69)</f>
        <v>1.143870861</v>
      </c>
      <c r="BE56" s="4">
        <f t="shared" si="65"/>
        <v>-0.8272379319</v>
      </c>
      <c r="BF56" s="3"/>
    </row>
    <row r="57">
      <c r="A57" s="3" t="s">
        <v>57</v>
      </c>
      <c r="B57" s="4">
        <f t="shared" si="2"/>
        <v>-0.1518887639</v>
      </c>
      <c r="C57" s="3" t="s">
        <v>58</v>
      </c>
      <c r="D57" s="3" t="s">
        <v>59</v>
      </c>
      <c r="E57" s="5" t="s">
        <v>76</v>
      </c>
      <c r="F57" s="3" t="s">
        <v>61</v>
      </c>
      <c r="G57" s="5" t="s">
        <v>77</v>
      </c>
      <c r="H57" s="5" t="s">
        <v>63</v>
      </c>
      <c r="I57" s="6">
        <v>20.0</v>
      </c>
      <c r="J57" s="5" t="s">
        <v>94</v>
      </c>
      <c r="K57" s="3" t="s">
        <v>81</v>
      </c>
      <c r="L57" s="5" t="s">
        <v>66</v>
      </c>
      <c r="M57" s="3" t="s">
        <v>89</v>
      </c>
      <c r="N57" s="3" t="s">
        <v>68</v>
      </c>
      <c r="O57" s="3" t="s">
        <v>69</v>
      </c>
      <c r="P57" s="5" t="s">
        <v>75</v>
      </c>
      <c r="Q57" s="5" t="s">
        <v>75</v>
      </c>
      <c r="R57" s="8">
        <v>1482.56218338012</v>
      </c>
      <c r="S57" s="8">
        <v>338.003102064132</v>
      </c>
      <c r="T57" s="8">
        <v>3.44041370614327</v>
      </c>
      <c r="U57" s="8">
        <v>18.8210788838108</v>
      </c>
      <c r="V57" s="8">
        <v>4.33832673778852</v>
      </c>
      <c r="W57" s="8">
        <v>0.432111016864171</v>
      </c>
      <c r="X57" s="8">
        <v>0.115283900239237</v>
      </c>
      <c r="Y57" s="8">
        <v>0.0205282087652813</v>
      </c>
      <c r="Z57" s="8">
        <v>0.14327668604934</v>
      </c>
      <c r="AA57" s="8">
        <v>0.519808415153479</v>
      </c>
      <c r="AB57" s="8">
        <v>0.115898357961242</v>
      </c>
      <c r="AC57" s="8">
        <v>0.143734615643721</v>
      </c>
      <c r="AD57" s="8">
        <v>0.520554192393134</v>
      </c>
      <c r="AE57" s="8">
        <v>0.124011416285708</v>
      </c>
      <c r="AF57" s="8">
        <v>0.158475093707535</v>
      </c>
      <c r="AG57" s="8">
        <v>0.422444875068306</v>
      </c>
      <c r="AH57" s="12">
        <v>10.0</v>
      </c>
      <c r="AI57" s="8">
        <v>3.44041370614327</v>
      </c>
      <c r="AJ57" s="8">
        <v>18.8210788838108</v>
      </c>
      <c r="AK57" s="8">
        <v>4.33832673778852</v>
      </c>
      <c r="AL57" s="8">
        <v>0.432077633718982</v>
      </c>
      <c r="AM57" s="8">
        <v>3.20652123692778</v>
      </c>
      <c r="AN57" s="8">
        <v>15.8138064588041</v>
      </c>
      <c r="AO57" s="8">
        <v>3.9766576994763</v>
      </c>
      <c r="AP57" s="8">
        <v>0.520554192393134</v>
      </c>
      <c r="AQ57" s="8">
        <v>3.43098251723811</v>
      </c>
      <c r="AR57" s="8">
        <v>19.2236437597935</v>
      </c>
      <c r="AS57" s="8">
        <v>4.38447759257514</v>
      </c>
      <c r="AT57" s="8">
        <v>0.422444875068306</v>
      </c>
      <c r="AU57" s="9">
        <f t="shared" si="3"/>
        <v>0.05322805638</v>
      </c>
      <c r="AV57" s="10">
        <f t="shared" si="4"/>
        <v>0.1140278225</v>
      </c>
      <c r="AW57" s="10">
        <f t="shared" si="5"/>
        <v>-0.09948784864</v>
      </c>
      <c r="AX57" s="11">
        <f t="shared" si="6"/>
        <v>-0.0806863861</v>
      </c>
      <c r="AY57" s="9">
        <f t="shared" si="7"/>
        <v>0.06603327181</v>
      </c>
      <c r="AZ57" s="11">
        <f t="shared" si="8"/>
        <v>0.07655290592</v>
      </c>
      <c r="BA57" s="9">
        <f t="shared" si="9"/>
        <v>-0.02936893595</v>
      </c>
      <c r="BB57" s="10">
        <f t="shared" si="10"/>
        <v>-0.2048091828</v>
      </c>
      <c r="BC57" s="11">
        <f t="shared" si="11"/>
        <v>-0.09833453111</v>
      </c>
      <c r="BD57" s="4">
        <f t="shared" ref="BD57:BE57" si="66">((R57-R$68)/R$69)</f>
        <v>0.8971801464</v>
      </c>
      <c r="BE57" s="4">
        <f t="shared" si="66"/>
        <v>0.9764410843</v>
      </c>
      <c r="BF57" s="3"/>
    </row>
    <row r="58">
      <c r="A58" s="3" t="s">
        <v>72</v>
      </c>
      <c r="B58" s="4">
        <f t="shared" si="2"/>
        <v>0.1695939789</v>
      </c>
      <c r="C58" s="3" t="s">
        <v>58</v>
      </c>
      <c r="D58" s="3" t="s">
        <v>59</v>
      </c>
      <c r="E58" s="5" t="s">
        <v>76</v>
      </c>
      <c r="F58" s="3" t="s">
        <v>73</v>
      </c>
      <c r="G58" s="5" t="s">
        <v>85</v>
      </c>
      <c r="H58" s="5" t="s">
        <v>63</v>
      </c>
      <c r="I58" s="6">
        <v>20.0</v>
      </c>
      <c r="J58" s="5" t="s">
        <v>94</v>
      </c>
      <c r="K58" s="3" t="s">
        <v>81</v>
      </c>
      <c r="L58" s="5" t="s">
        <v>83</v>
      </c>
      <c r="M58" s="3" t="s">
        <v>78</v>
      </c>
      <c r="N58" s="3" t="s">
        <v>84</v>
      </c>
      <c r="O58" s="3" t="s">
        <v>69</v>
      </c>
      <c r="P58" s="5" t="s">
        <v>75</v>
      </c>
      <c r="Q58" s="3"/>
      <c r="R58" s="8">
        <v>2591.88483285903</v>
      </c>
      <c r="S58" s="8">
        <v>312.636924028396</v>
      </c>
      <c r="T58" s="8">
        <v>2.87208067028666</v>
      </c>
      <c r="U58" s="8">
        <v>12.874869164228</v>
      </c>
      <c r="V58" s="8">
        <v>3.58815679203515</v>
      </c>
      <c r="W58" s="8">
        <v>0.606208801519693</v>
      </c>
      <c r="X58" s="8">
        <v>0.0609527606123931</v>
      </c>
      <c r="Y58" s="8">
        <v>0.00557947083195875</v>
      </c>
      <c r="Z58" s="8">
        <v>0.0746958555206294</v>
      </c>
      <c r="AA58" s="8">
        <v>0.864850025147452</v>
      </c>
      <c r="AB58" s="8">
        <v>0.061367914404378</v>
      </c>
      <c r="AC58" s="8">
        <v>0.0749296494140639</v>
      </c>
      <c r="AD58" s="8">
        <v>0.866878999021236</v>
      </c>
      <c r="AE58" s="8">
        <v>0.117765293719434</v>
      </c>
      <c r="AF58" s="8">
        <v>0.145845548743004</v>
      </c>
      <c r="AG58" s="8">
        <v>0.50485809658721</v>
      </c>
      <c r="AH58" s="12">
        <v>10.0</v>
      </c>
      <c r="AI58" s="8">
        <v>2.87208067028666</v>
      </c>
      <c r="AJ58" s="8">
        <v>12.874869164228</v>
      </c>
      <c r="AK58" s="8">
        <v>3.58815679203515</v>
      </c>
      <c r="AL58" s="8">
        <v>0.606059469143659</v>
      </c>
      <c r="AM58" s="8">
        <v>1.69784563185444</v>
      </c>
      <c r="AN58" s="8">
        <v>4.2975513685662</v>
      </c>
      <c r="AO58" s="8">
        <v>2.0730536337891</v>
      </c>
      <c r="AP58" s="8">
        <v>0.866878999021236</v>
      </c>
      <c r="AQ58" s="8">
        <v>3.25817312623783</v>
      </c>
      <c r="AR58" s="8">
        <v>16.2817106714724</v>
      </c>
      <c r="AS58" s="8">
        <v>4.03506018188979</v>
      </c>
      <c r="AT58" s="8">
        <v>0.50485809658721</v>
      </c>
      <c r="AU58" s="9">
        <f t="shared" si="3"/>
        <v>-0.9875079145</v>
      </c>
      <c r="AV58" s="10">
        <f t="shared" si="4"/>
        <v>-1.087523934</v>
      </c>
      <c r="AW58" s="10">
        <f t="shared" si="5"/>
        <v>-0.2297219384</v>
      </c>
      <c r="AX58" s="11">
        <f t="shared" si="6"/>
        <v>-0.3088228336</v>
      </c>
      <c r="AY58" s="9">
        <f t="shared" si="7"/>
        <v>-0.4142872051</v>
      </c>
      <c r="AZ58" s="11">
        <f t="shared" si="8"/>
        <v>-0.4619494465</v>
      </c>
      <c r="BA58" s="9">
        <f t="shared" si="9"/>
        <v>-0.5867440753</v>
      </c>
      <c r="BB58" s="10">
        <f t="shared" si="10"/>
        <v>-0.3366437083</v>
      </c>
      <c r="BC58" s="11">
        <f t="shared" si="11"/>
        <v>-0.4358699765</v>
      </c>
      <c r="BD58" s="4">
        <f t="shared" ref="BD58:BE58" si="67">((R58-R$68)/R$69)</f>
        <v>2.24949229</v>
      </c>
      <c r="BE58" s="4">
        <f t="shared" si="67"/>
        <v>0.7340449747</v>
      </c>
      <c r="BF58" s="3"/>
    </row>
    <row r="59">
      <c r="A59" s="3" t="s">
        <v>57</v>
      </c>
      <c r="B59" s="4">
        <f t="shared" si="2"/>
        <v>-4.64450529</v>
      </c>
      <c r="C59" s="3" t="s">
        <v>58</v>
      </c>
      <c r="D59" s="3" t="s">
        <v>59</v>
      </c>
      <c r="E59" s="5" t="s">
        <v>76</v>
      </c>
      <c r="F59" s="3" t="s">
        <v>73</v>
      </c>
      <c r="G59" s="5" t="s">
        <v>85</v>
      </c>
      <c r="H59" s="5" t="s">
        <v>80</v>
      </c>
      <c r="I59" s="6">
        <v>20.0</v>
      </c>
      <c r="J59" s="5" t="s">
        <v>94</v>
      </c>
      <c r="K59" s="3" t="s">
        <v>81</v>
      </c>
      <c r="L59" s="5" t="s">
        <v>83</v>
      </c>
      <c r="M59" s="3" t="s">
        <v>89</v>
      </c>
      <c r="N59" s="3" t="s">
        <v>74</v>
      </c>
      <c r="O59" s="3" t="s">
        <v>69</v>
      </c>
      <c r="P59" s="5" t="s">
        <v>75</v>
      </c>
      <c r="Q59" s="3"/>
      <c r="R59" s="8">
        <v>649.338860988617</v>
      </c>
      <c r="S59" s="8">
        <v>335.961610555648</v>
      </c>
      <c r="T59" s="8">
        <v>9.70135110264777</v>
      </c>
      <c r="U59" s="8">
        <v>124.174572473461</v>
      </c>
      <c r="V59" s="8">
        <v>11.1433645041998</v>
      </c>
      <c r="W59" s="8">
        <v>-2.78778104771732</v>
      </c>
      <c r="X59" s="8">
        <v>0.425160179178097</v>
      </c>
      <c r="Y59" s="8">
        <v>0.204302348253812</v>
      </c>
      <c r="Z59" s="8">
        <v>0.451998172843445</v>
      </c>
      <c r="AA59" s="8">
        <v>-3.91627161317064</v>
      </c>
      <c r="AB59" s="8">
        <v>0.430430585905878</v>
      </c>
      <c r="AC59" s="8">
        <v>0.457470917494033</v>
      </c>
      <c r="AD59" s="8">
        <v>-3.93489100056809</v>
      </c>
      <c r="AE59" s="8">
        <v>0.363382686058006</v>
      </c>
      <c r="AF59" s="8">
        <v>0.420675905282463</v>
      </c>
      <c r="AG59" s="8">
        <v>-3.11059991226668</v>
      </c>
      <c r="AH59" s="12">
        <v>10.0</v>
      </c>
      <c r="AI59" s="8">
        <v>9.70135110264777</v>
      </c>
      <c r="AJ59" s="8">
        <v>124.174572473461</v>
      </c>
      <c r="AK59" s="8">
        <v>11.1433645041998</v>
      </c>
      <c r="AL59" s="8">
        <v>-2.7875629925712</v>
      </c>
      <c r="AM59" s="8">
        <v>11.9085795433951</v>
      </c>
      <c r="AN59" s="8">
        <v>160.191938043407</v>
      </c>
      <c r="AO59" s="8">
        <v>12.6566953840015</v>
      </c>
      <c r="AP59" s="8">
        <v>-3.93489100056809</v>
      </c>
      <c r="AQ59" s="8">
        <v>10.0535876476039</v>
      </c>
      <c r="AR59" s="8">
        <v>135.459338764208</v>
      </c>
      <c r="AS59" s="8">
        <v>11.6387000461481</v>
      </c>
      <c r="AT59" s="8">
        <v>-3.11059991226668</v>
      </c>
      <c r="AU59" s="9">
        <f t="shared" si="3"/>
        <v>6.056205151</v>
      </c>
      <c r="AV59" s="10">
        <f t="shared" si="4"/>
        <v>5.592853337</v>
      </c>
      <c r="AW59" s="10">
        <f t="shared" si="5"/>
        <v>4.891496415</v>
      </c>
      <c r="AX59" s="11">
        <f t="shared" si="6"/>
        <v>4.655633239</v>
      </c>
      <c r="AY59" s="9">
        <f t="shared" si="7"/>
        <v>5.35739634</v>
      </c>
      <c r="AZ59" s="11">
        <f t="shared" si="8"/>
        <v>4.961484469</v>
      </c>
      <c r="BA59" s="9">
        <f t="shared" si="9"/>
        <v>7.141224501</v>
      </c>
      <c r="BB59" s="10">
        <f t="shared" si="10"/>
        <v>5.446920899</v>
      </c>
      <c r="BC59" s="11">
        <f t="shared" si="11"/>
        <v>6.147966011</v>
      </c>
      <c r="BD59" s="4">
        <f t="shared" ref="BD59:BE59" si="68">((R59-R$68)/R$69)</f>
        <v>-0.1185550121</v>
      </c>
      <c r="BE59" s="4">
        <f t="shared" si="68"/>
        <v>0.9569328399</v>
      </c>
      <c r="BF59" s="3"/>
    </row>
    <row r="60">
      <c r="A60" s="3" t="s">
        <v>57</v>
      </c>
      <c r="B60" s="4">
        <f t="shared" si="2"/>
        <v>0.4553411043</v>
      </c>
      <c r="C60" s="3" t="s">
        <v>58</v>
      </c>
      <c r="D60" s="3" t="s">
        <v>59</v>
      </c>
      <c r="E60" s="5" t="s">
        <v>60</v>
      </c>
      <c r="F60" s="3" t="s">
        <v>61</v>
      </c>
      <c r="G60" s="5" t="s">
        <v>62</v>
      </c>
      <c r="H60" s="5" t="s">
        <v>80</v>
      </c>
      <c r="I60" s="6">
        <v>150.0</v>
      </c>
      <c r="J60" s="5" t="s">
        <v>94</v>
      </c>
      <c r="K60" s="3" t="s">
        <v>81</v>
      </c>
      <c r="L60" s="5" t="s">
        <v>83</v>
      </c>
      <c r="M60" s="3" t="s">
        <v>67</v>
      </c>
      <c r="N60" s="3" t="s">
        <v>68</v>
      </c>
      <c r="O60" s="3" t="s">
        <v>69</v>
      </c>
      <c r="P60" s="5" t="s">
        <v>87</v>
      </c>
      <c r="Q60" s="3"/>
      <c r="R60" s="8">
        <v>261.155232906341</v>
      </c>
      <c r="S60" s="8">
        <v>134.430855989456</v>
      </c>
      <c r="T60" s="8">
        <v>2.71254394960124</v>
      </c>
      <c r="U60" s="8">
        <v>11.2435902667041</v>
      </c>
      <c r="V60" s="8">
        <v>3.35314632348546</v>
      </c>
      <c r="W60" s="8">
        <v>0.668413881611972</v>
      </c>
      <c r="X60" s="8">
        <v>0.130204805771053</v>
      </c>
      <c r="Y60" s="8">
        <v>0.024328258442696</v>
      </c>
      <c r="Z60" s="8">
        <v>0.15597518534272</v>
      </c>
      <c r="AA60" s="8">
        <v>0.480357336692472</v>
      </c>
      <c r="AB60" s="8">
        <v>0.130819319744224</v>
      </c>
      <c r="AC60" s="8">
        <v>0.156448435089083</v>
      </c>
      <c r="AD60" s="8">
        <v>0.481357622593005</v>
      </c>
      <c r="AE60" s="8">
        <v>0.090725978065867</v>
      </c>
      <c r="AF60" s="8">
        <v>0.117201973405618</v>
      </c>
      <c r="AG60" s="8">
        <v>0.711238014912818</v>
      </c>
      <c r="AH60" s="12">
        <v>10.0</v>
      </c>
      <c r="AI60" s="8">
        <v>2.71254394960124</v>
      </c>
      <c r="AJ60" s="8">
        <v>11.2435902667041</v>
      </c>
      <c r="AK60" s="8">
        <v>3.35314632348546</v>
      </c>
      <c r="AL60" s="8">
        <v>0.668378431408957</v>
      </c>
      <c r="AM60" s="8">
        <v>3.499416803158</v>
      </c>
      <c r="AN60" s="8">
        <v>17.5141884953771</v>
      </c>
      <c r="AO60" s="8">
        <v>4.18499563863299</v>
      </c>
      <c r="AP60" s="8">
        <v>0.481357622593004</v>
      </c>
      <c r="AQ60" s="8">
        <v>2.42691991326193</v>
      </c>
      <c r="AR60" s="8">
        <v>9.82918300786821</v>
      </c>
      <c r="AS60" s="8">
        <v>3.13515278860029</v>
      </c>
      <c r="AT60" s="8">
        <v>0.711238014912818</v>
      </c>
      <c r="AU60" s="9">
        <f t="shared" si="3"/>
        <v>0.3380007565</v>
      </c>
      <c r="AV60" s="10">
        <f t="shared" si="4"/>
        <v>0.3360512159</v>
      </c>
      <c r="AW60" s="10">
        <f t="shared" si="5"/>
        <v>-0.8561780872</v>
      </c>
      <c r="AX60" s="11">
        <f t="shared" si="6"/>
        <v>-0.8963770581</v>
      </c>
      <c r="AY60" s="9">
        <f t="shared" si="7"/>
        <v>-0.5491179275</v>
      </c>
      <c r="AZ60" s="11">
        <f t="shared" si="8"/>
        <v>-0.6306494736</v>
      </c>
      <c r="BA60" s="9">
        <f t="shared" si="9"/>
        <v>0.03371402298</v>
      </c>
      <c r="BB60" s="10">
        <f t="shared" si="10"/>
        <v>-0.6667848933</v>
      </c>
      <c r="BC60" s="11">
        <f t="shared" si="11"/>
        <v>-0.5567725905</v>
      </c>
      <c r="BD60" s="4">
        <f t="shared" ref="BD60:BE60" si="69">((R60-R$68)/R$69)</f>
        <v>-0.5917675932</v>
      </c>
      <c r="BE60" s="4">
        <f t="shared" si="69"/>
        <v>-0.968870519</v>
      </c>
      <c r="BF60" s="3"/>
    </row>
    <row r="61">
      <c r="A61" s="3" t="s">
        <v>72</v>
      </c>
      <c r="B61" s="4">
        <f t="shared" si="2"/>
        <v>0.7393374488</v>
      </c>
      <c r="C61" s="3" t="s">
        <v>58</v>
      </c>
      <c r="D61" s="3" t="s">
        <v>59</v>
      </c>
      <c r="E61" s="5" t="s">
        <v>60</v>
      </c>
      <c r="F61" s="3" t="s">
        <v>61</v>
      </c>
      <c r="G61" s="5" t="s">
        <v>62</v>
      </c>
      <c r="H61" s="5" t="s">
        <v>63</v>
      </c>
      <c r="I61" s="6">
        <v>150.0</v>
      </c>
      <c r="J61" s="5" t="s">
        <v>94</v>
      </c>
      <c r="K61" s="3" t="s">
        <v>81</v>
      </c>
      <c r="L61" s="5" t="s">
        <v>83</v>
      </c>
      <c r="M61" s="3" t="s">
        <v>78</v>
      </c>
      <c r="N61" s="3" t="s">
        <v>84</v>
      </c>
      <c r="O61" s="3" t="s">
        <v>69</v>
      </c>
      <c r="P61" s="5" t="s">
        <v>75</v>
      </c>
      <c r="Q61" s="3"/>
      <c r="R61" s="8">
        <v>784.320669651031</v>
      </c>
      <c r="S61" s="8">
        <v>128.373393297195</v>
      </c>
      <c r="T61" s="8">
        <v>2.36269074789965</v>
      </c>
      <c r="U61" s="8">
        <v>8.81067566246515</v>
      </c>
      <c r="V61" s="8">
        <v>2.96827823198317</v>
      </c>
      <c r="W61" s="8">
        <v>0.737148606530286</v>
      </c>
      <c r="X61" s="8">
        <v>0.0616015181942156</v>
      </c>
      <c r="Y61" s="8">
        <v>0.00572110054730801</v>
      </c>
      <c r="Z61" s="8">
        <v>0.0756379570540348</v>
      </c>
      <c r="AA61" s="8">
        <v>0.876412667228444</v>
      </c>
      <c r="AB61" s="8">
        <v>0.0618217942445145</v>
      </c>
      <c r="AC61" s="8">
        <v>0.0757645533203459</v>
      </c>
      <c r="AD61" s="8">
        <v>0.877084459033455</v>
      </c>
      <c r="AE61" s="8">
        <v>0.099266037331392</v>
      </c>
      <c r="AF61" s="8">
        <v>0.124439220613293</v>
      </c>
      <c r="AG61" s="8">
        <v>0.670260194712261</v>
      </c>
      <c r="AH61" s="12">
        <v>10.0</v>
      </c>
      <c r="AI61" s="8">
        <v>2.36269074789965</v>
      </c>
      <c r="AJ61" s="8">
        <v>8.81067566246515</v>
      </c>
      <c r="AK61" s="8">
        <v>2.96827823198317</v>
      </c>
      <c r="AL61" s="8">
        <v>0.737076920384683</v>
      </c>
      <c r="AM61" s="8">
        <v>1.65373299604076</v>
      </c>
      <c r="AN61" s="8">
        <v>4.10752019147069</v>
      </c>
      <c r="AO61" s="8">
        <v>2.02670180131925</v>
      </c>
      <c r="AP61" s="8">
        <v>0.877084459033455</v>
      </c>
      <c r="AQ61" s="8">
        <v>2.65536649861473</v>
      </c>
      <c r="AR61" s="8">
        <v>11.0805709129835</v>
      </c>
      <c r="AS61" s="8">
        <v>3.3287491514056</v>
      </c>
      <c r="AT61" s="8">
        <v>0.670260194712261</v>
      </c>
      <c r="AU61" s="9">
        <f t="shared" si="3"/>
        <v>-0.9788454309</v>
      </c>
      <c r="AV61" s="10">
        <f t="shared" si="4"/>
        <v>-1.072943878</v>
      </c>
      <c r="AW61" s="10">
        <f t="shared" si="5"/>
        <v>-0.6840142196</v>
      </c>
      <c r="AX61" s="11">
        <f t="shared" si="6"/>
        <v>-0.7699769844</v>
      </c>
      <c r="AY61" s="9">
        <f t="shared" si="7"/>
        <v>-0.8447925515</v>
      </c>
      <c r="AZ61" s="11">
        <f t="shared" si="8"/>
        <v>-0.9069233684</v>
      </c>
      <c r="BA61" s="9">
        <f t="shared" si="9"/>
        <v>-0.6031687425</v>
      </c>
      <c r="BB61" s="10">
        <f t="shared" si="10"/>
        <v>-0.6012336215</v>
      </c>
      <c r="BC61" s="11">
        <f t="shared" si="11"/>
        <v>-0.6900518781</v>
      </c>
      <c r="BD61" s="4">
        <f t="shared" ref="BD61:BE61" si="70">((R61-R$68)/R$69)</f>
        <v>0.04599363304</v>
      </c>
      <c r="BE61" s="4">
        <f t="shared" si="70"/>
        <v>-1.026754895</v>
      </c>
      <c r="BF61" s="3"/>
    </row>
    <row r="62">
      <c r="A62" s="3" t="s">
        <v>57</v>
      </c>
      <c r="B62" s="4">
        <f t="shared" si="2"/>
        <v>0.05518983622</v>
      </c>
      <c r="C62" s="3" t="s">
        <v>58</v>
      </c>
      <c r="D62" s="3" t="s">
        <v>59</v>
      </c>
      <c r="E62" s="5" t="s">
        <v>60</v>
      </c>
      <c r="F62" s="3" t="s">
        <v>73</v>
      </c>
      <c r="G62" s="5" t="s">
        <v>60</v>
      </c>
      <c r="H62" s="5" t="s">
        <v>80</v>
      </c>
      <c r="I62" s="6">
        <v>150.0</v>
      </c>
      <c r="J62" s="5" t="s">
        <v>94</v>
      </c>
      <c r="K62" s="3" t="s">
        <v>65</v>
      </c>
      <c r="L62" s="5" t="s">
        <v>66</v>
      </c>
      <c r="M62" s="3" t="s">
        <v>78</v>
      </c>
      <c r="N62" s="3" t="s">
        <v>74</v>
      </c>
      <c r="O62" s="3" t="s">
        <v>69</v>
      </c>
      <c r="P62" s="5" t="s">
        <v>75</v>
      </c>
      <c r="Q62" s="5" t="s">
        <v>75</v>
      </c>
      <c r="R62" s="8">
        <v>336.314118623733</v>
      </c>
      <c r="S62" s="8">
        <v>125.23318362236</v>
      </c>
      <c r="T62" s="8">
        <v>3.36696003696734</v>
      </c>
      <c r="U62" s="8">
        <v>21.611918703187</v>
      </c>
      <c r="V62" s="8">
        <v>4.64886208691837</v>
      </c>
      <c r="W62" s="8">
        <v>0.35235061851814</v>
      </c>
      <c r="X62" s="8">
        <v>0.114322370400051</v>
      </c>
      <c r="Y62" s="8">
        <v>0.0245691124402642</v>
      </c>
      <c r="Z62" s="8">
        <v>0.156745374541848</v>
      </c>
      <c r="AA62" s="8">
        <v>0.455719434566726</v>
      </c>
      <c r="AB62" s="8">
        <v>0.11661615512722</v>
      </c>
      <c r="AC62" s="8">
        <v>0.158222929022459</v>
      </c>
      <c r="AD62" s="8">
        <v>0.457813418589939</v>
      </c>
      <c r="AE62" s="8">
        <v>0.129058122253781</v>
      </c>
      <c r="AF62" s="8">
        <v>0.179670889353506</v>
      </c>
      <c r="AG62" s="8">
        <v>0.311338495876933</v>
      </c>
      <c r="AH62" s="12">
        <v>10.0</v>
      </c>
      <c r="AI62" s="8">
        <v>3.36696003696734</v>
      </c>
      <c r="AJ62" s="8">
        <v>21.611918703187</v>
      </c>
      <c r="AK62" s="8">
        <v>4.64886208691837</v>
      </c>
      <c r="AL62" s="8">
        <v>0.352185022416534</v>
      </c>
      <c r="AM62" s="8">
        <v>3.11948214965315</v>
      </c>
      <c r="AN62" s="8">
        <v>17.9137460205275</v>
      </c>
      <c r="AO62" s="8">
        <v>4.23246335135078</v>
      </c>
      <c r="AP62" s="8">
        <v>0.457813418589939</v>
      </c>
      <c r="AQ62" s="8">
        <v>3.45230477028864</v>
      </c>
      <c r="AR62" s="8">
        <v>23.0995227799928</v>
      </c>
      <c r="AS62" s="8">
        <v>4.8061962902063</v>
      </c>
      <c r="AT62" s="8">
        <v>0.311338495876933</v>
      </c>
      <c r="AU62" s="9">
        <f t="shared" si="3"/>
        <v>0.06692751088</v>
      </c>
      <c r="AV62" s="10">
        <f t="shared" si="4"/>
        <v>0.3670394776</v>
      </c>
      <c r="AW62" s="10">
        <f t="shared" si="5"/>
        <v>-0.08341879011</v>
      </c>
      <c r="AX62" s="11">
        <f t="shared" si="6"/>
        <v>0.1946559482</v>
      </c>
      <c r="AY62" s="9">
        <f t="shared" si="7"/>
        <v>0.003954703106</v>
      </c>
      <c r="AZ62" s="11">
        <f t="shared" si="8"/>
        <v>0.2994677494</v>
      </c>
      <c r="BA62" s="9">
        <f t="shared" si="9"/>
        <v>0.07160606461</v>
      </c>
      <c r="BB62" s="10">
        <f t="shared" si="10"/>
        <v>-0.02707487615</v>
      </c>
      <c r="BC62" s="11">
        <f t="shared" si="11"/>
        <v>0.05666204124</v>
      </c>
      <c r="BD62" s="4">
        <f t="shared" ref="BD62:BE62" si="71">((R62-R$68)/R$69)</f>
        <v>-0.5001456707</v>
      </c>
      <c r="BE62" s="4">
        <f t="shared" si="71"/>
        <v>-1.056762357</v>
      </c>
      <c r="BF62" s="3"/>
    </row>
    <row r="63">
      <c r="A63" s="3" t="s">
        <v>57</v>
      </c>
      <c r="B63" s="4">
        <f t="shared" si="2"/>
        <v>-0.05957454034</v>
      </c>
      <c r="C63" s="3" t="s">
        <v>58</v>
      </c>
      <c r="D63" s="3" t="s">
        <v>59</v>
      </c>
      <c r="E63" s="5" t="s">
        <v>76</v>
      </c>
      <c r="F63" s="3" t="s">
        <v>61</v>
      </c>
      <c r="G63" s="5" t="s">
        <v>77</v>
      </c>
      <c r="H63" s="5" t="s">
        <v>80</v>
      </c>
      <c r="I63" s="6">
        <v>150.0</v>
      </c>
      <c r="J63" s="5" t="s">
        <v>94</v>
      </c>
      <c r="K63" s="3" t="s">
        <v>65</v>
      </c>
      <c r="L63" s="5" t="s">
        <v>66</v>
      </c>
      <c r="M63" s="3" t="s">
        <v>89</v>
      </c>
      <c r="N63" s="3" t="s">
        <v>74</v>
      </c>
      <c r="O63" s="3" t="s">
        <v>69</v>
      </c>
      <c r="P63" s="5" t="s">
        <v>86</v>
      </c>
      <c r="Q63" s="5" t="s">
        <v>75</v>
      </c>
      <c r="R63" s="8">
        <v>521.846090078353</v>
      </c>
      <c r="S63" s="8">
        <v>325.4116461277</v>
      </c>
      <c r="T63" s="8">
        <v>3.41547251804681</v>
      </c>
      <c r="U63" s="8">
        <v>17.7013955235872</v>
      </c>
      <c r="V63" s="8">
        <v>4.20730264226229</v>
      </c>
      <c r="W63" s="8">
        <v>0.466052865056991</v>
      </c>
      <c r="X63" s="8">
        <v>0.125868802320954</v>
      </c>
      <c r="Y63" s="8">
        <v>0.0229990027322144</v>
      </c>
      <c r="Z63" s="8">
        <v>0.151654220950867</v>
      </c>
      <c r="AA63" s="8">
        <v>0.464693723019233</v>
      </c>
      <c r="AB63" s="8">
        <v>0.126384111835382</v>
      </c>
      <c r="AC63" s="8">
        <v>0.152006856648246</v>
      </c>
      <c r="AD63" s="8">
        <v>0.46627984294117</v>
      </c>
      <c r="AE63" s="8">
        <v>0.126526020404316</v>
      </c>
      <c r="AF63" s="8">
        <v>0.157512126009879</v>
      </c>
      <c r="AG63" s="8">
        <v>0.428657055508833</v>
      </c>
      <c r="AH63" s="12">
        <v>10.0</v>
      </c>
      <c r="AI63" s="8">
        <v>3.41547251804683</v>
      </c>
      <c r="AJ63" s="8">
        <v>17.7013955235872</v>
      </c>
      <c r="AK63" s="8">
        <v>4.20730264226229</v>
      </c>
      <c r="AL63" s="8">
        <v>0.466034413099855</v>
      </c>
      <c r="AM63" s="8">
        <v>3.49662709411249</v>
      </c>
      <c r="AN63" s="8">
        <v>17.6864239889562</v>
      </c>
      <c r="AO63" s="8">
        <v>4.20552303393481</v>
      </c>
      <c r="AP63" s="8">
        <v>0.46627984294117</v>
      </c>
      <c r="AQ63" s="8">
        <v>3.50055323118632</v>
      </c>
      <c r="AR63" s="8">
        <v>18.9907301254231</v>
      </c>
      <c r="AS63" s="8">
        <v>4.35783548627333</v>
      </c>
      <c r="AT63" s="8">
        <v>0.428657055508833</v>
      </c>
      <c r="AU63" s="9">
        <f t="shared" si="3"/>
        <v>0.2533529871</v>
      </c>
      <c r="AV63" s="10">
        <f t="shared" si="4"/>
        <v>0.2584872453</v>
      </c>
      <c r="AW63" s="10">
        <f t="shared" si="5"/>
        <v>-0.04705737276</v>
      </c>
      <c r="AX63" s="11">
        <f t="shared" si="6"/>
        <v>-0.09808115608</v>
      </c>
      <c r="AY63" s="9">
        <f t="shared" si="7"/>
        <v>0.04495449826</v>
      </c>
      <c r="AZ63" s="11">
        <f t="shared" si="8"/>
        <v>-0.01750149344</v>
      </c>
      <c r="BA63" s="9">
        <f t="shared" si="9"/>
        <v>0.05798020136</v>
      </c>
      <c r="BB63" s="10">
        <f t="shared" si="10"/>
        <v>-0.2147466642</v>
      </c>
      <c r="BC63" s="11">
        <f t="shared" si="11"/>
        <v>-0.1642127685</v>
      </c>
      <c r="BD63" s="4">
        <f t="shared" ref="BD63:BE63" si="72">((R63-R$68)/R$69)</f>
        <v>-0.2739741973</v>
      </c>
      <c r="BE63" s="4">
        <f t="shared" si="72"/>
        <v>0.856118664</v>
      </c>
      <c r="BF63" s="3"/>
    </row>
    <row r="64">
      <c r="A64" s="3" t="s">
        <v>72</v>
      </c>
      <c r="B64" s="4">
        <f t="shared" si="2"/>
        <v>-1.527585425</v>
      </c>
      <c r="C64" s="3" t="s">
        <v>58</v>
      </c>
      <c r="D64" s="3" t="s">
        <v>59</v>
      </c>
      <c r="E64" s="5" t="s">
        <v>60</v>
      </c>
      <c r="F64" s="3" t="s">
        <v>73</v>
      </c>
      <c r="G64" s="5" t="s">
        <v>60</v>
      </c>
      <c r="H64" s="5" t="s">
        <v>63</v>
      </c>
      <c r="I64" s="6">
        <v>150.0</v>
      </c>
      <c r="J64" s="5" t="s">
        <v>94</v>
      </c>
      <c r="K64" s="3" t="s">
        <v>65</v>
      </c>
      <c r="L64" s="5" t="s">
        <v>66</v>
      </c>
      <c r="M64" s="3" t="s">
        <v>67</v>
      </c>
      <c r="N64" s="3" t="s">
        <v>84</v>
      </c>
      <c r="O64" s="3" t="s">
        <v>69</v>
      </c>
      <c r="P64" s="5" t="s">
        <v>71</v>
      </c>
      <c r="Q64" s="5" t="s">
        <v>75</v>
      </c>
      <c r="R64" s="8">
        <v>123.80146241188</v>
      </c>
      <c r="S64" s="8">
        <v>133.614428281784</v>
      </c>
      <c r="T64" s="8">
        <v>6.31017582061364</v>
      </c>
      <c r="U64" s="8">
        <v>64.6567335631427</v>
      </c>
      <c r="V64" s="8">
        <v>8.04094108690909</v>
      </c>
      <c r="W64" s="8">
        <v>-0.975189189976936</v>
      </c>
      <c r="X64" s="8">
        <v>0.200151407113081</v>
      </c>
      <c r="Y64" s="8">
        <v>0.0666189225008855</v>
      </c>
      <c r="Z64" s="8">
        <v>0.258106417008344</v>
      </c>
      <c r="AA64" s="8">
        <v>-0.49865686511233</v>
      </c>
      <c r="AB64" s="8">
        <v>0.206819904351226</v>
      </c>
      <c r="AC64" s="8">
        <v>0.265064300828175</v>
      </c>
      <c r="AD64" s="8">
        <v>-0.540867169257258</v>
      </c>
      <c r="AE64" s="8">
        <v>0.214516946033118</v>
      </c>
      <c r="AF64" s="8">
        <v>0.273043638724878</v>
      </c>
      <c r="AG64" s="8">
        <v>-0.653080630066636</v>
      </c>
      <c r="AH64" s="12">
        <v>10.0</v>
      </c>
      <c r="AI64" s="8">
        <v>6.31017582061364</v>
      </c>
      <c r="AJ64" s="8">
        <v>64.6567335631427</v>
      </c>
      <c r="AK64" s="8">
        <v>8.04094108690909</v>
      </c>
      <c r="AL64" s="8">
        <v>-0.975667359201603</v>
      </c>
      <c r="AM64" s="8">
        <v>5.5324324413953</v>
      </c>
      <c r="AN64" s="8">
        <v>50.2747654895839</v>
      </c>
      <c r="AO64" s="8">
        <v>7.09047004715371</v>
      </c>
      <c r="AP64" s="8">
        <v>-0.540867169257258</v>
      </c>
      <c r="AQ64" s="8">
        <v>5.73832830638593</v>
      </c>
      <c r="AR64" s="8">
        <v>53.3472084495218</v>
      </c>
      <c r="AS64" s="8">
        <v>7.3039173358905</v>
      </c>
      <c r="AT64" s="8">
        <v>-0.653080630066637</v>
      </c>
      <c r="AU64" s="9">
        <f t="shared" si="3"/>
        <v>1.788503211</v>
      </c>
      <c r="AV64" s="10">
        <f t="shared" si="4"/>
        <v>2.232826861</v>
      </c>
      <c r="AW64" s="10">
        <f t="shared" si="5"/>
        <v>1.6393938</v>
      </c>
      <c r="AX64" s="11">
        <f t="shared" si="6"/>
        <v>1.825431029</v>
      </c>
      <c r="AY64" s="9">
        <f t="shared" si="7"/>
        <v>2.491381475</v>
      </c>
      <c r="AZ64" s="11">
        <f t="shared" si="8"/>
        <v>2.73443936</v>
      </c>
      <c r="BA64" s="9">
        <f t="shared" si="9"/>
        <v>1.67888259</v>
      </c>
      <c r="BB64" s="10">
        <f t="shared" si="10"/>
        <v>1.515684108</v>
      </c>
      <c r="BC64" s="11">
        <f t="shared" si="11"/>
        <v>2.632777209</v>
      </c>
      <c r="BD64" s="4">
        <f t="shared" ref="BD64:BE64" si="73">((R64-R$68)/R$69)</f>
        <v>-0.7592077621</v>
      </c>
      <c r="BE64" s="4">
        <f t="shared" si="73"/>
        <v>-0.9766722028</v>
      </c>
      <c r="BF64" s="3"/>
    </row>
    <row r="65">
      <c r="A65" s="3" t="s">
        <v>57</v>
      </c>
      <c r="B65" s="4">
        <f t="shared" si="2"/>
        <v>-1.784960082</v>
      </c>
      <c r="C65" s="3" t="s">
        <v>58</v>
      </c>
      <c r="D65" s="3" t="s">
        <v>59</v>
      </c>
      <c r="E65" s="5" t="s">
        <v>60</v>
      </c>
      <c r="F65" s="3" t="s">
        <v>61</v>
      </c>
      <c r="G65" s="5" t="s">
        <v>62</v>
      </c>
      <c r="H65" s="5" t="s">
        <v>63</v>
      </c>
      <c r="I65" s="6">
        <v>150.0</v>
      </c>
      <c r="J65" s="5" t="s">
        <v>94</v>
      </c>
      <c r="K65" s="3" t="s">
        <v>65</v>
      </c>
      <c r="L65" s="5" t="s">
        <v>66</v>
      </c>
      <c r="M65" s="3" t="s">
        <v>67</v>
      </c>
      <c r="N65" s="3" t="s">
        <v>68</v>
      </c>
      <c r="O65" s="3" t="s">
        <v>69</v>
      </c>
      <c r="P65" s="5" t="s">
        <v>86</v>
      </c>
      <c r="Q65" s="5" t="s">
        <v>86</v>
      </c>
      <c r="R65" s="8">
        <v>154.368274450302</v>
      </c>
      <c r="S65" s="8">
        <v>136.482329845428</v>
      </c>
      <c r="T65" s="8">
        <v>5.52199810973247</v>
      </c>
      <c r="U65" s="8">
        <v>50.4494886955168</v>
      </c>
      <c r="V65" s="8">
        <v>7.10278034966004</v>
      </c>
      <c r="W65" s="8">
        <v>-0.505297438431221</v>
      </c>
      <c r="X65" s="8">
        <v>0.163914208629076</v>
      </c>
      <c r="Y65" s="8">
        <v>0.0441796921212021</v>
      </c>
      <c r="Z65" s="8">
        <v>0.210189657502937</v>
      </c>
      <c r="AA65" s="8">
        <v>0.0456293737929481</v>
      </c>
      <c r="AB65" s="8">
        <v>0.165548158187123</v>
      </c>
      <c r="AC65" s="8">
        <v>0.21187917797092</v>
      </c>
      <c r="AD65" s="8">
        <v>0.0387170901913695</v>
      </c>
      <c r="AE65" s="8">
        <v>0.341009938719176</v>
      </c>
      <c r="AF65" s="8">
        <v>0.402106197016605</v>
      </c>
      <c r="AG65" s="8">
        <v>-2.44301048191024</v>
      </c>
      <c r="AH65" s="12">
        <v>10.0</v>
      </c>
      <c r="AI65" s="8">
        <v>5.52199810973247</v>
      </c>
      <c r="AJ65" s="8">
        <v>50.4494886955168</v>
      </c>
      <c r="AK65" s="8">
        <v>7.10278034966004</v>
      </c>
      <c r="AL65" s="8">
        <v>-0.505484419242839</v>
      </c>
      <c r="AM65" s="8">
        <v>4.42841323150556</v>
      </c>
      <c r="AN65" s="8">
        <v>32.1235942233648</v>
      </c>
      <c r="AO65" s="8">
        <v>5.66776801072211</v>
      </c>
      <c r="AP65" s="8">
        <v>0.0387170901913697</v>
      </c>
      <c r="AQ65" s="8">
        <v>9.12201586073794</v>
      </c>
      <c r="AR65" s="8">
        <v>115.698866764542</v>
      </c>
      <c r="AS65" s="8">
        <v>10.7563407701942</v>
      </c>
      <c r="AT65" s="8">
        <v>-2.44301048191024</v>
      </c>
      <c r="AU65" s="9">
        <f t="shared" si="3"/>
        <v>1.000814939</v>
      </c>
      <c r="AV65" s="10">
        <f t="shared" si="4"/>
        <v>1.304046843</v>
      </c>
      <c r="AW65" s="10">
        <f t="shared" si="5"/>
        <v>4.189437325</v>
      </c>
      <c r="AX65" s="11">
        <f t="shared" si="6"/>
        <v>4.079536272</v>
      </c>
      <c r="AY65" s="9">
        <f t="shared" si="7"/>
        <v>1.825261665</v>
      </c>
      <c r="AZ65" s="11">
        <f t="shared" si="8"/>
        <v>2.060989608</v>
      </c>
      <c r="BA65" s="9">
        <f t="shared" si="9"/>
        <v>0.7460996902</v>
      </c>
      <c r="BB65" s="10">
        <f t="shared" si="10"/>
        <v>4.378993518</v>
      </c>
      <c r="BC65" s="11">
        <f t="shared" si="11"/>
        <v>1.72059343</v>
      </c>
      <c r="BD65" s="4">
        <f t="shared" ref="BD65:BE65" si="74">((R65-R$68)/R$69)</f>
        <v>-0.7219455002</v>
      </c>
      <c r="BE65" s="4">
        <f t="shared" si="74"/>
        <v>-0.9492668846</v>
      </c>
      <c r="BF65" s="3"/>
    </row>
    <row r="66">
      <c r="A66" s="3" t="s">
        <v>57</v>
      </c>
      <c r="B66" s="4">
        <f t="shared" si="2"/>
        <v>-1.109433572</v>
      </c>
      <c r="C66" s="3" t="s">
        <v>58</v>
      </c>
      <c r="D66" s="3" t="s">
        <v>59</v>
      </c>
      <c r="E66" s="5" t="s">
        <v>60</v>
      </c>
      <c r="F66" s="3" t="s">
        <v>61</v>
      </c>
      <c r="G66" s="5" t="s">
        <v>62</v>
      </c>
      <c r="H66" s="5" t="s">
        <v>80</v>
      </c>
      <c r="I66" s="13">
        <v>20.0</v>
      </c>
      <c r="J66" s="5" t="s">
        <v>94</v>
      </c>
      <c r="K66" s="3" t="s">
        <v>65</v>
      </c>
      <c r="L66" s="5" t="s">
        <v>66</v>
      </c>
      <c r="M66" s="3" t="s">
        <v>78</v>
      </c>
      <c r="N66" s="3" t="s">
        <v>84</v>
      </c>
      <c r="O66" s="3" t="s">
        <v>69</v>
      </c>
      <c r="P66" s="5" t="s">
        <v>70</v>
      </c>
      <c r="Q66" s="5" t="s">
        <v>75</v>
      </c>
      <c r="R66" s="14">
        <v>71.0093083381652</v>
      </c>
      <c r="S66" s="14">
        <v>132.174384355545</v>
      </c>
      <c r="T66" s="14">
        <v>5.94319497393329</v>
      </c>
      <c r="U66" s="14">
        <v>46.7861097037301</v>
      </c>
      <c r="V66" s="14">
        <v>6.84003725894312</v>
      </c>
      <c r="W66" s="14">
        <v>-0.380082555800255</v>
      </c>
      <c r="X66" s="14">
        <v>0.209155186225153</v>
      </c>
      <c r="Y66" s="14">
        <v>0.0490351686146599</v>
      </c>
      <c r="Z66" s="14">
        <v>0.221438859766437</v>
      </c>
      <c r="AA66" s="14">
        <v>-0.0473731884538377</v>
      </c>
      <c r="AB66" s="14">
        <v>0.209675912400906</v>
      </c>
      <c r="AC66" s="14">
        <v>0.221912543997136</v>
      </c>
      <c r="AD66" s="14">
        <v>-0.0434923198475922</v>
      </c>
      <c r="AE66" s="14">
        <v>0.227680578329244</v>
      </c>
      <c r="AF66" s="14">
        <v>0.249582526393432</v>
      </c>
      <c r="AG66" s="14">
        <v>-0.309478955420436</v>
      </c>
      <c r="AH66" s="14">
        <v>10.0</v>
      </c>
      <c r="AI66" s="14">
        <v>5.94319497393327</v>
      </c>
      <c r="AJ66" s="14">
        <v>46.7861097037301</v>
      </c>
      <c r="AK66" s="14">
        <v>6.84003725894312</v>
      </c>
      <c r="AL66" s="14">
        <v>-0.379922490965303</v>
      </c>
      <c r="AM66" s="14">
        <v>5.60883065672424</v>
      </c>
      <c r="AN66" s="14">
        <v>35.2380020982116</v>
      </c>
      <c r="AO66" s="14">
        <v>5.9361605519234</v>
      </c>
      <c r="AP66" s="14">
        <v>-0.0434923198475922</v>
      </c>
      <c r="AQ66" s="14">
        <v>6.09045547030728</v>
      </c>
      <c r="AR66" s="14">
        <v>44.5734167324469</v>
      </c>
      <c r="AS66" s="14">
        <v>6.67633258102432</v>
      </c>
      <c r="AT66" s="14">
        <v>-0.309478955420436</v>
      </c>
      <c r="AU66" s="9">
        <f t="shared" si="3"/>
        <v>1.8430113</v>
      </c>
      <c r="AV66" s="10">
        <f t="shared" si="4"/>
        <v>1.479261065</v>
      </c>
      <c r="AW66" s="10">
        <f t="shared" si="5"/>
        <v>1.904766881</v>
      </c>
      <c r="AX66" s="11">
        <f t="shared" si="6"/>
        <v>1.415677674</v>
      </c>
      <c r="AY66" s="9">
        <f t="shared" si="7"/>
        <v>2.181231609</v>
      </c>
      <c r="AZ66" s="11">
        <f t="shared" si="8"/>
        <v>1.872381982</v>
      </c>
      <c r="BA66" s="9">
        <f t="shared" si="9"/>
        <v>0.8784075137</v>
      </c>
      <c r="BB66" s="10">
        <f t="shared" si="10"/>
        <v>0.9660324508</v>
      </c>
      <c r="BC66" s="11">
        <f t="shared" si="11"/>
        <v>1.476995578</v>
      </c>
      <c r="BD66" s="4">
        <f t="shared" ref="BD66:BE66" si="75">((R66-R$68)/R$69)</f>
        <v>-0.8235636743</v>
      </c>
      <c r="BE66" s="4">
        <f t="shared" si="75"/>
        <v>-0.9904330873</v>
      </c>
      <c r="B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15"/>
      <c r="P67" s="16"/>
      <c r="Q67" s="3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18" t="s">
        <v>95</v>
      </c>
      <c r="P68" s="19"/>
      <c r="Q68" s="3"/>
      <c r="R68" s="17">
        <f t="shared" ref="R68:AT68" si="76">AVERAGE(R2:R66)</f>
        <v>746.5913783</v>
      </c>
      <c r="S68" s="17">
        <f t="shared" si="76"/>
        <v>235.8208582</v>
      </c>
      <c r="T68" s="17">
        <f t="shared" si="76"/>
        <v>3.427716839</v>
      </c>
      <c r="U68" s="17">
        <f t="shared" si="76"/>
        <v>20.47210139</v>
      </c>
      <c r="V68" s="17">
        <f t="shared" si="76"/>
        <v>4.313236166</v>
      </c>
      <c r="W68" s="17">
        <f t="shared" si="76"/>
        <v>0.3815012618</v>
      </c>
      <c r="X68" s="17">
        <f t="shared" si="76"/>
        <v>0.1119805646</v>
      </c>
      <c r="Y68" s="17">
        <f t="shared" si="76"/>
        <v>0.0217083807</v>
      </c>
      <c r="Z68" s="17">
        <f t="shared" si="76"/>
        <v>0.1363231247</v>
      </c>
      <c r="AA68" s="17">
        <f t="shared" si="76"/>
        <v>0.5016107997</v>
      </c>
      <c r="AB68" s="17">
        <f t="shared" si="76"/>
        <v>0.1131094186</v>
      </c>
      <c r="AC68" s="17">
        <f t="shared" si="76"/>
        <v>0.1372049922</v>
      </c>
      <c r="AD68" s="17">
        <f t="shared" si="76"/>
        <v>0.5023058165</v>
      </c>
      <c r="AE68" s="17">
        <f t="shared" si="76"/>
        <v>0.1335901086</v>
      </c>
      <c r="AF68" s="17">
        <f t="shared" si="76"/>
        <v>0.1690288483</v>
      </c>
      <c r="AG68" s="17">
        <f t="shared" si="76"/>
        <v>0.2944132803</v>
      </c>
      <c r="AH68" s="17">
        <f t="shared" si="76"/>
        <v>10</v>
      </c>
      <c r="AI68" s="17">
        <f t="shared" si="76"/>
        <v>3.362280685</v>
      </c>
      <c r="AJ68" s="17">
        <f t="shared" si="76"/>
        <v>19.81792457</v>
      </c>
      <c r="AK68" s="17">
        <f t="shared" si="76"/>
        <v>4.231683398</v>
      </c>
      <c r="AL68" s="17">
        <f t="shared" si="76"/>
        <v>0.3813913356</v>
      </c>
      <c r="AM68" s="17">
        <f t="shared" si="76"/>
        <v>3.020671895</v>
      </c>
      <c r="AN68" s="17">
        <f t="shared" si="76"/>
        <v>15.8674845</v>
      </c>
      <c r="AO68" s="17">
        <f t="shared" si="76"/>
        <v>3.663544742</v>
      </c>
      <c r="AP68" s="17">
        <f t="shared" si="76"/>
        <v>0.5023058165</v>
      </c>
      <c r="AQ68" s="17">
        <f t="shared" si="76"/>
        <v>3.562994301</v>
      </c>
      <c r="AR68" s="17">
        <f t="shared" si="76"/>
        <v>22.63234555</v>
      </c>
      <c r="AS68" s="17">
        <f t="shared" si="76"/>
        <v>4.508058145</v>
      </c>
      <c r="AT68" s="17">
        <f t="shared" si="76"/>
        <v>0.2944132803</v>
      </c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18" t="s">
        <v>96</v>
      </c>
      <c r="P69" s="19"/>
      <c r="Q69" s="3"/>
      <c r="R69" s="17">
        <f t="shared" ref="R69:AT69" si="77">STDEV(R2:R66)</f>
        <v>820.3155275</v>
      </c>
      <c r="S69" s="17">
        <f t="shared" si="77"/>
        <v>104.6476285</v>
      </c>
      <c r="T69" s="17">
        <f t="shared" si="77"/>
        <v>1.17325711</v>
      </c>
      <c r="U69" s="17">
        <f t="shared" si="77"/>
        <v>16.9189945</v>
      </c>
      <c r="V69" s="17">
        <f t="shared" si="77"/>
        <v>1.377419382</v>
      </c>
      <c r="W69" s="17">
        <f t="shared" si="77"/>
        <v>0.5154502916</v>
      </c>
      <c r="X69" s="17">
        <f t="shared" si="77"/>
        <v>0.05152655206</v>
      </c>
      <c r="Y69" s="17">
        <f t="shared" si="77"/>
        <v>0.02588262696</v>
      </c>
      <c r="Z69" s="17">
        <f t="shared" si="77"/>
        <v>0.05633120717</v>
      </c>
      <c r="AA69" s="17">
        <f t="shared" si="77"/>
        <v>0.6180182236</v>
      </c>
      <c r="AB69" s="17">
        <f t="shared" si="77"/>
        <v>0.05239604</v>
      </c>
      <c r="AC69" s="17">
        <f t="shared" si="77"/>
        <v>0.05726342279</v>
      </c>
      <c r="AD69" s="17">
        <f t="shared" si="77"/>
        <v>0.6213495762</v>
      </c>
      <c r="AE69" s="17">
        <f t="shared" si="77"/>
        <v>0.04844450296</v>
      </c>
      <c r="AF69" s="17">
        <f t="shared" si="77"/>
        <v>0.05588525813</v>
      </c>
      <c r="AG69" s="17">
        <f t="shared" si="77"/>
        <v>0.6251262421</v>
      </c>
      <c r="AH69" s="17">
        <f t="shared" si="77"/>
        <v>0</v>
      </c>
      <c r="AI69" s="17">
        <f t="shared" si="77"/>
        <v>1.183237158</v>
      </c>
      <c r="AJ69" s="17">
        <f t="shared" si="77"/>
        <v>16.98178054</v>
      </c>
      <c r="AK69" s="17">
        <f t="shared" si="77"/>
        <v>1.393067165</v>
      </c>
      <c r="AL69" s="17">
        <f t="shared" si="77"/>
        <v>0.5154476005</v>
      </c>
      <c r="AM69" s="17">
        <f t="shared" si="77"/>
        <v>1.443851252</v>
      </c>
      <c r="AN69" s="17">
        <f t="shared" si="77"/>
        <v>20.20366431</v>
      </c>
      <c r="AO69" s="17">
        <f t="shared" si="77"/>
        <v>1.576116109</v>
      </c>
      <c r="AP69" s="17">
        <f t="shared" si="77"/>
        <v>0.6213495762</v>
      </c>
      <c r="AQ69" s="17">
        <f t="shared" si="77"/>
        <v>1.326913647</v>
      </c>
      <c r="AR69" s="17">
        <f t="shared" si="77"/>
        <v>20.74624116</v>
      </c>
      <c r="AS69" s="17">
        <f t="shared" si="77"/>
        <v>1.531615902</v>
      </c>
      <c r="AT69" s="17">
        <f t="shared" si="77"/>
        <v>0.6251262421</v>
      </c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17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17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17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1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17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17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17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17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17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17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17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17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17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17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17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17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17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17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17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17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17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17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17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17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17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17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17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17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17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17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17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17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17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17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17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17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17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17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17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17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17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17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17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17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17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17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17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17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17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17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17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17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17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17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17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17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17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17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17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17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17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17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17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17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17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17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17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17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17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17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17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17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17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17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17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17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17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17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17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17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17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17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17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17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17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17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17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17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17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17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17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17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17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17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17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17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17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17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17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17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17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17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17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17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17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17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17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17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17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17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17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17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17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17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17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17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17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17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17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17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17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17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17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17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17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17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17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17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17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17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17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17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17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17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17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17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17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17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17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17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17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17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17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17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17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17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17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17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17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17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17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17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17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17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17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17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17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17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17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17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17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17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17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17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17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17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17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17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17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17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17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17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17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17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17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17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17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17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17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17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17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17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17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17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17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17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17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17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17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17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17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17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17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17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17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17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17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17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17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17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17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17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17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17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17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17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17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17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17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17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17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17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17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17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17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17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17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17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17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17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17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17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17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17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17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17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17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17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17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17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17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17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17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17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17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17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17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17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17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17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17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17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17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17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17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17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17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17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17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17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17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17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17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17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17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17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17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17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17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17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17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17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17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17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17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17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17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17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17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17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17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17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17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17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17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17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17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17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17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17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17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17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17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17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17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17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17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17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17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17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17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17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17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17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17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17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17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17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17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17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17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17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17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17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17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17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17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17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17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17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17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17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17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17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17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17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17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17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17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17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17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17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17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17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17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17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17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17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17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17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17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17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17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17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17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17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17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17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17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17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17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17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17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17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17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17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17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17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17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17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17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17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17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17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17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17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17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17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17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17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17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17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17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17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17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17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17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17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17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17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17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17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17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17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17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17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17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17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17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17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17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17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17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17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17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17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17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17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17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17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17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17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17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17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17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17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17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17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17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17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17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17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17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17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17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17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17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17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17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17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17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17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17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17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17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17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17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17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17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17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17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17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17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17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17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17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17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17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17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17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17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17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17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17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17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17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17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17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17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17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17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17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17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17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17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17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17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17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17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17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17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17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17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17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17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17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17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17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17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17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17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17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17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17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17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17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17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17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17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17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17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17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17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17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17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17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17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17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17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17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17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17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17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17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17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17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17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17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17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17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17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17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17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17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17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17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17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17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17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17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17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17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17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17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17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17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17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17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17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17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17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17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17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17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17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17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17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17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17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17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17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17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17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17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17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17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17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17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17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17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17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17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17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17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17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17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17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17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17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17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17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17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17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17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17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17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17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17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17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17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17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17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17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17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17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17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17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17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17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17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17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17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17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17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17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17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17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17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17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17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17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17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17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17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17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17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17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17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17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17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17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17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17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17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17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17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17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17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17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17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17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17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17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17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17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17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17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17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17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17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17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17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17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17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17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17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17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17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17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17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17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17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17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17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17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17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17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17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17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17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17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17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17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17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17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17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17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17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17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17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17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17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17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17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17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17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17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17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17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17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17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17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17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17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17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17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17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17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17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17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17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17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17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17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17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17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17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17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17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17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17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17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17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17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17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17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17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17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17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17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17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17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17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17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17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17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17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17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17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17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17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17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17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17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17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17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17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17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17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17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17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17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17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17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17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17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17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17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17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17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17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17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17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17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17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17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17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17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17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17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17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17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17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17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17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17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17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17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17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17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17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17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17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17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17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17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17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17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17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17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17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17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17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17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17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17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17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17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17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17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17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17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17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17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17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17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17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17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17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17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17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17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17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17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17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17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17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17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17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17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17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17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17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17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17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17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17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17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17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17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17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17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17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17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17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17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17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17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17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17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17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17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17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17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17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17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17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17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17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17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17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17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17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17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17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17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17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17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17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17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17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17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17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17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17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17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17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17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17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17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17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17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17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17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17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17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17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17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17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17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17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17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17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17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17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17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17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17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17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17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17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17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17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17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17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17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17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17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17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17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17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17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17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17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17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17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17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17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17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17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17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17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17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17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17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17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17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17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17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17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17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17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17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17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17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17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17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17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