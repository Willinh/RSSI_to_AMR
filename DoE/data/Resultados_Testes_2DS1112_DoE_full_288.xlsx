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summary_2DS_1112" sheetId="1" r:id="rId4"/>
  </sheets>
  <definedNames/>
  <calcPr/>
</workbook>
</file>

<file path=xl/sharedStrings.xml><?xml version="1.0" encoding="utf-8"?>
<sst xmlns="http://schemas.openxmlformats.org/spreadsheetml/2006/main" count="4512" uniqueCount="109">
  <si>
    <t>Modelo</t>
  </si>
  <si>
    <t>Ranking final</t>
  </si>
  <si>
    <t>Datasets usados</t>
  </si>
  <si>
    <t xml:space="preserve">Hiperparametros </t>
  </si>
  <si>
    <t>Tempos</t>
  </si>
  <si>
    <t>Métricas - Resultados</t>
  </si>
  <si>
    <t>Z-Score ERRO</t>
  </si>
  <si>
    <t>Agregadas no Horizonte</t>
  </si>
  <si>
    <t>Acurácia</t>
  </si>
  <si>
    <t>Custo</t>
  </si>
  <si>
    <t>Z-Score_Composite</t>
  </si>
  <si>
    <t>train_dataset</t>
  </si>
  <si>
    <t>exp_dataset</t>
  </si>
  <si>
    <t>ordem_tests</t>
  </si>
  <si>
    <t>group_msec</t>
  </si>
  <si>
    <t>seconds_ahead</t>
  </si>
  <si>
    <t>forecast_steps</t>
  </si>
  <si>
    <t>timesteps_orig</t>
  </si>
  <si>
    <t>batch_size</t>
  </si>
  <si>
    <t>Epochs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</si>
  <si>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</si>
  <si>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</si>
  <si>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</si>
  <si>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</si>
  <si>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</si>
  <si>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</si>
  <si>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</si>
  <si>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</si>
  <si>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</si>
  <si>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</si>
  <si>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</si>
  <si>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</si>
  <si>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</si>
  <si>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</si>
  <si>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</si>
  <si>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</si>
  <si>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</si>
  <si>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</si>
  <si>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</si>
  <si>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</si>
  <si>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</si>
  <si>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</si>
  <si>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</si>
  <si>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</si>
  <si>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</si>
  <si>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</si>
  <si>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</si>
  <si>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</si>
  <si>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</si>
  <si>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</si>
  <si>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</si>
  <si>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</si>
  <si>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</si>
  <si>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</si>
  <si>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</si>
  <si>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</si>
  <si>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</si>
  <si>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</si>
  <si>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</si>
  <si>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</si>
  <si>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</si>
  <si>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</si>
  <si>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</si>
  <si>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</si>
  <si>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</si>
  <si>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</si>
  <si>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</si>
  <si>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GRU</t>
  </si>
  <si>
    <t>rssi_odom_dataset_11apr25_isolado.parquet</t>
  </si>
  <si>
    <t>rssi_odom_dataset_12apr25_isolado.parquet</t>
  </si>
  <si>
    <t>100</t>
  </si>
  <si>
    <t>3.0</t>
  </si>
  <si>
    <t>30</t>
  </si>
  <si>
    <t>60</t>
  </si>
  <si>
    <t>512</t>
  </si>
  <si>
    <t>20</t>
  </si>
  <si>
    <t>32-96:32</t>
  </si>
  <si>
    <t>2</t>
  </si>
  <si>
    <t>tanh</t>
  </si>
  <si>
    <t>rmsprop</t>
  </si>
  <si>
    <t>0.2</t>
  </si>
  <si>
    <t>96</t>
  </si>
  <si>
    <t>LSTM</t>
  </si>
  <si>
    <t>1024</t>
  </si>
  <si>
    <t>64-256:64</t>
  </si>
  <si>
    <t>1</t>
  </si>
  <si>
    <t>Nadam</t>
  </si>
  <si>
    <t>256</t>
  </si>
  <si>
    <t>120</t>
  </si>
  <si>
    <t>128</t>
  </si>
  <si>
    <t>16-64:16</t>
  </si>
  <si>
    <t>relu</t>
  </si>
  <si>
    <t>adam</t>
  </si>
  <si>
    <t>48</t>
  </si>
  <si>
    <t>64</t>
  </si>
  <si>
    <t>elu</t>
  </si>
  <si>
    <t>16</t>
  </si>
  <si>
    <t>2048</t>
  </si>
  <si>
    <t>192</t>
  </si>
  <si>
    <t>150</t>
  </si>
  <si>
    <t>5.0</t>
  </si>
  <si>
    <t>50</t>
  </si>
  <si>
    <t>40</t>
  </si>
  <si>
    <t>75</t>
  </si>
  <si>
    <t>32</t>
  </si>
  <si>
    <t>125</t>
  </si>
  <si>
    <t/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</si>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</sst>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i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3" fillId="0" fontId="2" numFmtId="0" xfId="0" applyBorder="1" applyFont="1"/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6" numFmtId="164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8" fillId="0" fontId="3" numFmtId="164" xfId="0" applyAlignment="1" applyBorder="1" applyFont="1" applyNumberFormat="1">
      <alignment horizontal="right" vertical="bottom"/>
    </xf>
    <xf borderId="9" fillId="0" fontId="3" numFmtId="164" xfId="0" applyAlignment="1" applyBorder="1" applyFont="1" applyNumberFormat="1">
      <alignment horizontal="right" vertical="bottom"/>
    </xf>
    <xf borderId="10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6" numFmtId="164" xfId="0" applyFont="1" applyNumberFormat="1"/>
    <xf borderId="10" fillId="2" fontId="1" numFmtId="0" xfId="0" applyAlignment="1" applyBorder="1" applyFill="1" applyFont="1">
      <alignment horizontal="center" vertical="bottom"/>
    </xf>
    <xf borderId="10" fillId="0" fontId="3" numFmtId="164" xfId="0" applyAlignment="1" applyBorder="1" applyFont="1" applyNumberFormat="1">
      <alignment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88"/>
    <col customWidth="1" min="2" max="2" width="16.75"/>
    <col customWidth="1" min="3" max="3" width="34.38"/>
    <col customWidth="1" min="4" max="4" width="34.5"/>
    <col customWidth="1" min="5" max="6" width="10.88"/>
    <col customWidth="1" min="7" max="7" width="13.5"/>
    <col customWidth="1" min="8" max="8" width="12.75"/>
    <col customWidth="1" min="9" max="9" width="12.88"/>
    <col customWidth="1" min="10" max="10" width="9.5"/>
    <col customWidth="1" min="11" max="11" width="7.0"/>
    <col customWidth="1" min="12" max="12" width="10.5"/>
    <col customWidth="1" min="13" max="13" width="10.13"/>
    <col customWidth="1" min="14" max="14" width="13.13"/>
    <col customWidth="1" min="15" max="15" width="12.75"/>
    <col customWidth="1" min="16" max="18" width="11.63"/>
    <col customWidth="1" min="19" max="20" width="10.88"/>
    <col customWidth="1" min="21" max="22" width="9.75"/>
    <col customWidth="1" min="23" max="23" width="10.5"/>
    <col customWidth="1" min="24" max="24" width="8.0"/>
    <col customWidth="1" min="25" max="26" width="9.25"/>
    <col customWidth="1" min="27" max="27" width="9.88"/>
    <col customWidth="1" min="28" max="28" width="7.5"/>
    <col customWidth="1" min="29" max="29" width="9.63"/>
    <col customWidth="1" min="30" max="30" width="10.25"/>
    <col customWidth="1" min="31" max="31" width="7.88"/>
    <col customWidth="1" min="32" max="32" width="9.88"/>
    <col customWidth="1" min="33" max="33" width="10.5"/>
    <col customWidth="1" min="34" max="34" width="8.13"/>
    <col customWidth="1" min="35" max="35" width="10.13"/>
    <col customWidth="1" min="36" max="37" width="13.13"/>
    <col customWidth="1" min="38" max="38" width="13.75"/>
    <col customWidth="1" min="39" max="39" width="11.38"/>
    <col customWidth="1" min="40" max="41" width="13.5"/>
    <col customWidth="1" min="42" max="42" width="14.13"/>
    <col customWidth="1" min="43" max="43" width="11.75"/>
    <col customWidth="1" min="44" max="45" width="13.75"/>
    <col customWidth="1" min="46" max="46" width="14.38"/>
    <col customWidth="1" min="47" max="47" width="12.0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5" t="s">
        <v>3</v>
      </c>
      <c r="M1" s="6"/>
      <c r="N1" s="6"/>
      <c r="O1" s="6"/>
      <c r="P1" s="6"/>
      <c r="Q1" s="6"/>
      <c r="R1" s="6"/>
      <c r="S1" s="3" t="s">
        <v>4</v>
      </c>
      <c r="T1" s="4"/>
      <c r="U1" s="3" t="s">
        <v>5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4"/>
      <c r="AV1" s="8" t="s">
        <v>6</v>
      </c>
      <c r="AW1" s="9"/>
      <c r="AX1" s="9"/>
      <c r="AY1" s="10"/>
      <c r="AZ1" s="11" t="s">
        <v>7</v>
      </c>
      <c r="BA1" s="10"/>
      <c r="BB1" s="11" t="s">
        <v>8</v>
      </c>
      <c r="BC1" s="9"/>
      <c r="BD1" s="10"/>
      <c r="BE1" s="12" t="s">
        <v>9</v>
      </c>
      <c r="BG1" s="13"/>
      <c r="BH1" s="13"/>
    </row>
    <row r="2">
      <c r="A2" s="14" t="s">
        <v>0</v>
      </c>
      <c r="B2" s="15" t="s">
        <v>10</v>
      </c>
      <c r="C2" s="16" t="s">
        <v>11</v>
      </c>
      <c r="D2" s="16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  <c r="J2" s="14" t="s">
        <v>18</v>
      </c>
      <c r="K2" s="14" t="s">
        <v>19</v>
      </c>
      <c r="L2" s="14" t="s">
        <v>20</v>
      </c>
      <c r="M2" s="14" t="s">
        <v>21</v>
      </c>
      <c r="N2" s="14" t="s">
        <v>22</v>
      </c>
      <c r="O2" s="14" t="s">
        <v>23</v>
      </c>
      <c r="P2" s="14" t="s">
        <v>24</v>
      </c>
      <c r="Q2" s="14" t="s">
        <v>25</v>
      </c>
      <c r="R2" s="14" t="s">
        <v>26</v>
      </c>
      <c r="S2" s="14" t="s">
        <v>27</v>
      </c>
      <c r="T2" s="14" t="s">
        <v>28</v>
      </c>
      <c r="U2" s="14" t="s">
        <v>29</v>
      </c>
      <c r="V2" s="14" t="s">
        <v>30</v>
      </c>
      <c r="W2" s="14" t="s">
        <v>31</v>
      </c>
      <c r="X2" s="14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4" t="s">
        <v>37</v>
      </c>
      <c r="AD2" s="14" t="s">
        <v>38</v>
      </c>
      <c r="AE2" s="14" t="s">
        <v>39</v>
      </c>
      <c r="AF2" s="14" t="s">
        <v>40</v>
      </c>
      <c r="AG2" s="14" t="s">
        <v>41</v>
      </c>
      <c r="AH2" s="14" t="s">
        <v>42</v>
      </c>
      <c r="AI2" s="14" t="s">
        <v>43</v>
      </c>
      <c r="AJ2" s="14" t="s">
        <v>44</v>
      </c>
      <c r="AK2" s="14" t="s">
        <v>45</v>
      </c>
      <c r="AL2" s="14" t="s">
        <v>46</v>
      </c>
      <c r="AM2" s="14" t="s">
        <v>47</v>
      </c>
      <c r="AN2" s="14" t="s">
        <v>48</v>
      </c>
      <c r="AO2" s="14" t="s">
        <v>49</v>
      </c>
      <c r="AP2" s="14" t="s">
        <v>50</v>
      </c>
      <c r="AQ2" s="14" t="s">
        <v>51</v>
      </c>
      <c r="AR2" s="14" t="s">
        <v>52</v>
      </c>
      <c r="AS2" s="14" t="s">
        <v>53</v>
      </c>
      <c r="AT2" s="14" t="s">
        <v>54</v>
      </c>
      <c r="AU2" s="14" t="s">
        <v>55</v>
      </c>
      <c r="AV2" s="17" t="s">
        <v>56</v>
      </c>
      <c r="AW2" s="18" t="s">
        <v>57</v>
      </c>
      <c r="AX2" s="18" t="s">
        <v>58</v>
      </c>
      <c r="AY2" s="18" t="s">
        <v>59</v>
      </c>
      <c r="AZ2" s="17" t="s">
        <v>60</v>
      </c>
      <c r="BA2" s="18" t="s">
        <v>61</v>
      </c>
      <c r="BB2" s="17" t="s">
        <v>62</v>
      </c>
      <c r="BC2" s="18" t="s">
        <v>63</v>
      </c>
      <c r="BD2" s="18" t="s">
        <v>64</v>
      </c>
      <c r="BE2" s="18" t="s">
        <v>65</v>
      </c>
      <c r="BF2" s="18" t="s">
        <v>66</v>
      </c>
      <c r="BG2" s="19"/>
      <c r="BH2" s="19"/>
    </row>
    <row r="3">
      <c r="A3" s="16" t="s">
        <v>67</v>
      </c>
      <c r="B3" s="20">
        <f t="shared" ref="B3:B287" si="3">(((1*AV3)+(1*AW3)+(1*AX3)+(1*AY3)+(1*AZ3)+(1*BA3)+(1*BB3)+(1*BC3)+(1*BD3)+(1*BE3)+(1*BF3))/11)*-1</f>
        <v>1.224184009</v>
      </c>
      <c r="C3" s="16" t="s">
        <v>68</v>
      </c>
      <c r="D3" s="16" t="s">
        <v>69</v>
      </c>
      <c r="E3" s="16">
        <v>13.0</v>
      </c>
      <c r="F3" s="21" t="s">
        <v>70</v>
      </c>
      <c r="G3" s="16" t="s">
        <v>71</v>
      </c>
      <c r="H3" s="21" t="s">
        <v>72</v>
      </c>
      <c r="I3" s="21" t="s">
        <v>73</v>
      </c>
      <c r="J3" s="21" t="s">
        <v>74</v>
      </c>
      <c r="K3" s="21" t="s">
        <v>75</v>
      </c>
      <c r="L3" s="16" t="s">
        <v>76</v>
      </c>
      <c r="M3" s="21" t="s">
        <v>77</v>
      </c>
      <c r="N3" s="16" t="s">
        <v>78</v>
      </c>
      <c r="O3" s="16" t="s">
        <v>79</v>
      </c>
      <c r="P3" s="16" t="s">
        <v>80</v>
      </c>
      <c r="Q3" s="21" t="s">
        <v>81</v>
      </c>
      <c r="R3" s="21" t="s">
        <v>81</v>
      </c>
      <c r="S3" s="22">
        <v>180.821275711059</v>
      </c>
      <c r="T3" s="22">
        <v>133.277223348617</v>
      </c>
      <c r="U3" s="22">
        <v>2.14809010727958</v>
      </c>
      <c r="V3" s="22">
        <v>7.303699347923</v>
      </c>
      <c r="W3" s="22">
        <v>2.70253572555905</v>
      </c>
      <c r="X3" s="22">
        <v>0.784678085538216</v>
      </c>
      <c r="Y3" s="22">
        <v>0.0645791963896188</v>
      </c>
      <c r="Z3" s="22">
        <v>0.00629556934645217</v>
      </c>
      <c r="AA3" s="22">
        <v>0.0793446239291117</v>
      </c>
      <c r="AB3" s="22">
        <v>0.865528951448236</v>
      </c>
      <c r="AC3" s="22">
        <v>0.0647235811789395</v>
      </c>
      <c r="AD3" s="22">
        <v>0.0793843197177825</v>
      </c>
      <c r="AE3" s="22">
        <v>0.86646503173907</v>
      </c>
      <c r="AF3" s="22">
        <v>0.0934279072241823</v>
      </c>
      <c r="AG3" s="22">
        <v>0.117155774719788</v>
      </c>
      <c r="AH3" s="22">
        <v>0.711465618503033</v>
      </c>
      <c r="AI3" s="22">
        <v>10.0</v>
      </c>
      <c r="AJ3" s="22">
        <v>2.14809010727958</v>
      </c>
      <c r="AK3" s="22">
        <v>7.303699347923</v>
      </c>
      <c r="AL3" s="22">
        <v>2.70253572555905</v>
      </c>
      <c r="AM3" s="22">
        <v>0.784582666495051</v>
      </c>
      <c r="AN3" s="22">
        <v>1.73135579653663</v>
      </c>
      <c r="AO3" s="22">
        <v>4.50938200719149</v>
      </c>
      <c r="AP3" s="22">
        <v>2.12353055245068</v>
      </c>
      <c r="AQ3" s="22">
        <v>0.86646503173907</v>
      </c>
      <c r="AR3" s="22">
        <v>2.49919651824687</v>
      </c>
      <c r="AS3" s="22">
        <v>9.82143559838565</v>
      </c>
      <c r="AT3" s="22">
        <v>3.13391697375435</v>
      </c>
      <c r="AU3" s="22">
        <v>0.711465618503033</v>
      </c>
      <c r="AV3" s="23">
        <f t="shared" ref="AV3:AW3" si="1">(AC3-AC$289)/AC$290</f>
        <v>-1.322821586</v>
      </c>
      <c r="AW3" s="24">
        <f t="shared" si="1"/>
        <v>-1.319510399</v>
      </c>
      <c r="AX3" s="24">
        <f t="shared" ref="AX3:AX287" si="5">(AR3-AR$289)/AR$290</f>
        <v>-1.201771156</v>
      </c>
      <c r="AY3" s="25">
        <f t="shared" ref="AY3:AY287" si="6">(AT3-AT$289)/AT$290</f>
        <v>-1.301758833</v>
      </c>
      <c r="AZ3" s="23">
        <f t="shared" ref="AZ3:AZ287" si="7">(AJ3-AJ$289)/AJ$290</f>
        <v>-1.608611145</v>
      </c>
      <c r="BA3" s="25">
        <f t="shared" ref="BA3:BA287" si="8">(AL3-AL$289)/AL$290</f>
        <v>-1.6558305</v>
      </c>
      <c r="BB3" s="23">
        <f t="shared" ref="BB3:BB287" si="9">-((AQ3-AQ$289)/AQ$290)</f>
        <v>-0.938785911</v>
      </c>
      <c r="BC3" s="24">
        <f t="shared" ref="BC3:BC287" si="10">-((AU3-AU$289)/AU$290)</f>
        <v>-1.061351178</v>
      </c>
      <c r="BD3" s="25">
        <f t="shared" ref="BD3:BD287" si="11">-((AM3-AM$289)/AM$290)</f>
        <v>-1.353829137</v>
      </c>
      <c r="BE3" s="26">
        <f t="shared" ref="BE3:BF3" si="2">((S3-S$289)/S$290)</f>
        <v>-0.7242616582</v>
      </c>
      <c r="BF3" s="26">
        <f t="shared" si="2"/>
        <v>-0.9774925995</v>
      </c>
    </row>
    <row r="4">
      <c r="A4" s="16" t="s">
        <v>82</v>
      </c>
      <c r="B4" s="20">
        <f t="shared" si="3"/>
        <v>1.213252039</v>
      </c>
      <c r="C4" s="16" t="s">
        <v>68</v>
      </c>
      <c r="D4" s="16" t="s">
        <v>69</v>
      </c>
      <c r="E4" s="16">
        <v>38.0</v>
      </c>
      <c r="F4" s="21" t="s">
        <v>70</v>
      </c>
      <c r="G4" s="16" t="s">
        <v>71</v>
      </c>
      <c r="H4" s="21" t="s">
        <v>72</v>
      </c>
      <c r="I4" s="21" t="s">
        <v>73</v>
      </c>
      <c r="J4" s="21" t="s">
        <v>83</v>
      </c>
      <c r="K4" s="21" t="s">
        <v>75</v>
      </c>
      <c r="L4" s="16" t="s">
        <v>84</v>
      </c>
      <c r="M4" s="21" t="s">
        <v>85</v>
      </c>
      <c r="N4" s="16" t="s">
        <v>78</v>
      </c>
      <c r="O4" s="16" t="s">
        <v>86</v>
      </c>
      <c r="P4" s="16" t="s">
        <v>80</v>
      </c>
      <c r="Q4" s="21" t="s">
        <v>87</v>
      </c>
      <c r="S4" s="22">
        <v>240.675294160842</v>
      </c>
      <c r="T4" s="22">
        <v>128.002262353897</v>
      </c>
      <c r="U4" s="22">
        <v>2.23565538217398</v>
      </c>
      <c r="V4" s="22">
        <v>8.28890396104806</v>
      </c>
      <c r="W4" s="22">
        <v>2.87904566845475</v>
      </c>
      <c r="X4" s="22">
        <v>0.755629562761842</v>
      </c>
      <c r="Y4" s="22">
        <v>0.0662242823582447</v>
      </c>
      <c r="Z4" s="22">
        <v>0.00704712036007251</v>
      </c>
      <c r="AA4" s="22">
        <v>0.0839471283610852</v>
      </c>
      <c r="AB4" s="22">
        <v>0.84947609788089</v>
      </c>
      <c r="AC4" s="22">
        <v>0.0663505811173064</v>
      </c>
      <c r="AD4" s="22">
        <v>0.0839431609796554</v>
      </c>
      <c r="AE4" s="22">
        <v>0.850687491873141</v>
      </c>
      <c r="AF4" s="22">
        <v>0.0849865659584602</v>
      </c>
      <c r="AG4" s="22">
        <v>0.110015973566606</v>
      </c>
      <c r="AH4" s="22">
        <v>0.745562181794104</v>
      </c>
      <c r="AI4" s="22">
        <v>10.0</v>
      </c>
      <c r="AJ4" s="22">
        <v>2.23565538217398</v>
      </c>
      <c r="AK4" s="22">
        <v>8.28890396104806</v>
      </c>
      <c r="AL4" s="22">
        <v>2.87904566845475</v>
      </c>
      <c r="AM4" s="22">
        <v>0.75552476848936</v>
      </c>
      <c r="AN4" s="22">
        <v>1.77487804488795</v>
      </c>
      <c r="AO4" s="22">
        <v>5.04217843733812</v>
      </c>
      <c r="AP4" s="22">
        <v>2.24547955620578</v>
      </c>
      <c r="AQ4" s="22">
        <v>0.850687491873141</v>
      </c>
      <c r="AR4" s="22">
        <v>2.27339063938882</v>
      </c>
      <c r="AS4" s="22">
        <v>8.66082105133534</v>
      </c>
      <c r="AT4" s="22">
        <v>2.94292729290673</v>
      </c>
      <c r="AU4" s="22">
        <v>0.745562181794104</v>
      </c>
      <c r="AV4" s="23">
        <f t="shared" ref="AV4:AW4" si="4">(AC4-AC$289)/AC$290</f>
        <v>-1.259285736</v>
      </c>
      <c r="AW4" s="24">
        <f t="shared" si="4"/>
        <v>-1.172510426</v>
      </c>
      <c r="AX4" s="24">
        <f t="shared" si="5"/>
        <v>-1.587722183</v>
      </c>
      <c r="AY4" s="25">
        <f t="shared" si="6"/>
        <v>-1.579964879</v>
      </c>
      <c r="AZ4" s="23">
        <f t="shared" si="7"/>
        <v>-1.447032017</v>
      </c>
      <c r="BA4" s="25">
        <f t="shared" si="8"/>
        <v>-1.38717429</v>
      </c>
      <c r="BB4" s="23">
        <f t="shared" si="9"/>
        <v>-0.8684269964</v>
      </c>
      <c r="BC4" s="24">
        <f t="shared" si="10"/>
        <v>-1.233632716</v>
      </c>
      <c r="BD4" s="25">
        <f t="shared" si="11"/>
        <v>-1.181479158</v>
      </c>
      <c r="BE4" s="26">
        <f t="shared" ref="BE4:BF4" si="12">((S4-S$289)/S$290)</f>
        <v>-0.6093451302</v>
      </c>
      <c r="BF4" s="26">
        <f t="shared" si="12"/>
        <v>-1.0191989</v>
      </c>
    </row>
    <row r="5">
      <c r="A5" s="16" t="s">
        <v>67</v>
      </c>
      <c r="B5" s="20">
        <f t="shared" si="3"/>
        <v>1.212416412</v>
      </c>
      <c r="C5" s="16" t="s">
        <v>68</v>
      </c>
      <c r="D5" s="16" t="s">
        <v>69</v>
      </c>
      <c r="E5" s="16">
        <v>31.0</v>
      </c>
      <c r="F5" s="21" t="s">
        <v>70</v>
      </c>
      <c r="G5" s="16" t="s">
        <v>71</v>
      </c>
      <c r="H5" s="21" t="s">
        <v>72</v>
      </c>
      <c r="I5" s="21" t="s">
        <v>88</v>
      </c>
      <c r="J5" s="21" t="s">
        <v>83</v>
      </c>
      <c r="K5" s="21" t="s">
        <v>75</v>
      </c>
      <c r="L5" s="16" t="s">
        <v>84</v>
      </c>
      <c r="M5" s="21" t="s">
        <v>85</v>
      </c>
      <c r="N5" s="16" t="s">
        <v>78</v>
      </c>
      <c r="O5" s="16" t="s">
        <v>79</v>
      </c>
      <c r="P5" s="16" t="s">
        <v>80</v>
      </c>
      <c r="Q5" s="21" t="s">
        <v>89</v>
      </c>
      <c r="S5" s="22">
        <v>355.260428667068</v>
      </c>
      <c r="T5" s="22">
        <v>130.013020277023</v>
      </c>
      <c r="U5" s="22">
        <v>2.14068337110451</v>
      </c>
      <c r="V5" s="22">
        <v>7.31769679742959</v>
      </c>
      <c r="W5" s="22">
        <v>2.70512417412391</v>
      </c>
      <c r="X5" s="22">
        <v>0.781696800204434</v>
      </c>
      <c r="Y5" s="22">
        <v>0.063824315694298</v>
      </c>
      <c r="Z5" s="22">
        <v>0.00612249185790075</v>
      </c>
      <c r="AA5" s="22">
        <v>0.0782463536396473</v>
      </c>
      <c r="AB5" s="22">
        <v>0.867741803805641</v>
      </c>
      <c r="AC5" s="22">
        <v>0.0636933943416717</v>
      </c>
      <c r="AD5" s="22">
        <v>0.078059071705239</v>
      </c>
      <c r="AE5" s="22">
        <v>0.869526766038764</v>
      </c>
      <c r="AF5" s="22">
        <v>0.0930938547298151</v>
      </c>
      <c r="AG5" s="22">
        <v>0.115680607162696</v>
      </c>
      <c r="AH5" s="22">
        <v>0.715043917760348</v>
      </c>
      <c r="AI5" s="22">
        <v>10.0</v>
      </c>
      <c r="AJ5" s="22">
        <v>2.14068337110451</v>
      </c>
      <c r="AK5" s="22">
        <v>7.31769679742959</v>
      </c>
      <c r="AL5" s="22">
        <v>2.70512417412391</v>
      </c>
      <c r="AM5" s="22">
        <v>0.781629530880607</v>
      </c>
      <c r="AN5" s="22">
        <v>1.70379829863972</v>
      </c>
      <c r="AO5" s="22">
        <v>4.36007878847576</v>
      </c>
      <c r="AP5" s="22">
        <v>2.08808016811514</v>
      </c>
      <c r="AQ5" s="22">
        <v>0.869526766038764</v>
      </c>
      <c r="AR5" s="22">
        <v>2.49026061402255</v>
      </c>
      <c r="AS5" s="22">
        <v>9.57565943119042</v>
      </c>
      <c r="AT5" s="22">
        <v>3.09445624160213</v>
      </c>
      <c r="AU5" s="22">
        <v>0.715043917760348</v>
      </c>
      <c r="AV5" s="23">
        <f t="shared" ref="AV5:AW5" si="13">(AC5-AC$289)/AC$290</f>
        <v>-1.363051333</v>
      </c>
      <c r="AW5" s="24">
        <f t="shared" si="13"/>
        <v>-1.362243061</v>
      </c>
      <c r="AX5" s="24">
        <f t="shared" si="5"/>
        <v>-1.217044546</v>
      </c>
      <c r="AY5" s="25">
        <f t="shared" si="6"/>
        <v>-1.3592395</v>
      </c>
      <c r="AZ5" s="23">
        <f t="shared" si="7"/>
        <v>-1.622278366</v>
      </c>
      <c r="BA5" s="25">
        <f t="shared" si="8"/>
        <v>-1.651890763</v>
      </c>
      <c r="BB5" s="23">
        <f t="shared" si="9"/>
        <v>-0.9524395163</v>
      </c>
      <c r="BC5" s="24">
        <f t="shared" si="10"/>
        <v>-1.079431443</v>
      </c>
      <c r="BD5" s="25">
        <f t="shared" si="11"/>
        <v>-1.336313319</v>
      </c>
      <c r="BE5" s="26">
        <f t="shared" ref="BE5:BF5" si="14">((S5-S$289)/S$290)</f>
        <v>-0.389347774</v>
      </c>
      <c r="BF5" s="26">
        <f t="shared" si="14"/>
        <v>-1.003300911</v>
      </c>
    </row>
    <row r="6">
      <c r="A6" s="16" t="s">
        <v>67</v>
      </c>
      <c r="B6" s="20">
        <f t="shared" si="3"/>
        <v>1.196214124</v>
      </c>
      <c r="C6" s="16" t="s">
        <v>68</v>
      </c>
      <c r="D6" s="16" t="s">
        <v>69</v>
      </c>
      <c r="E6" s="16">
        <v>27.0</v>
      </c>
      <c r="F6" s="21" t="s">
        <v>70</v>
      </c>
      <c r="G6" s="16" t="s">
        <v>71</v>
      </c>
      <c r="H6" s="21" t="s">
        <v>72</v>
      </c>
      <c r="I6" s="21" t="s">
        <v>73</v>
      </c>
      <c r="J6" s="21" t="s">
        <v>83</v>
      </c>
      <c r="K6" s="21" t="s">
        <v>75</v>
      </c>
      <c r="L6" s="16" t="s">
        <v>90</v>
      </c>
      <c r="M6" s="21" t="s">
        <v>77</v>
      </c>
      <c r="N6" s="16" t="s">
        <v>91</v>
      </c>
      <c r="O6" s="16" t="s">
        <v>92</v>
      </c>
      <c r="P6" s="16" t="s">
        <v>80</v>
      </c>
      <c r="Q6" s="21" t="s">
        <v>93</v>
      </c>
      <c r="R6" s="21" t="s">
        <v>94</v>
      </c>
      <c r="S6" s="22">
        <v>120.59714770317</v>
      </c>
      <c r="T6" s="22">
        <v>132.811462163925</v>
      </c>
      <c r="U6" s="22">
        <v>2.18599925809179</v>
      </c>
      <c r="V6" s="22">
        <v>7.59255492917782</v>
      </c>
      <c r="W6" s="22">
        <v>2.75545911404575</v>
      </c>
      <c r="X6" s="22">
        <v>0.776128616103308</v>
      </c>
      <c r="Y6" s="22">
        <v>0.0740271121760836</v>
      </c>
      <c r="Z6" s="22">
        <v>0.00786142873780001</v>
      </c>
      <c r="AA6" s="22">
        <v>0.0886646983742685</v>
      </c>
      <c r="AB6" s="22">
        <v>0.832082770070243</v>
      </c>
      <c r="AC6" s="22">
        <v>0.0739034330922295</v>
      </c>
      <c r="AD6" s="22">
        <v>0.0884760292912817</v>
      </c>
      <c r="AE6" s="22">
        <v>0.834126579624625</v>
      </c>
      <c r="AF6" s="22">
        <v>0.0888451830319661</v>
      </c>
      <c r="AG6" s="22">
        <v>0.111457875122476</v>
      </c>
      <c r="AH6" s="22">
        <v>0.738849002700794</v>
      </c>
      <c r="AI6" s="22">
        <v>10.0</v>
      </c>
      <c r="AJ6" s="22">
        <v>2.18599925809179</v>
      </c>
      <c r="AK6" s="22">
        <v>7.59255492917782</v>
      </c>
      <c r="AL6" s="22">
        <v>2.75545911404575</v>
      </c>
      <c r="AM6" s="22">
        <v>0.776063079896838</v>
      </c>
      <c r="AN6" s="22">
        <v>1.97691683521714</v>
      </c>
      <c r="AO6" s="22">
        <v>5.60142880215802</v>
      </c>
      <c r="AP6" s="22">
        <v>2.36673378354178</v>
      </c>
      <c r="AQ6" s="22">
        <v>0.834126579624625</v>
      </c>
      <c r="AR6" s="22">
        <v>2.37660864610509</v>
      </c>
      <c r="AS6" s="22">
        <v>8.88933127525842</v>
      </c>
      <c r="AT6" s="22">
        <v>2.98149815952625</v>
      </c>
      <c r="AU6" s="22">
        <v>0.738849002700794</v>
      </c>
      <c r="AV6" s="23">
        <f t="shared" ref="AV6:AW6" si="15">(AC6-AC$289)/AC$290</f>
        <v>-0.9643398953</v>
      </c>
      <c r="AW6" s="24">
        <f t="shared" si="15"/>
        <v>-1.026347952</v>
      </c>
      <c r="AX6" s="24">
        <f t="shared" si="5"/>
        <v>-1.411300312</v>
      </c>
      <c r="AY6" s="25">
        <f t="shared" si="6"/>
        <v>-1.523780439</v>
      </c>
      <c r="AZ6" s="23">
        <f t="shared" si="7"/>
        <v>-1.538659586</v>
      </c>
      <c r="BA6" s="25">
        <f t="shared" si="8"/>
        <v>-1.575278681</v>
      </c>
      <c r="BB6" s="23">
        <f t="shared" si="9"/>
        <v>-0.7945746835</v>
      </c>
      <c r="BC6" s="24">
        <f t="shared" si="10"/>
        <v>-1.199712675</v>
      </c>
      <c r="BD6" s="25">
        <f t="shared" si="11"/>
        <v>-1.303297245</v>
      </c>
      <c r="BE6" s="26">
        <f t="shared" ref="BE6:BF6" si="16">((S6-S$289)/S$290)</f>
        <v>-0.8398887769</v>
      </c>
      <c r="BF6" s="26">
        <f t="shared" si="16"/>
        <v>-0.9811751245</v>
      </c>
    </row>
    <row r="7">
      <c r="A7" s="16" t="s">
        <v>67</v>
      </c>
      <c r="B7" s="20">
        <f t="shared" si="3"/>
        <v>1.175130324</v>
      </c>
      <c r="C7" s="16" t="s">
        <v>68</v>
      </c>
      <c r="D7" s="16" t="s">
        <v>69</v>
      </c>
      <c r="E7" s="16">
        <v>16.0</v>
      </c>
      <c r="F7" s="21" t="s">
        <v>70</v>
      </c>
      <c r="G7" s="16" t="s">
        <v>71</v>
      </c>
      <c r="H7" s="21" t="s">
        <v>72</v>
      </c>
      <c r="I7" s="21" t="s">
        <v>88</v>
      </c>
      <c r="J7" s="21" t="s">
        <v>74</v>
      </c>
      <c r="K7" s="21" t="s">
        <v>75</v>
      </c>
      <c r="L7" s="16" t="s">
        <v>76</v>
      </c>
      <c r="M7" s="21" t="s">
        <v>85</v>
      </c>
      <c r="N7" s="16" t="s">
        <v>95</v>
      </c>
      <c r="O7" s="16" t="s">
        <v>79</v>
      </c>
      <c r="P7" s="16" t="s">
        <v>80</v>
      </c>
      <c r="Q7" s="21" t="s">
        <v>81</v>
      </c>
      <c r="S7" s="22">
        <v>323.996338129043</v>
      </c>
      <c r="T7" s="22">
        <v>130.381752252578</v>
      </c>
      <c r="U7" s="22">
        <v>2.2612072994138</v>
      </c>
      <c r="V7" s="22">
        <v>8.07952784806078</v>
      </c>
      <c r="W7" s="22">
        <v>2.84245102826078</v>
      </c>
      <c r="X7" s="22">
        <v>0.758956544665454</v>
      </c>
      <c r="Y7" s="22">
        <v>0.0637582273045428</v>
      </c>
      <c r="Z7" s="22">
        <v>0.00621860988553536</v>
      </c>
      <c r="AA7" s="22">
        <v>0.0788581630875038</v>
      </c>
      <c r="AB7" s="22">
        <v>0.865665460177628</v>
      </c>
      <c r="AC7" s="22">
        <v>0.0639629521353643</v>
      </c>
      <c r="AD7" s="22">
        <v>0.0789571213313235</v>
      </c>
      <c r="AE7" s="22">
        <v>0.866507374439679</v>
      </c>
      <c r="AF7" s="22">
        <v>0.0910635356524187</v>
      </c>
      <c r="AG7" s="22">
        <v>0.114753388643752</v>
      </c>
      <c r="AH7" s="22">
        <v>0.719593646037703</v>
      </c>
      <c r="AI7" s="22">
        <v>10.0</v>
      </c>
      <c r="AJ7" s="22">
        <v>2.2612072994138</v>
      </c>
      <c r="AK7" s="22">
        <v>8.07952784806077</v>
      </c>
      <c r="AL7" s="22">
        <v>2.84245102826078</v>
      </c>
      <c r="AM7" s="22">
        <v>0.758895409951398</v>
      </c>
      <c r="AN7" s="22">
        <v>1.711008969621</v>
      </c>
      <c r="AO7" s="22">
        <v>4.460979064077</v>
      </c>
      <c r="AP7" s="22">
        <v>2.1121029956129</v>
      </c>
      <c r="AQ7" s="22">
        <v>0.866507374439679</v>
      </c>
      <c r="AR7" s="22">
        <v>2.4359495787022</v>
      </c>
      <c r="AS7" s="22">
        <v>9.4227704381007</v>
      </c>
      <c r="AT7" s="22">
        <v>3.06965314622038</v>
      </c>
      <c r="AU7" s="22">
        <v>0.719593646037703</v>
      </c>
      <c r="AV7" s="23">
        <f t="shared" ref="AV7:AW7" si="17">(AC7-AC$289)/AC$290</f>
        <v>-1.352524852</v>
      </c>
      <c r="AW7" s="24">
        <f t="shared" si="17"/>
        <v>-1.333285424</v>
      </c>
      <c r="AX7" s="24">
        <f t="shared" si="5"/>
        <v>-1.309873839</v>
      </c>
      <c r="AY7" s="25">
        <f t="shared" si="6"/>
        <v>-1.395369049</v>
      </c>
      <c r="AZ7" s="23">
        <f t="shared" si="7"/>
        <v>-1.399882544</v>
      </c>
      <c r="BA7" s="25">
        <f t="shared" si="8"/>
        <v>-1.442873007</v>
      </c>
      <c r="BB7" s="23">
        <f t="shared" si="9"/>
        <v>-0.9389747355</v>
      </c>
      <c r="BC7" s="24">
        <f t="shared" si="10"/>
        <v>-1.1024201</v>
      </c>
      <c r="BD7" s="25">
        <f t="shared" si="11"/>
        <v>-1.201471312</v>
      </c>
      <c r="BE7" s="26">
        <f t="shared" ref="BE7:BF7" si="18">((S7-S$289)/S$290)</f>
        <v>-0.4493731629</v>
      </c>
      <c r="BF7" s="26">
        <f t="shared" si="18"/>
        <v>-1.000385544</v>
      </c>
    </row>
    <row r="8">
      <c r="A8" s="16" t="s">
        <v>67</v>
      </c>
      <c r="B8" s="20">
        <f t="shared" si="3"/>
        <v>1.144904218</v>
      </c>
      <c r="C8" s="16" t="s">
        <v>68</v>
      </c>
      <c r="D8" s="16" t="s">
        <v>69</v>
      </c>
      <c r="E8" s="16">
        <v>12.0</v>
      </c>
      <c r="F8" s="21" t="s">
        <v>70</v>
      </c>
      <c r="G8" s="16" t="s">
        <v>71</v>
      </c>
      <c r="H8" s="21" t="s">
        <v>72</v>
      </c>
      <c r="I8" s="21" t="s">
        <v>88</v>
      </c>
      <c r="J8" s="21" t="s">
        <v>83</v>
      </c>
      <c r="K8" s="21" t="s">
        <v>75</v>
      </c>
      <c r="L8" s="16" t="s">
        <v>90</v>
      </c>
      <c r="M8" s="21" t="s">
        <v>77</v>
      </c>
      <c r="N8" s="16" t="s">
        <v>78</v>
      </c>
      <c r="O8" s="16" t="s">
        <v>92</v>
      </c>
      <c r="P8" s="16" t="s">
        <v>80</v>
      </c>
      <c r="Q8" s="21" t="s">
        <v>96</v>
      </c>
      <c r="R8" s="21" t="s">
        <v>93</v>
      </c>
      <c r="S8" s="22">
        <v>165.891091108322</v>
      </c>
      <c r="T8" s="22">
        <v>138.483247995376</v>
      </c>
      <c r="U8" s="22">
        <v>2.07756469922663</v>
      </c>
      <c r="V8" s="22">
        <v>7.49115123877364</v>
      </c>
      <c r="W8" s="22">
        <v>2.73699675534583</v>
      </c>
      <c r="X8" s="22">
        <v>0.776503314527285</v>
      </c>
      <c r="Y8" s="22">
        <v>0.0724686582233909</v>
      </c>
      <c r="Z8" s="22">
        <v>0.00830152085130247</v>
      </c>
      <c r="AA8" s="22">
        <v>0.0911126821650118</v>
      </c>
      <c r="AB8" s="22">
        <v>0.820670374261701</v>
      </c>
      <c r="AC8" s="22">
        <v>0.072782408794222</v>
      </c>
      <c r="AD8" s="22">
        <v>0.0913011218411995</v>
      </c>
      <c r="AE8" s="22">
        <v>0.821504656751264</v>
      </c>
      <c r="AF8" s="22">
        <v>0.0910879045383231</v>
      </c>
      <c r="AG8" s="22">
        <v>0.118364113488207</v>
      </c>
      <c r="AH8" s="22">
        <v>0.701670011189537</v>
      </c>
      <c r="AI8" s="22">
        <v>10.0</v>
      </c>
      <c r="AJ8" s="22">
        <v>2.07756469922663</v>
      </c>
      <c r="AK8" s="22">
        <v>7.49115123877364</v>
      </c>
      <c r="AL8" s="22">
        <v>2.73699675534583</v>
      </c>
      <c r="AM8" s="22">
        <v>0.77645340391393</v>
      </c>
      <c r="AN8" s="22">
        <v>1.94692943524544</v>
      </c>
      <c r="AO8" s="22">
        <v>5.96485375821784</v>
      </c>
      <c r="AP8" s="22">
        <v>2.44230500925208</v>
      </c>
      <c r="AQ8" s="22">
        <v>0.821504656751264</v>
      </c>
      <c r="AR8" s="22">
        <v>2.43660144640014</v>
      </c>
      <c r="AS8" s="22">
        <v>10.0250759643632</v>
      </c>
      <c r="AT8" s="22">
        <v>3.16624003580954</v>
      </c>
      <c r="AU8" s="22">
        <v>0.701670011189537</v>
      </c>
      <c r="AV8" s="23">
        <f t="shared" ref="AV8:AW8" si="19">(AC8-AC$289)/AC$290</f>
        <v>-1.008116929</v>
      </c>
      <c r="AW8" s="24">
        <f t="shared" si="19"/>
        <v>-0.9352527577</v>
      </c>
      <c r="AX8" s="24">
        <f t="shared" si="5"/>
        <v>-1.308759656</v>
      </c>
      <c r="AY8" s="25">
        <f t="shared" si="6"/>
        <v>-1.254675287</v>
      </c>
      <c r="AZ8" s="23">
        <f t="shared" si="7"/>
        <v>-1.738747595</v>
      </c>
      <c r="BA8" s="25">
        <f t="shared" si="8"/>
        <v>-1.603379236</v>
      </c>
      <c r="BB8" s="23">
        <f t="shared" si="9"/>
        <v>-0.738288038</v>
      </c>
      <c r="BC8" s="24">
        <f t="shared" si="10"/>
        <v>-1.011856387</v>
      </c>
      <c r="BD8" s="25">
        <f t="shared" si="11"/>
        <v>-1.305612358</v>
      </c>
      <c r="BE8" s="26">
        <f t="shared" ref="BE8:BF8" si="20">((S8-S$289)/S$290)</f>
        <v>-0.7529268176</v>
      </c>
      <c r="BF8" s="26">
        <f t="shared" si="20"/>
        <v>-0.9363313414</v>
      </c>
    </row>
    <row r="9">
      <c r="A9" s="16" t="s">
        <v>82</v>
      </c>
      <c r="B9" s="20">
        <f t="shared" si="3"/>
        <v>1.142452034</v>
      </c>
      <c r="C9" s="16" t="s">
        <v>68</v>
      </c>
      <c r="D9" s="16" t="s">
        <v>69</v>
      </c>
      <c r="E9" s="16">
        <v>54.0</v>
      </c>
      <c r="F9" s="21" t="s">
        <v>70</v>
      </c>
      <c r="G9" s="16" t="s">
        <v>71</v>
      </c>
      <c r="H9" s="21" t="s">
        <v>72</v>
      </c>
      <c r="I9" s="21" t="s">
        <v>88</v>
      </c>
      <c r="J9" s="21" t="s">
        <v>97</v>
      </c>
      <c r="K9" s="21" t="s">
        <v>75</v>
      </c>
      <c r="L9" s="16" t="s">
        <v>84</v>
      </c>
      <c r="M9" s="21" t="s">
        <v>77</v>
      </c>
      <c r="N9" s="16" t="s">
        <v>95</v>
      </c>
      <c r="O9" s="16" t="s">
        <v>86</v>
      </c>
      <c r="P9" s="16" t="s">
        <v>80</v>
      </c>
      <c r="Q9" s="21" t="s">
        <v>94</v>
      </c>
      <c r="R9" s="21" t="s">
        <v>94</v>
      </c>
      <c r="S9" s="22">
        <v>238.051819562912</v>
      </c>
      <c r="T9" s="22">
        <v>133.784680366516</v>
      </c>
      <c r="U9" s="22">
        <v>2.32522877175028</v>
      </c>
      <c r="V9" s="22">
        <v>9.1574796555297</v>
      </c>
      <c r="W9" s="22">
        <v>3.02613278881309</v>
      </c>
      <c r="X9" s="22">
        <v>0.726773830561666</v>
      </c>
      <c r="Y9" s="22">
        <v>0.0710973344702353</v>
      </c>
      <c r="Z9" s="22">
        <v>0.00803558452488533</v>
      </c>
      <c r="AA9" s="22">
        <v>0.0896414219258337</v>
      </c>
      <c r="AB9" s="22">
        <v>0.826415136304805</v>
      </c>
      <c r="AC9" s="22">
        <v>0.0709355608100079</v>
      </c>
      <c r="AD9" s="22">
        <v>0.0894056680228261</v>
      </c>
      <c r="AE9" s="22">
        <v>0.828839018745827</v>
      </c>
      <c r="AF9" s="22">
        <v>0.0811175417753749</v>
      </c>
      <c r="AG9" s="22">
        <v>0.10818698586232</v>
      </c>
      <c r="AH9" s="22">
        <v>0.75076624823811</v>
      </c>
      <c r="AI9" s="22">
        <v>10.0</v>
      </c>
      <c r="AJ9" s="22">
        <v>2.32522877175028</v>
      </c>
      <c r="AK9" s="22">
        <v>9.1574796555297</v>
      </c>
      <c r="AL9" s="22">
        <v>3.02613278881309</v>
      </c>
      <c r="AM9" s="22">
        <v>0.726727796506718</v>
      </c>
      <c r="AN9" s="22">
        <v>1.89752625166771</v>
      </c>
      <c r="AO9" s="22">
        <v>5.71975830692402</v>
      </c>
      <c r="AP9" s="22">
        <v>2.39160161961059</v>
      </c>
      <c r="AQ9" s="22">
        <v>0.828839018745827</v>
      </c>
      <c r="AR9" s="22">
        <v>2.16989424249128</v>
      </c>
      <c r="AS9" s="22">
        <v>8.37524683408078</v>
      </c>
      <c r="AT9" s="22">
        <v>2.89400187181708</v>
      </c>
      <c r="AU9" s="22">
        <v>0.75076624823811</v>
      </c>
      <c r="AV9" s="23">
        <f t="shared" ref="AV9:AW9" si="21">(AC9-AC$289)/AC$290</f>
        <v>-1.080238047</v>
      </c>
      <c r="AW9" s="24">
        <f t="shared" si="21"/>
        <v>-0.9963717228</v>
      </c>
      <c r="AX9" s="24">
        <f t="shared" si="5"/>
        <v>-1.764619884</v>
      </c>
      <c r="AY9" s="25">
        <f t="shared" si="6"/>
        <v>-1.651232331</v>
      </c>
      <c r="AZ9" s="23">
        <f t="shared" si="7"/>
        <v>-1.28174743</v>
      </c>
      <c r="BA9" s="25">
        <f t="shared" si="8"/>
        <v>-1.163300962</v>
      </c>
      <c r="BB9" s="23">
        <f t="shared" si="9"/>
        <v>-0.7709951491</v>
      </c>
      <c r="BC9" s="24">
        <f t="shared" si="10"/>
        <v>-1.259927582</v>
      </c>
      <c r="BD9" s="25">
        <f t="shared" si="11"/>
        <v>-1.010676799</v>
      </c>
      <c r="BE9" s="26">
        <f t="shared" ref="BE9:BF9" si="22">((S9-S$289)/S$290)</f>
        <v>-0.6143820617</v>
      </c>
      <c r="BF9" s="26">
        <f t="shared" si="22"/>
        <v>-0.9734804077</v>
      </c>
    </row>
    <row r="10">
      <c r="A10" s="16" t="s">
        <v>67</v>
      </c>
      <c r="B10" s="20">
        <f t="shared" si="3"/>
        <v>1.131934382</v>
      </c>
      <c r="C10" s="16" t="s">
        <v>68</v>
      </c>
      <c r="D10" s="16" t="s">
        <v>69</v>
      </c>
      <c r="E10" s="16">
        <v>8.0</v>
      </c>
      <c r="F10" s="21" t="s">
        <v>70</v>
      </c>
      <c r="G10" s="16" t="s">
        <v>71</v>
      </c>
      <c r="H10" s="21" t="s">
        <v>72</v>
      </c>
      <c r="I10" s="21" t="s">
        <v>88</v>
      </c>
      <c r="J10" s="21" t="s">
        <v>74</v>
      </c>
      <c r="K10" s="21" t="s">
        <v>75</v>
      </c>
      <c r="L10" s="16" t="s">
        <v>84</v>
      </c>
      <c r="M10" s="21" t="s">
        <v>77</v>
      </c>
      <c r="N10" s="16" t="s">
        <v>78</v>
      </c>
      <c r="O10" s="16" t="s">
        <v>79</v>
      </c>
      <c r="P10" s="16" t="s">
        <v>80</v>
      </c>
      <c r="Q10" s="21" t="s">
        <v>98</v>
      </c>
      <c r="R10" s="21" t="s">
        <v>94</v>
      </c>
      <c r="S10" s="22">
        <v>447.564720153808</v>
      </c>
      <c r="T10" s="22">
        <v>141.799053192138</v>
      </c>
      <c r="U10" s="22">
        <v>2.22238519081448</v>
      </c>
      <c r="V10" s="22">
        <v>7.80788478606334</v>
      </c>
      <c r="W10" s="22">
        <v>2.7942592553418</v>
      </c>
      <c r="X10" s="22">
        <v>0.767060118001953</v>
      </c>
      <c r="Y10" s="22">
        <v>0.0689670353913549</v>
      </c>
      <c r="Z10" s="22">
        <v>0.007305607585311</v>
      </c>
      <c r="AA10" s="22">
        <v>0.0854728470644976</v>
      </c>
      <c r="AB10" s="22">
        <v>0.842184113305076</v>
      </c>
      <c r="AC10" s="22">
        <v>0.0692372105405687</v>
      </c>
      <c r="AD10" s="22">
        <v>0.0856326111498041</v>
      </c>
      <c r="AE10" s="22">
        <v>0.842980700162094</v>
      </c>
      <c r="AF10" s="22">
        <v>0.0899763886139702</v>
      </c>
      <c r="AG10" s="22">
        <v>0.112613675245515</v>
      </c>
      <c r="AH10" s="22">
        <v>0.729953174120829</v>
      </c>
      <c r="AI10" s="22">
        <v>10.0</v>
      </c>
      <c r="AJ10" s="22">
        <v>2.22238519081448</v>
      </c>
      <c r="AK10" s="22">
        <v>7.80788478606333</v>
      </c>
      <c r="AL10" s="22">
        <v>2.7942592553418</v>
      </c>
      <c r="AM10" s="22">
        <v>0.767001624860746</v>
      </c>
      <c r="AN10" s="22">
        <v>1.85209538196021</v>
      </c>
      <c r="AO10" s="22">
        <v>5.24717980707043</v>
      </c>
      <c r="AP10" s="22">
        <v>2.29067234825726</v>
      </c>
      <c r="AQ10" s="22">
        <v>0.842980700162094</v>
      </c>
      <c r="AR10" s="22">
        <v>2.40686839542371</v>
      </c>
      <c r="AS10" s="22">
        <v>9.07464902931308</v>
      </c>
      <c r="AT10" s="22">
        <v>3.01241581281752</v>
      </c>
      <c r="AU10" s="22">
        <v>0.729953174120829</v>
      </c>
      <c r="AV10" s="23">
        <f t="shared" ref="AV10:AW10" si="23">(AC10-AC$289)/AC$290</f>
        <v>-1.146560193</v>
      </c>
      <c r="AW10" s="24">
        <f t="shared" si="23"/>
        <v>-1.118034055</v>
      </c>
      <c r="AX10" s="24">
        <f t="shared" si="5"/>
        <v>-1.359579863</v>
      </c>
      <c r="AY10" s="25">
        <f t="shared" si="6"/>
        <v>-1.478744089</v>
      </c>
      <c r="AZ10" s="23">
        <f t="shared" si="7"/>
        <v>-1.471518732</v>
      </c>
      <c r="BA10" s="25">
        <f t="shared" si="8"/>
        <v>-1.516223091</v>
      </c>
      <c r="BB10" s="23">
        <f t="shared" si="9"/>
        <v>-0.8340590592</v>
      </c>
      <c r="BC10" s="24">
        <f t="shared" si="10"/>
        <v>-1.154764244</v>
      </c>
      <c r="BD10" s="25">
        <f t="shared" si="11"/>
        <v>-1.249551389</v>
      </c>
      <c r="BE10" s="26">
        <f t="shared" ref="BE10:BF10" si="24">((S10-S$289)/S$290)</f>
        <v>-0.2121284498</v>
      </c>
      <c r="BF10" s="26">
        <f t="shared" si="24"/>
        <v>-0.9101150395</v>
      </c>
    </row>
    <row r="11">
      <c r="A11" s="16" t="s">
        <v>67</v>
      </c>
      <c r="B11" s="20">
        <f t="shared" si="3"/>
        <v>1.123340642</v>
      </c>
      <c r="C11" s="16" t="s">
        <v>68</v>
      </c>
      <c r="D11" s="16" t="s">
        <v>69</v>
      </c>
      <c r="E11" s="16">
        <v>35.0</v>
      </c>
      <c r="F11" s="21" t="s">
        <v>70</v>
      </c>
      <c r="G11" s="16" t="s">
        <v>71</v>
      </c>
      <c r="H11" s="21" t="s">
        <v>72</v>
      </c>
      <c r="I11" s="21" t="s">
        <v>73</v>
      </c>
      <c r="J11" s="21" t="s">
        <v>83</v>
      </c>
      <c r="K11" s="21" t="s">
        <v>75</v>
      </c>
      <c r="L11" s="16" t="s">
        <v>84</v>
      </c>
      <c r="M11" s="21" t="s">
        <v>85</v>
      </c>
      <c r="N11" s="16" t="s">
        <v>95</v>
      </c>
      <c r="O11" s="16" t="s">
        <v>92</v>
      </c>
      <c r="P11" s="16" t="s">
        <v>80</v>
      </c>
      <c r="Q11" s="21" t="s">
        <v>98</v>
      </c>
      <c r="S11" s="22">
        <v>241.258516788482</v>
      </c>
      <c r="T11" s="22">
        <v>128.566476106643</v>
      </c>
      <c r="U11" s="22">
        <v>2.23577696477205</v>
      </c>
      <c r="V11" s="22">
        <v>8.164694037847</v>
      </c>
      <c r="W11" s="22">
        <v>2.85739287425565</v>
      </c>
      <c r="X11" s="22">
        <v>0.75930549715573</v>
      </c>
      <c r="Y11" s="22">
        <v>0.053907911031514</v>
      </c>
      <c r="Z11" s="22">
        <v>0.00457744630989013</v>
      </c>
      <c r="AA11" s="22">
        <v>0.0676568275186631</v>
      </c>
      <c r="AB11" s="22">
        <v>0.902227428353686</v>
      </c>
      <c r="AC11" s="22">
        <v>0.0541041297576546</v>
      </c>
      <c r="AD11" s="22">
        <v>0.0677648668386808</v>
      </c>
      <c r="AE11" s="22">
        <v>0.902695095416028</v>
      </c>
      <c r="AF11" s="22">
        <v>0.104128728503019</v>
      </c>
      <c r="AG11" s="22">
        <v>0.131593449620832</v>
      </c>
      <c r="AH11" s="22">
        <v>0.635968710767138</v>
      </c>
      <c r="AI11" s="22">
        <v>10.0</v>
      </c>
      <c r="AJ11" s="22">
        <v>2.23577696477205</v>
      </c>
      <c r="AK11" s="22">
        <v>8.164694037847</v>
      </c>
      <c r="AL11" s="22">
        <v>2.85739287425565</v>
      </c>
      <c r="AM11" s="22">
        <v>0.759188250401226</v>
      </c>
      <c r="AN11" s="22">
        <v>1.44728547101726</v>
      </c>
      <c r="AO11" s="22">
        <v>3.28591822544229</v>
      </c>
      <c r="AP11" s="22">
        <v>1.81271018793471</v>
      </c>
      <c r="AQ11" s="22">
        <v>0.902695095416028</v>
      </c>
      <c r="AR11" s="22">
        <v>2.78544348745577</v>
      </c>
      <c r="AS11" s="22">
        <v>12.3912784481645</v>
      </c>
      <c r="AT11" s="22">
        <v>3.52012477735726</v>
      </c>
      <c r="AU11" s="22">
        <v>0.635968710767138</v>
      </c>
      <c r="AV11" s="23">
        <f t="shared" ref="AV11:AW11" si="25">(AC11-AC$289)/AC$290</f>
        <v>-1.737520966</v>
      </c>
      <c r="AW11" s="24">
        <f t="shared" si="25"/>
        <v>-1.694180005</v>
      </c>
      <c r="AX11" s="24">
        <f t="shared" si="5"/>
        <v>-0.712513248</v>
      </c>
      <c r="AY11" s="25">
        <f t="shared" si="6"/>
        <v>-0.73918736</v>
      </c>
      <c r="AZ11" s="23">
        <f t="shared" si="7"/>
        <v>-1.446807667</v>
      </c>
      <c r="BA11" s="25">
        <f t="shared" si="8"/>
        <v>-1.420130834</v>
      </c>
      <c r="BB11" s="23">
        <f t="shared" si="9"/>
        <v>-1.100351528</v>
      </c>
      <c r="BC11" s="24">
        <f t="shared" si="10"/>
        <v>-0.6798838949</v>
      </c>
      <c r="BD11" s="25">
        <f t="shared" si="11"/>
        <v>-1.203208225</v>
      </c>
      <c r="BE11" s="26">
        <f t="shared" ref="BE11:BF11" si="26">((S11-S$289)/S$290)</f>
        <v>-0.6082253738</v>
      </c>
      <c r="BF11" s="26">
        <f t="shared" si="26"/>
        <v>-1.014737963</v>
      </c>
    </row>
    <row r="12">
      <c r="A12" s="16" t="s">
        <v>67</v>
      </c>
      <c r="B12" s="20">
        <f t="shared" si="3"/>
        <v>1.115046442</v>
      </c>
      <c r="C12" s="16" t="s">
        <v>68</v>
      </c>
      <c r="D12" s="16" t="s">
        <v>69</v>
      </c>
      <c r="E12" s="16">
        <v>6.0</v>
      </c>
      <c r="F12" s="21" t="s">
        <v>70</v>
      </c>
      <c r="G12" s="16" t="s">
        <v>71</v>
      </c>
      <c r="H12" s="21" t="s">
        <v>72</v>
      </c>
      <c r="I12" s="21" t="s">
        <v>73</v>
      </c>
      <c r="J12" s="21" t="s">
        <v>97</v>
      </c>
      <c r="K12" s="21" t="s">
        <v>75</v>
      </c>
      <c r="L12" s="16" t="s">
        <v>84</v>
      </c>
      <c r="M12" s="21" t="s">
        <v>77</v>
      </c>
      <c r="N12" s="16" t="s">
        <v>95</v>
      </c>
      <c r="O12" s="16" t="s">
        <v>79</v>
      </c>
      <c r="P12" s="16" t="s">
        <v>80</v>
      </c>
      <c r="Q12" s="21" t="s">
        <v>98</v>
      </c>
      <c r="R12" s="21" t="s">
        <v>89</v>
      </c>
      <c r="S12" s="22">
        <v>265.236295461654</v>
      </c>
      <c r="T12" s="22">
        <v>134.418599128723</v>
      </c>
      <c r="U12" s="22">
        <v>2.19767485837997</v>
      </c>
      <c r="V12" s="22">
        <v>8.00842705271495</v>
      </c>
      <c r="W12" s="22">
        <v>2.82991643917536</v>
      </c>
      <c r="X12" s="22">
        <v>0.763896021838688</v>
      </c>
      <c r="Y12" s="22">
        <v>0.063544189056541</v>
      </c>
      <c r="Z12" s="22">
        <v>0.00660887178214042</v>
      </c>
      <c r="AA12" s="22">
        <v>0.0812949677541016</v>
      </c>
      <c r="AB12" s="22">
        <v>0.858836926514135</v>
      </c>
      <c r="AC12" s="22">
        <v>0.0639256388857682</v>
      </c>
      <c r="AD12" s="22">
        <v>0.0815873856120282</v>
      </c>
      <c r="AE12" s="22">
        <v>0.858950488551054</v>
      </c>
      <c r="AF12" s="22">
        <v>0.0944018275049784</v>
      </c>
      <c r="AG12" s="22">
        <v>0.124930125151203</v>
      </c>
      <c r="AH12" s="22">
        <v>0.67190129193563</v>
      </c>
      <c r="AI12" s="22">
        <v>10.0</v>
      </c>
      <c r="AJ12" s="22">
        <v>2.19767485837996</v>
      </c>
      <c r="AK12" s="22">
        <v>8.00842705271495</v>
      </c>
      <c r="AL12" s="22">
        <v>2.82991643917536</v>
      </c>
      <c r="AM12" s="22">
        <v>0.763797232185447</v>
      </c>
      <c r="AN12" s="22">
        <v>1.7100108401943</v>
      </c>
      <c r="AO12" s="22">
        <v>4.76314284815781</v>
      </c>
      <c r="AP12" s="22">
        <v>2.18246256512175</v>
      </c>
      <c r="AQ12" s="22">
        <v>0.858950488551054</v>
      </c>
      <c r="AR12" s="22">
        <v>2.52524888575817</v>
      </c>
      <c r="AS12" s="22">
        <v>11.168167600857</v>
      </c>
      <c r="AT12" s="22">
        <v>3.3418808477947</v>
      </c>
      <c r="AU12" s="22">
        <v>0.67190129193563</v>
      </c>
      <c r="AV12" s="23">
        <f t="shared" ref="AV12:AW12" si="27">(AC12-AC$289)/AC$290</f>
        <v>-1.353981969</v>
      </c>
      <c r="AW12" s="24">
        <f t="shared" si="27"/>
        <v>-1.248472473</v>
      </c>
      <c r="AX12" s="24">
        <f t="shared" si="5"/>
        <v>-1.157242032</v>
      </c>
      <c r="AY12" s="25">
        <f t="shared" si="6"/>
        <v>-0.9988272455</v>
      </c>
      <c r="AZ12" s="23">
        <f t="shared" si="7"/>
        <v>-1.517115277</v>
      </c>
      <c r="BA12" s="25">
        <f t="shared" si="8"/>
        <v>-1.461951225</v>
      </c>
      <c r="BB12" s="23">
        <f t="shared" si="9"/>
        <v>-0.9052752936</v>
      </c>
      <c r="BC12" s="24">
        <f t="shared" si="10"/>
        <v>-0.8614423789</v>
      </c>
      <c r="BD12" s="25">
        <f t="shared" si="11"/>
        <v>-1.2305453</v>
      </c>
      <c r="BE12" s="26">
        <f t="shared" ref="BE12:BF12" si="28">((S12-S$289)/S$290)</f>
        <v>-0.5621893157</v>
      </c>
      <c r="BF12" s="26">
        <f t="shared" si="28"/>
        <v>-0.9684683504</v>
      </c>
    </row>
    <row r="13">
      <c r="A13" s="16" t="s">
        <v>82</v>
      </c>
      <c r="B13" s="20">
        <f t="shared" si="3"/>
        <v>1.098288213</v>
      </c>
      <c r="C13" s="16" t="s">
        <v>68</v>
      </c>
      <c r="D13" s="16" t="s">
        <v>69</v>
      </c>
      <c r="E13" s="16">
        <v>55.0</v>
      </c>
      <c r="F13" s="21" t="s">
        <v>70</v>
      </c>
      <c r="G13" s="16" t="s">
        <v>71</v>
      </c>
      <c r="H13" s="21" t="s">
        <v>72</v>
      </c>
      <c r="I13" s="21" t="s">
        <v>88</v>
      </c>
      <c r="J13" s="21" t="s">
        <v>74</v>
      </c>
      <c r="K13" s="21" t="s">
        <v>75</v>
      </c>
      <c r="L13" s="16" t="s">
        <v>90</v>
      </c>
      <c r="M13" s="21" t="s">
        <v>85</v>
      </c>
      <c r="N13" s="16" t="s">
        <v>78</v>
      </c>
      <c r="O13" s="16" t="s">
        <v>92</v>
      </c>
      <c r="P13" s="16" t="s">
        <v>80</v>
      </c>
      <c r="Q13" s="21" t="s">
        <v>94</v>
      </c>
      <c r="S13" s="22">
        <v>140.842511415481</v>
      </c>
      <c r="T13" s="22">
        <v>130.577162742614</v>
      </c>
      <c r="U13" s="22">
        <v>2.28791732177563</v>
      </c>
      <c r="V13" s="22">
        <v>8.93429849692398</v>
      </c>
      <c r="W13" s="22">
        <v>2.98902969154272</v>
      </c>
      <c r="X13" s="22">
        <v>0.733456164253169</v>
      </c>
      <c r="Y13" s="22">
        <v>0.0674735359090337</v>
      </c>
      <c r="Z13" s="22">
        <v>0.00726368016634803</v>
      </c>
      <c r="AA13" s="22">
        <v>0.0852272266728657</v>
      </c>
      <c r="AB13" s="22">
        <v>0.84308983027977</v>
      </c>
      <c r="AC13" s="22">
        <v>0.0676758615067741</v>
      </c>
      <c r="AD13" s="22">
        <v>0.0852977153792528</v>
      </c>
      <c r="AE13" s="22">
        <v>0.844206454524822</v>
      </c>
      <c r="AF13" s="22">
        <v>0.0905143248567035</v>
      </c>
      <c r="AG13" s="22">
        <v>0.120168915490262</v>
      </c>
      <c r="AH13" s="22">
        <v>0.692502849330286</v>
      </c>
      <c r="AI13" s="22">
        <v>10.0</v>
      </c>
      <c r="AJ13" s="22">
        <v>2.28791732177563</v>
      </c>
      <c r="AK13" s="22">
        <v>8.93429849692398</v>
      </c>
      <c r="AL13" s="22">
        <v>2.98902969154272</v>
      </c>
      <c r="AM13" s="22">
        <v>0.733387839366168</v>
      </c>
      <c r="AN13" s="22">
        <v>1.8103292953062</v>
      </c>
      <c r="AO13" s="22">
        <v>5.20621825936786</v>
      </c>
      <c r="AP13" s="22">
        <v>2.28171388639501</v>
      </c>
      <c r="AQ13" s="22">
        <v>0.844206454524822</v>
      </c>
      <c r="AR13" s="22">
        <v>2.42125818991682</v>
      </c>
      <c r="AS13" s="22">
        <v>10.3331291184663</v>
      </c>
      <c r="AT13" s="22">
        <v>3.21451848936451</v>
      </c>
      <c r="AU13" s="22">
        <v>0.692502849330286</v>
      </c>
      <c r="AV13" s="23">
        <f t="shared" ref="AV13:AW13" si="29">(AC13-AC$289)/AC$290</f>
        <v>-1.207532314</v>
      </c>
      <c r="AW13" s="24">
        <f t="shared" si="29"/>
        <v>-1.128832779</v>
      </c>
      <c r="AX13" s="24">
        <f t="shared" si="5"/>
        <v>-1.334984596</v>
      </c>
      <c r="AY13" s="25">
        <f t="shared" si="6"/>
        <v>-1.184350243</v>
      </c>
      <c r="AZ13" s="23">
        <f t="shared" si="7"/>
        <v>-1.350596087</v>
      </c>
      <c r="BA13" s="25">
        <f t="shared" si="8"/>
        <v>-1.219773574</v>
      </c>
      <c r="BB13" s="23">
        <f t="shared" si="9"/>
        <v>-0.8395252312</v>
      </c>
      <c r="BC13" s="24">
        <f t="shared" si="10"/>
        <v>-0.9655369752</v>
      </c>
      <c r="BD13" s="25">
        <f t="shared" si="11"/>
        <v>-1.050179252</v>
      </c>
      <c r="BE13" s="26">
        <f t="shared" ref="BE13:BF13" si="30">((S13-S$289)/S$290)</f>
        <v>-0.8010187567</v>
      </c>
      <c r="BF13" s="26">
        <f t="shared" si="30"/>
        <v>-0.9988405375</v>
      </c>
    </row>
    <row r="14">
      <c r="A14" s="16" t="s">
        <v>82</v>
      </c>
      <c r="B14" s="20">
        <f t="shared" si="3"/>
        <v>1.071136886</v>
      </c>
      <c r="C14" s="16" t="s">
        <v>68</v>
      </c>
      <c r="D14" s="16" t="s">
        <v>69</v>
      </c>
      <c r="E14" s="16">
        <v>63.0</v>
      </c>
      <c r="F14" s="21" t="s">
        <v>70</v>
      </c>
      <c r="G14" s="16" t="s">
        <v>71</v>
      </c>
      <c r="H14" s="21" t="s">
        <v>72</v>
      </c>
      <c r="I14" s="21" t="s">
        <v>88</v>
      </c>
      <c r="J14" s="21" t="s">
        <v>97</v>
      </c>
      <c r="K14" s="21" t="s">
        <v>75</v>
      </c>
      <c r="L14" s="16" t="s">
        <v>76</v>
      </c>
      <c r="M14" s="21" t="s">
        <v>77</v>
      </c>
      <c r="N14" s="16" t="s">
        <v>78</v>
      </c>
      <c r="O14" s="16" t="s">
        <v>86</v>
      </c>
      <c r="P14" s="16" t="s">
        <v>80</v>
      </c>
      <c r="Q14" s="21" t="s">
        <v>94</v>
      </c>
      <c r="R14" s="21" t="s">
        <v>81</v>
      </c>
      <c r="S14" s="22">
        <v>213.14961194992</v>
      </c>
      <c r="T14" s="22">
        <v>134.019387006759</v>
      </c>
      <c r="U14" s="22">
        <v>2.23106313261631</v>
      </c>
      <c r="V14" s="22">
        <v>8.3359274595682</v>
      </c>
      <c r="W14" s="22">
        <v>2.88720062683011</v>
      </c>
      <c r="X14" s="22">
        <v>0.751288132107422</v>
      </c>
      <c r="Y14" s="22">
        <v>0.0714731137436595</v>
      </c>
      <c r="Z14" s="22">
        <v>0.00822263399018136</v>
      </c>
      <c r="AA14" s="22">
        <v>0.0906787405634935</v>
      </c>
      <c r="AB14" s="22">
        <v>0.822374489873035</v>
      </c>
      <c r="AC14" s="22">
        <v>0.0715261770306113</v>
      </c>
      <c r="AD14" s="22">
        <v>0.0905931839183376</v>
      </c>
      <c r="AE14" s="22">
        <v>0.824261988004869</v>
      </c>
      <c r="AF14" s="22">
        <v>0.0923946369711644</v>
      </c>
      <c r="AG14" s="22">
        <v>0.120206068165745</v>
      </c>
      <c r="AH14" s="22">
        <v>0.692312681884094</v>
      </c>
      <c r="AI14" s="22">
        <v>10.0</v>
      </c>
      <c r="AJ14" s="22">
        <v>2.23106313261631</v>
      </c>
      <c r="AK14" s="22">
        <v>8.3359274595682</v>
      </c>
      <c r="AL14" s="22">
        <v>2.88720062683011</v>
      </c>
      <c r="AM14" s="22">
        <v>0.751244081261943</v>
      </c>
      <c r="AN14" s="22">
        <v>1.91332523556885</v>
      </c>
      <c r="AO14" s="22">
        <v>5.87271086310715</v>
      </c>
      <c r="AP14" s="22">
        <v>2.42336766981553</v>
      </c>
      <c r="AQ14" s="22">
        <v>0.824261988004869</v>
      </c>
      <c r="AR14" s="22">
        <v>2.47155653897865</v>
      </c>
      <c r="AS14" s="22">
        <v>10.3395195021539</v>
      </c>
      <c r="AT14" s="22">
        <v>3.21551232343369</v>
      </c>
      <c r="AU14" s="22">
        <v>0.692312681884094</v>
      </c>
      <c r="AV14" s="23">
        <f t="shared" ref="AV14:AW14" si="31">(AC14-AC$289)/AC$290</f>
        <v>-1.057173939</v>
      </c>
      <c r="AW14" s="24">
        <f t="shared" si="31"/>
        <v>-0.9580802372</v>
      </c>
      <c r="AX14" s="24">
        <f t="shared" si="5"/>
        <v>-1.249013851</v>
      </c>
      <c r="AY14" s="25">
        <f t="shared" si="6"/>
        <v>-1.18290257</v>
      </c>
      <c r="AZ14" s="23">
        <f t="shared" si="7"/>
        <v>-1.455505829</v>
      </c>
      <c r="BA14" s="25">
        <f t="shared" si="8"/>
        <v>-1.37476207</v>
      </c>
      <c r="BB14" s="23">
        <f t="shared" si="9"/>
        <v>-0.7505841777</v>
      </c>
      <c r="BC14" s="24">
        <f t="shared" si="10"/>
        <v>-0.9645761059</v>
      </c>
      <c r="BD14" s="25">
        <f t="shared" si="11"/>
        <v>-1.156089284</v>
      </c>
      <c r="BE14" s="26">
        <f t="shared" ref="BE14:BF14" si="32">((S14-S$289)/S$290)</f>
        <v>-0.6621929742</v>
      </c>
      <c r="BF14" s="26">
        <f t="shared" si="32"/>
        <v>-0.9716247075</v>
      </c>
    </row>
    <row r="15">
      <c r="A15" s="16" t="s">
        <v>67</v>
      </c>
      <c r="B15" s="20">
        <f t="shared" si="3"/>
        <v>1.058342091</v>
      </c>
      <c r="C15" s="16" t="s">
        <v>68</v>
      </c>
      <c r="D15" s="16" t="s">
        <v>69</v>
      </c>
      <c r="E15" s="16">
        <v>21.0</v>
      </c>
      <c r="F15" s="21" t="s">
        <v>70</v>
      </c>
      <c r="G15" s="16" t="s">
        <v>71</v>
      </c>
      <c r="H15" s="21" t="s">
        <v>72</v>
      </c>
      <c r="I15" s="21" t="s">
        <v>73</v>
      </c>
      <c r="J15" s="21" t="s">
        <v>74</v>
      </c>
      <c r="K15" s="21" t="s">
        <v>75</v>
      </c>
      <c r="L15" s="16" t="s">
        <v>84</v>
      </c>
      <c r="M15" s="21" t="s">
        <v>85</v>
      </c>
      <c r="N15" s="16" t="s">
        <v>95</v>
      </c>
      <c r="O15" s="16" t="s">
        <v>79</v>
      </c>
      <c r="P15" s="16" t="s">
        <v>80</v>
      </c>
      <c r="Q15" s="21" t="s">
        <v>87</v>
      </c>
      <c r="S15" s="22">
        <v>251.912358283996</v>
      </c>
      <c r="T15" s="22">
        <v>131.023714065551</v>
      </c>
      <c r="U15" s="22">
        <v>2.34923833144371</v>
      </c>
      <c r="V15" s="22">
        <v>8.59873025613057</v>
      </c>
      <c r="W15" s="22">
        <v>2.93235916219868</v>
      </c>
      <c r="X15" s="22">
        <v>0.746486366293917</v>
      </c>
      <c r="Y15" s="22">
        <v>0.0733007199987978</v>
      </c>
      <c r="Z15" s="22">
        <v>0.0080387532399363</v>
      </c>
      <c r="AA15" s="22">
        <v>0.0896590945745957</v>
      </c>
      <c r="AB15" s="22">
        <v>0.828295183845079</v>
      </c>
      <c r="AC15" s="22">
        <v>0.0735307928997496</v>
      </c>
      <c r="AD15" s="22">
        <v>0.0897746273671488</v>
      </c>
      <c r="AE15" s="22">
        <v>0.829221665071499</v>
      </c>
      <c r="AF15" s="22">
        <v>0.0926797263007168</v>
      </c>
      <c r="AG15" s="22">
        <v>0.116328150989139</v>
      </c>
      <c r="AH15" s="22">
        <v>0.715527807184769</v>
      </c>
      <c r="AI15" s="22">
        <v>10.0</v>
      </c>
      <c r="AJ15" s="22">
        <v>2.34923833144372</v>
      </c>
      <c r="AK15" s="22">
        <v>8.59873025613057</v>
      </c>
      <c r="AL15" s="22">
        <v>2.93235916219868</v>
      </c>
      <c r="AM15" s="22">
        <v>0.746386665843422</v>
      </c>
      <c r="AN15" s="22">
        <v>1.9669487100683</v>
      </c>
      <c r="AO15" s="22">
        <v>5.76706431861284</v>
      </c>
      <c r="AP15" s="22">
        <v>2.40147128207123</v>
      </c>
      <c r="AQ15" s="22">
        <v>0.829221665071499</v>
      </c>
      <c r="AR15" s="22">
        <v>2.47918267854417</v>
      </c>
      <c r="AS15" s="22">
        <v>9.68316256375049</v>
      </c>
      <c r="AT15" s="22">
        <v>3.11177803895947</v>
      </c>
      <c r="AU15" s="22">
        <v>0.715527807184769</v>
      </c>
      <c r="AV15" s="23">
        <f t="shared" ref="AV15:AW15" si="33">(AC15-AC$289)/AC$290</f>
        <v>-0.9788918388</v>
      </c>
      <c r="AW15" s="24">
        <f t="shared" si="33"/>
        <v>-0.9844746177</v>
      </c>
      <c r="AX15" s="24">
        <f t="shared" si="5"/>
        <v>-1.235979131</v>
      </c>
      <c r="AY15" s="25">
        <f t="shared" si="6"/>
        <v>-1.334007619</v>
      </c>
      <c r="AZ15" s="23">
        <f t="shared" si="7"/>
        <v>-1.237443981</v>
      </c>
      <c r="BA15" s="25">
        <f t="shared" si="8"/>
        <v>-1.306028713</v>
      </c>
      <c r="BB15" s="23">
        <f t="shared" si="9"/>
        <v>-0.7727015356</v>
      </c>
      <c r="BC15" s="24">
        <f t="shared" si="10"/>
        <v>-1.081876417</v>
      </c>
      <c r="BD15" s="25">
        <f t="shared" si="11"/>
        <v>-1.127278685</v>
      </c>
      <c r="BE15" s="26">
        <f t="shared" ref="BE15:BF15" si="34">((S15-S$289)/S$290)</f>
        <v>-0.5877705655</v>
      </c>
      <c r="BF15" s="26">
        <f t="shared" si="34"/>
        <v>-0.9953098945</v>
      </c>
    </row>
    <row r="16">
      <c r="A16" s="16" t="s">
        <v>82</v>
      </c>
      <c r="B16" s="20">
        <f t="shared" si="3"/>
        <v>1.054649056</v>
      </c>
      <c r="C16" s="16" t="s">
        <v>68</v>
      </c>
      <c r="D16" s="16" t="s">
        <v>69</v>
      </c>
      <c r="E16" s="16">
        <v>47.0</v>
      </c>
      <c r="F16" s="21" t="s">
        <v>70</v>
      </c>
      <c r="G16" s="16" t="s">
        <v>71</v>
      </c>
      <c r="H16" s="21" t="s">
        <v>72</v>
      </c>
      <c r="I16" s="21" t="s">
        <v>73</v>
      </c>
      <c r="J16" s="21" t="s">
        <v>97</v>
      </c>
      <c r="K16" s="21" t="s">
        <v>99</v>
      </c>
      <c r="L16" s="16" t="s">
        <v>84</v>
      </c>
      <c r="M16" s="21" t="s">
        <v>85</v>
      </c>
      <c r="N16" s="16" t="s">
        <v>78</v>
      </c>
      <c r="O16" s="16" t="s">
        <v>79</v>
      </c>
      <c r="P16" s="16" t="s">
        <v>80</v>
      </c>
      <c r="Q16" s="21" t="s">
        <v>98</v>
      </c>
      <c r="S16" s="22">
        <v>342.173534870147</v>
      </c>
      <c r="T16" s="22">
        <v>125.293596029281</v>
      </c>
      <c r="U16" s="22">
        <v>2.28002282298009</v>
      </c>
      <c r="V16" s="22">
        <v>8.14411299420461</v>
      </c>
      <c r="W16" s="22">
        <v>2.85378923436973</v>
      </c>
      <c r="X16" s="22">
        <v>0.75990558281802</v>
      </c>
      <c r="Y16" s="22">
        <v>0.0732627149635762</v>
      </c>
      <c r="Z16" s="22">
        <v>0.00803481515360047</v>
      </c>
      <c r="AA16" s="22">
        <v>0.0896371304404624</v>
      </c>
      <c r="AB16" s="22">
        <v>0.828379299922549</v>
      </c>
      <c r="AC16" s="22">
        <v>0.0734020896794549</v>
      </c>
      <c r="AD16" s="22">
        <v>0.0896559803675286</v>
      </c>
      <c r="AE16" s="22">
        <v>0.829672771317991</v>
      </c>
      <c r="AF16" s="22">
        <v>0.0946942404997475</v>
      </c>
      <c r="AG16" s="22">
        <v>0.118802708404464</v>
      </c>
      <c r="AH16" s="22">
        <v>0.703296374309998</v>
      </c>
      <c r="AI16" s="22">
        <v>10.0</v>
      </c>
      <c r="AJ16" s="22">
        <v>2.2800228229801</v>
      </c>
      <c r="AK16" s="22">
        <v>8.14411299420461</v>
      </c>
      <c r="AL16" s="22">
        <v>2.85378923436973</v>
      </c>
      <c r="AM16" s="22">
        <v>0.759795273408472</v>
      </c>
      <c r="AN16" s="22">
        <v>1.96350589892542</v>
      </c>
      <c r="AO16" s="22">
        <v>5.75183077778263</v>
      </c>
      <c r="AP16" s="22">
        <v>2.39829747483139</v>
      </c>
      <c r="AQ16" s="22">
        <v>0.829672771317991</v>
      </c>
      <c r="AR16" s="22">
        <v>2.53307093336824</v>
      </c>
      <c r="AS16" s="22">
        <v>10.0995088918112</v>
      </c>
      <c r="AT16" s="22">
        <v>3.17797244981942</v>
      </c>
      <c r="AU16" s="22">
        <v>0.703296374309997</v>
      </c>
      <c r="AV16" s="23">
        <f t="shared" ref="AV16:AW16" si="35">(AC16-AC$289)/AC$290</f>
        <v>-0.9839178183</v>
      </c>
      <c r="AW16" s="24">
        <f t="shared" si="35"/>
        <v>-0.9883003938</v>
      </c>
      <c r="AX16" s="24">
        <f t="shared" si="5"/>
        <v>-1.143872463</v>
      </c>
      <c r="AY16" s="25">
        <f t="shared" si="6"/>
        <v>-1.237585209</v>
      </c>
      <c r="AZ16" s="23">
        <f t="shared" si="7"/>
        <v>-1.365163349</v>
      </c>
      <c r="BA16" s="25">
        <f t="shared" si="8"/>
        <v>-1.425615738</v>
      </c>
      <c r="BB16" s="23">
        <f t="shared" si="9"/>
        <v>-0.7747132146</v>
      </c>
      <c r="BC16" s="24">
        <f t="shared" si="10"/>
        <v>-1.020073999</v>
      </c>
      <c r="BD16" s="25">
        <f t="shared" si="11"/>
        <v>-1.206808637</v>
      </c>
      <c r="BE16" s="26">
        <f t="shared" ref="BE16:BF16" si="36">((S16-S$289)/S$290)</f>
        <v>-0.4144739131</v>
      </c>
      <c r="BF16" s="26">
        <f t="shared" si="36"/>
        <v>-1.040614879</v>
      </c>
    </row>
    <row r="17">
      <c r="A17" s="16" t="s">
        <v>82</v>
      </c>
      <c r="B17" s="20">
        <f t="shared" si="3"/>
        <v>1.036567091</v>
      </c>
      <c r="C17" s="16" t="s">
        <v>68</v>
      </c>
      <c r="D17" s="16" t="s">
        <v>69</v>
      </c>
      <c r="E17" s="16">
        <v>65.0</v>
      </c>
      <c r="F17" s="21" t="s">
        <v>70</v>
      </c>
      <c r="G17" s="16" t="s">
        <v>71</v>
      </c>
      <c r="H17" s="21" t="s">
        <v>72</v>
      </c>
      <c r="I17" s="21" t="s">
        <v>88</v>
      </c>
      <c r="J17" s="21" t="s">
        <v>97</v>
      </c>
      <c r="K17" s="21" t="s">
        <v>75</v>
      </c>
      <c r="L17" s="16" t="s">
        <v>90</v>
      </c>
      <c r="M17" s="21" t="s">
        <v>77</v>
      </c>
      <c r="N17" s="16" t="s">
        <v>78</v>
      </c>
      <c r="O17" s="16" t="s">
        <v>92</v>
      </c>
      <c r="P17" s="16" t="s">
        <v>80</v>
      </c>
      <c r="Q17" s="21" t="s">
        <v>93</v>
      </c>
      <c r="R17" s="21" t="s">
        <v>93</v>
      </c>
      <c r="S17" s="22">
        <v>131.463240861892</v>
      </c>
      <c r="T17" s="22">
        <v>134.520300149917</v>
      </c>
      <c r="U17" s="22">
        <v>2.62448126573559</v>
      </c>
      <c r="V17" s="22">
        <v>12.53418770304</v>
      </c>
      <c r="W17" s="22">
        <v>3.54036547591347</v>
      </c>
      <c r="X17" s="22">
        <v>0.625950122770415</v>
      </c>
      <c r="Y17" s="22">
        <v>0.0617037383717338</v>
      </c>
      <c r="Z17" s="22">
        <v>0.00615673464460979</v>
      </c>
      <c r="AA17" s="22">
        <v>0.0784648624838519</v>
      </c>
      <c r="AB17" s="22">
        <v>0.8670020904164</v>
      </c>
      <c r="AC17" s="22">
        <v>0.0613101080704975</v>
      </c>
      <c r="AD17" s="22">
        <v>0.0781529865220065</v>
      </c>
      <c r="AE17" s="22">
        <v>0.869212625971244</v>
      </c>
      <c r="AF17" s="22">
        <v>0.0846033532253055</v>
      </c>
      <c r="AG17" s="22">
        <v>0.111229950209117</v>
      </c>
      <c r="AH17" s="22">
        <v>0.736548729063973</v>
      </c>
      <c r="AI17" s="22">
        <v>10.0</v>
      </c>
      <c r="AJ17" s="22">
        <v>2.62448126573559</v>
      </c>
      <c r="AK17" s="22">
        <v>12.53418770304</v>
      </c>
      <c r="AL17" s="22">
        <v>3.54036547591347</v>
      </c>
      <c r="AM17" s="22">
        <v>0.625962030880427</v>
      </c>
      <c r="AN17" s="22">
        <v>1.64004539088581</v>
      </c>
      <c r="AO17" s="22">
        <v>4.37057653888344</v>
      </c>
      <c r="AP17" s="22">
        <v>2.09059238946367</v>
      </c>
      <c r="AQ17" s="22">
        <v>0.869212625971244</v>
      </c>
      <c r="AR17" s="22">
        <v>2.26313969877693</v>
      </c>
      <c r="AS17" s="22">
        <v>8.85301211109447</v>
      </c>
      <c r="AT17" s="22">
        <v>2.97540116809388</v>
      </c>
      <c r="AU17" s="22">
        <v>0.736548729063973</v>
      </c>
      <c r="AV17" s="23">
        <f t="shared" ref="AV17:AW17" si="37">(AC17-AC$289)/AC$290</f>
        <v>-1.456120861</v>
      </c>
      <c r="AW17" s="24">
        <f t="shared" si="37"/>
        <v>-1.359214775</v>
      </c>
      <c r="AX17" s="24">
        <f t="shared" si="5"/>
        <v>-1.605243255</v>
      </c>
      <c r="AY17" s="25">
        <f t="shared" si="6"/>
        <v>-1.532661651</v>
      </c>
      <c r="AZ17" s="23">
        <f t="shared" si="7"/>
        <v>-0.7295541404</v>
      </c>
      <c r="BA17" s="25">
        <f t="shared" si="8"/>
        <v>-0.3806152798</v>
      </c>
      <c r="BB17" s="23">
        <f t="shared" si="9"/>
        <v>-0.9510386291</v>
      </c>
      <c r="BC17" s="24">
        <f t="shared" si="10"/>
        <v>-1.188089959</v>
      </c>
      <c r="BD17" s="25">
        <f t="shared" si="11"/>
        <v>-0.4130087359</v>
      </c>
      <c r="BE17" s="26">
        <f t="shared" ref="BE17:BF17" si="38">((S17-S$289)/S$290)</f>
        <v>-0.8190264567</v>
      </c>
      <c r="BF17" s="26">
        <f t="shared" si="38"/>
        <v>-0.9676642547</v>
      </c>
    </row>
    <row r="18">
      <c r="A18" s="16" t="s">
        <v>82</v>
      </c>
      <c r="B18" s="20">
        <f t="shared" si="3"/>
        <v>1.034047857</v>
      </c>
      <c r="C18" s="16" t="s">
        <v>68</v>
      </c>
      <c r="D18" s="16" t="s">
        <v>69</v>
      </c>
      <c r="E18" s="16">
        <v>51.0</v>
      </c>
      <c r="F18" s="21" t="s">
        <v>70</v>
      </c>
      <c r="G18" s="16" t="s">
        <v>71</v>
      </c>
      <c r="H18" s="21" t="s">
        <v>72</v>
      </c>
      <c r="I18" s="21" t="s">
        <v>73</v>
      </c>
      <c r="J18" s="21" t="s">
        <v>97</v>
      </c>
      <c r="K18" s="21" t="s">
        <v>75</v>
      </c>
      <c r="L18" s="16" t="s">
        <v>84</v>
      </c>
      <c r="M18" s="21" t="s">
        <v>77</v>
      </c>
      <c r="N18" s="16" t="s">
        <v>78</v>
      </c>
      <c r="O18" s="16" t="s">
        <v>86</v>
      </c>
      <c r="P18" s="16" t="s">
        <v>80</v>
      </c>
      <c r="Q18" s="21" t="s">
        <v>89</v>
      </c>
      <c r="R18" s="21" t="s">
        <v>89</v>
      </c>
      <c r="S18" s="22">
        <v>190.577086925506</v>
      </c>
      <c r="T18" s="22">
        <v>130.197788238525</v>
      </c>
      <c r="U18" s="22">
        <v>2.26236210962438</v>
      </c>
      <c r="V18" s="22">
        <v>8.65043137607177</v>
      </c>
      <c r="W18" s="22">
        <v>2.94116156918857</v>
      </c>
      <c r="X18" s="22">
        <v>0.74492965347337</v>
      </c>
      <c r="Y18" s="22">
        <v>0.0729656317831299</v>
      </c>
      <c r="Z18" s="22">
        <v>0.00844198625323186</v>
      </c>
      <c r="AA18" s="22">
        <v>0.0918802821786691</v>
      </c>
      <c r="AB18" s="22">
        <v>0.819682274809441</v>
      </c>
      <c r="AC18" s="22">
        <v>0.0731035966974226</v>
      </c>
      <c r="AD18" s="22">
        <v>0.0918768392719003</v>
      </c>
      <c r="AE18" s="22">
        <v>0.821129943094857</v>
      </c>
      <c r="AF18" s="22">
        <v>0.0936664660537926</v>
      </c>
      <c r="AG18" s="22">
        <v>0.122500516149512</v>
      </c>
      <c r="AH18" s="22">
        <v>0.684538759063962</v>
      </c>
      <c r="AI18" s="22">
        <v>10.0</v>
      </c>
      <c r="AJ18" s="22">
        <v>2.26236210962438</v>
      </c>
      <c r="AK18" s="22">
        <v>8.65043137607177</v>
      </c>
      <c r="AL18" s="22">
        <v>2.94116156918857</v>
      </c>
      <c r="AM18" s="22">
        <v>0.744861778677835</v>
      </c>
      <c r="AN18" s="22">
        <v>1.95552121165605</v>
      </c>
      <c r="AO18" s="22">
        <v>6.04031608153209</v>
      </c>
      <c r="AP18" s="22">
        <v>2.45770545052333</v>
      </c>
      <c r="AQ18" s="22">
        <v>0.821129943094857</v>
      </c>
      <c r="AR18" s="22">
        <v>2.50557796693895</v>
      </c>
      <c r="AS18" s="22">
        <v>10.7380002534383</v>
      </c>
      <c r="AT18" s="22">
        <v>3.27688880699946</v>
      </c>
      <c r="AU18" s="22">
        <v>0.684538759063962</v>
      </c>
      <c r="AV18" s="23">
        <f t="shared" ref="AV18:AW18" si="39">(AC18-AC$289)/AC$290</f>
        <v>-0.9955742448</v>
      </c>
      <c r="AW18" s="24">
        <f t="shared" si="39"/>
        <v>-0.916688732</v>
      </c>
      <c r="AX18" s="24">
        <f t="shared" si="5"/>
        <v>-1.190863881</v>
      </c>
      <c r="AY18" s="25">
        <f t="shared" si="6"/>
        <v>-1.093498217</v>
      </c>
      <c r="AZ18" s="23">
        <f t="shared" si="7"/>
        <v>-1.39775164</v>
      </c>
      <c r="BA18" s="25">
        <f t="shared" si="8"/>
        <v>-1.292631046</v>
      </c>
      <c r="BB18" s="23">
        <f t="shared" si="9"/>
        <v>-0.7366170268</v>
      </c>
      <c r="BC18" s="24">
        <f t="shared" si="10"/>
        <v>-0.9252963883</v>
      </c>
      <c r="BD18" s="25">
        <f t="shared" si="11"/>
        <v>-1.118234181</v>
      </c>
      <c r="BE18" s="26">
        <f t="shared" ref="BE18:BF18" si="40">((S18-S$289)/S$290)</f>
        <v>-0.7055310202</v>
      </c>
      <c r="BF18" s="26">
        <f t="shared" si="40"/>
        <v>-1.001840049</v>
      </c>
    </row>
    <row r="19">
      <c r="A19" s="16" t="s">
        <v>82</v>
      </c>
      <c r="B19" s="20">
        <f t="shared" si="3"/>
        <v>1.005311569</v>
      </c>
      <c r="C19" s="16" t="s">
        <v>68</v>
      </c>
      <c r="D19" s="16" t="s">
        <v>69</v>
      </c>
      <c r="E19" s="16">
        <v>108.0</v>
      </c>
      <c r="F19" s="21" t="s">
        <v>70</v>
      </c>
      <c r="G19" s="16" t="s">
        <v>100</v>
      </c>
      <c r="H19" s="21" t="s">
        <v>101</v>
      </c>
      <c r="I19" s="21" t="s">
        <v>73</v>
      </c>
      <c r="J19" s="21" t="s">
        <v>97</v>
      </c>
      <c r="K19" s="21" t="s">
        <v>75</v>
      </c>
      <c r="L19" s="16" t="s">
        <v>84</v>
      </c>
      <c r="M19" s="21" t="s">
        <v>77</v>
      </c>
      <c r="N19" s="16" t="s">
        <v>78</v>
      </c>
      <c r="O19" s="16" t="s">
        <v>86</v>
      </c>
      <c r="P19" s="16" t="s">
        <v>80</v>
      </c>
      <c r="Q19" s="21" t="s">
        <v>89</v>
      </c>
      <c r="R19" s="21" t="s">
        <v>98</v>
      </c>
      <c r="S19" s="22">
        <v>222.638998508453</v>
      </c>
      <c r="T19" s="22">
        <v>133.889629602432</v>
      </c>
      <c r="U19" s="22">
        <v>2.38592488669906</v>
      </c>
      <c r="V19" s="22">
        <v>9.46388066923919</v>
      </c>
      <c r="W19" s="22">
        <v>3.07634209236215</v>
      </c>
      <c r="X19" s="22">
        <v>0.720124515750112</v>
      </c>
      <c r="Y19" s="22">
        <v>0.0663605711853416</v>
      </c>
      <c r="Z19" s="22">
        <v>0.00726080282052562</v>
      </c>
      <c r="AA19" s="22">
        <v>0.0852103445628852</v>
      </c>
      <c r="AB19" s="22">
        <v>0.842748582811845</v>
      </c>
      <c r="AC19" s="22">
        <v>0.0666862913859564</v>
      </c>
      <c r="AD19" s="22">
        <v>0.0852992188646675</v>
      </c>
      <c r="AE19" s="22">
        <v>0.845025604185311</v>
      </c>
      <c r="AF19" s="22">
        <v>0.0966705728418683</v>
      </c>
      <c r="AG19" s="22">
        <v>0.123548495216728</v>
      </c>
      <c r="AH19" s="22">
        <v>0.677572198555176</v>
      </c>
      <c r="AI19" s="22">
        <v>10.0</v>
      </c>
      <c r="AJ19" s="22">
        <v>2.38592488669906</v>
      </c>
      <c r="AK19" s="22">
        <v>9.46388066923918</v>
      </c>
      <c r="AL19" s="22">
        <v>3.07634209236215</v>
      </c>
      <c r="AM19" s="22">
        <v>0.719998751759798</v>
      </c>
      <c r="AN19" s="22">
        <v>1.78385829457434</v>
      </c>
      <c r="AO19" s="22">
        <v>5.2064017939952</v>
      </c>
      <c r="AP19" s="22">
        <v>2.28175410462985</v>
      </c>
      <c r="AQ19" s="22">
        <v>0.845025604185311</v>
      </c>
      <c r="AR19" s="22">
        <v>2.58593782351997</v>
      </c>
      <c r="AS19" s="22">
        <v>10.9225110590294</v>
      </c>
      <c r="AT19" s="22">
        <v>3.30492224704749</v>
      </c>
      <c r="AU19" s="22">
        <v>0.677572198555176</v>
      </c>
      <c r="AV19" s="23">
        <f t="shared" ref="AV19:AW19" si="41">(AC19-AC$289)/AC$290</f>
        <v>-1.246175941</v>
      </c>
      <c r="AW19" s="24">
        <f t="shared" si="41"/>
        <v>-1.128784299</v>
      </c>
      <c r="AX19" s="24">
        <f t="shared" si="5"/>
        <v>-1.053511527</v>
      </c>
      <c r="AY19" s="25">
        <f t="shared" si="6"/>
        <v>-1.052663171</v>
      </c>
      <c r="AZ19" s="23">
        <f t="shared" si="7"/>
        <v>-1.169748406</v>
      </c>
      <c r="BA19" s="25">
        <f t="shared" si="8"/>
        <v>-1.086880104</v>
      </c>
      <c r="BB19" s="23">
        <f t="shared" si="9"/>
        <v>-0.8431781759</v>
      </c>
      <c r="BC19" s="24">
        <f t="shared" si="10"/>
        <v>-0.8900960736</v>
      </c>
      <c r="BD19" s="25">
        <f t="shared" si="11"/>
        <v>-0.9707650777</v>
      </c>
      <c r="BE19" s="26">
        <f t="shared" ref="BE19:BF19" si="42">((S19-S$289)/S$290)</f>
        <v>-0.6439738574</v>
      </c>
      <c r="BF19" s="26">
        <f t="shared" si="42"/>
        <v>-0.9726506301</v>
      </c>
    </row>
    <row r="20">
      <c r="A20" s="16" t="s">
        <v>82</v>
      </c>
      <c r="B20" s="20">
        <f t="shared" si="3"/>
        <v>0.9911163186</v>
      </c>
      <c r="C20" s="16" t="s">
        <v>68</v>
      </c>
      <c r="D20" s="16" t="s">
        <v>69</v>
      </c>
      <c r="E20" s="16">
        <v>45.0</v>
      </c>
      <c r="F20" s="21" t="s">
        <v>70</v>
      </c>
      <c r="G20" s="16" t="s">
        <v>71</v>
      </c>
      <c r="H20" s="21" t="s">
        <v>72</v>
      </c>
      <c r="I20" s="21" t="s">
        <v>88</v>
      </c>
      <c r="J20" s="21" t="s">
        <v>74</v>
      </c>
      <c r="K20" s="21" t="s">
        <v>75</v>
      </c>
      <c r="L20" s="16" t="s">
        <v>76</v>
      </c>
      <c r="M20" s="21" t="s">
        <v>85</v>
      </c>
      <c r="N20" s="16" t="s">
        <v>95</v>
      </c>
      <c r="O20" s="16" t="s">
        <v>79</v>
      </c>
      <c r="P20" s="16" t="s">
        <v>80</v>
      </c>
      <c r="Q20" s="21" t="s">
        <v>81</v>
      </c>
      <c r="S20" s="22">
        <v>214.488930702209</v>
      </c>
      <c r="T20" s="22">
        <v>126.388867378234</v>
      </c>
      <c r="U20" s="22">
        <v>2.45971444777144</v>
      </c>
      <c r="V20" s="22">
        <v>9.49987585513826</v>
      </c>
      <c r="W20" s="22">
        <v>3.08218686246279</v>
      </c>
      <c r="X20" s="22">
        <v>0.71656432737481</v>
      </c>
      <c r="Y20" s="22">
        <v>0.0667147669346644</v>
      </c>
      <c r="Z20" s="22">
        <v>0.00694622775056211</v>
      </c>
      <c r="AA20" s="22">
        <v>0.0833440324832084</v>
      </c>
      <c r="AB20" s="22">
        <v>0.8499474439547</v>
      </c>
      <c r="AC20" s="22">
        <v>0.0668838252010174</v>
      </c>
      <c r="AD20" s="22">
        <v>0.083390379956309</v>
      </c>
      <c r="AE20" s="22">
        <v>0.851095930210573</v>
      </c>
      <c r="AF20" s="22">
        <v>0.0988134248866706</v>
      </c>
      <c r="AG20" s="22">
        <v>0.124083569926278</v>
      </c>
      <c r="AH20" s="22">
        <v>0.672142312008608</v>
      </c>
      <c r="AI20" s="22">
        <v>10.0</v>
      </c>
      <c r="AJ20" s="22">
        <v>2.45971444777144</v>
      </c>
      <c r="AK20" s="22">
        <v>9.49987585513826</v>
      </c>
      <c r="AL20" s="22">
        <v>3.08218686246279</v>
      </c>
      <c r="AM20" s="22">
        <v>0.716510207447893</v>
      </c>
      <c r="AN20" s="22">
        <v>1.78914232412722</v>
      </c>
      <c r="AO20" s="22">
        <v>4.97598976047062</v>
      </c>
      <c r="AP20" s="22">
        <v>2.23069266383126</v>
      </c>
      <c r="AQ20" s="22">
        <v>0.851095930210573</v>
      </c>
      <c r="AR20" s="22">
        <v>2.64325911571843</v>
      </c>
      <c r="AS20" s="22">
        <v>11.0173242747727</v>
      </c>
      <c r="AT20" s="22">
        <v>3.31923549552796</v>
      </c>
      <c r="AU20" s="22">
        <v>0.672142312008608</v>
      </c>
      <c r="AV20" s="23">
        <f t="shared" ref="AV20:AW20" si="43">(AC20-AC$289)/AC$290</f>
        <v>-1.238462063</v>
      </c>
      <c r="AW20" s="24">
        <f t="shared" si="43"/>
        <v>-1.190334867</v>
      </c>
      <c r="AX20" s="24">
        <f t="shared" si="5"/>
        <v>-0.9555370551</v>
      </c>
      <c r="AY20" s="25">
        <f t="shared" si="6"/>
        <v>-1.031813708</v>
      </c>
      <c r="AZ20" s="23">
        <f t="shared" si="7"/>
        <v>-1.033588804</v>
      </c>
      <c r="BA20" s="25">
        <f t="shared" si="8"/>
        <v>-1.077984097</v>
      </c>
      <c r="BB20" s="23">
        <f t="shared" si="9"/>
        <v>-0.8702484007</v>
      </c>
      <c r="BC20" s="24">
        <f t="shared" si="10"/>
        <v>-0.862660194</v>
      </c>
      <c r="BD20" s="25">
        <f t="shared" si="11"/>
        <v>-0.9500736107</v>
      </c>
      <c r="BE20" s="26">
        <f t="shared" ref="BE20:BF20" si="44">((S20-S$289)/S$290)</f>
        <v>-0.6596215536</v>
      </c>
      <c r="BF20" s="26">
        <f t="shared" si="44"/>
        <v>-1.031955153</v>
      </c>
    </row>
    <row r="21">
      <c r="A21" s="16" t="s">
        <v>67</v>
      </c>
      <c r="B21" s="20">
        <f t="shared" si="3"/>
        <v>0.9836201397</v>
      </c>
      <c r="C21" s="16" t="s">
        <v>68</v>
      </c>
      <c r="D21" s="16" t="s">
        <v>69</v>
      </c>
      <c r="E21" s="16">
        <v>14.0</v>
      </c>
      <c r="F21" s="21" t="s">
        <v>70</v>
      </c>
      <c r="G21" s="16" t="s">
        <v>71</v>
      </c>
      <c r="H21" s="21" t="s">
        <v>72</v>
      </c>
      <c r="I21" s="21" t="s">
        <v>88</v>
      </c>
      <c r="J21" s="21" t="s">
        <v>74</v>
      </c>
      <c r="K21" s="21" t="s">
        <v>75</v>
      </c>
      <c r="L21" s="16" t="s">
        <v>90</v>
      </c>
      <c r="M21" s="21" t="s">
        <v>85</v>
      </c>
      <c r="N21" s="16" t="s">
        <v>78</v>
      </c>
      <c r="O21" s="16" t="s">
        <v>92</v>
      </c>
      <c r="P21" s="16" t="s">
        <v>80</v>
      </c>
      <c r="Q21" s="21" t="s">
        <v>94</v>
      </c>
      <c r="S21" s="22">
        <v>170.358901977539</v>
      </c>
      <c r="T21" s="22">
        <v>128.771752357482</v>
      </c>
      <c r="U21" s="22">
        <v>2.31955294745466</v>
      </c>
      <c r="V21" s="22">
        <v>8.88831063300438</v>
      </c>
      <c r="W21" s="22">
        <v>2.98132699196253</v>
      </c>
      <c r="X21" s="22">
        <v>0.73485239348485</v>
      </c>
      <c r="Y21" s="22">
        <v>0.0627836788218524</v>
      </c>
      <c r="Z21" s="22">
        <v>0.00583521397101173</v>
      </c>
      <c r="AA21" s="22">
        <v>0.0763885722540468</v>
      </c>
      <c r="AB21" s="22">
        <v>0.87394758668103</v>
      </c>
      <c r="AC21" s="22">
        <v>0.0628249251898386</v>
      </c>
      <c r="AD21" s="22">
        <v>0.0763371676831708</v>
      </c>
      <c r="AE21" s="22">
        <v>0.875219492564559</v>
      </c>
      <c r="AF21" s="22">
        <v>0.106472531915284</v>
      </c>
      <c r="AG21" s="22">
        <v>0.136209100326014</v>
      </c>
      <c r="AH21" s="22">
        <v>0.604934540395386</v>
      </c>
      <c r="AI21" s="22">
        <v>10.0</v>
      </c>
      <c r="AJ21" s="22">
        <v>2.31955294745467</v>
      </c>
      <c r="AK21" s="22">
        <v>8.88831063300439</v>
      </c>
      <c r="AL21" s="22">
        <v>2.98132699196253</v>
      </c>
      <c r="AM21" s="22">
        <v>0.734760182563204</v>
      </c>
      <c r="AN21" s="22">
        <v>1.68056674882818</v>
      </c>
      <c r="AO21" s="22">
        <v>4.16984255825336</v>
      </c>
      <c r="AP21" s="22">
        <v>2.04201923552481</v>
      </c>
      <c r="AQ21" s="22">
        <v>0.875219492564559</v>
      </c>
      <c r="AR21" s="22">
        <v>2.84814022873386</v>
      </c>
      <c r="AS21" s="22">
        <v>13.275773110254</v>
      </c>
      <c r="AT21" s="22">
        <v>3.64359343372089</v>
      </c>
      <c r="AU21" s="22">
        <v>0.604934540395386</v>
      </c>
      <c r="AV21" s="23">
        <f t="shared" ref="AV21:AW21" si="45">(AC21-AC$289)/AC$290</f>
        <v>-1.396965855</v>
      </c>
      <c r="AW21" s="24">
        <f t="shared" si="45"/>
        <v>-1.417765907</v>
      </c>
      <c r="AX21" s="24">
        <f t="shared" si="5"/>
        <v>-0.6053509729</v>
      </c>
      <c r="AY21" s="25">
        <f t="shared" si="6"/>
        <v>-0.5593361421</v>
      </c>
      <c r="AZ21" s="23">
        <f t="shared" si="7"/>
        <v>-1.2922207</v>
      </c>
      <c r="BA21" s="25">
        <f t="shared" si="8"/>
        <v>-1.231497435</v>
      </c>
      <c r="BB21" s="23">
        <f t="shared" si="9"/>
        <v>-0.9778258606</v>
      </c>
      <c r="BC21" s="24">
        <f t="shared" si="10"/>
        <v>-0.5230758743</v>
      </c>
      <c r="BD21" s="25">
        <f t="shared" si="11"/>
        <v>-1.058318978</v>
      </c>
      <c r="BE21" s="26">
        <f t="shared" ref="BE21:BF21" si="46">((S21-S$289)/S$290)</f>
        <v>-0.7443488587</v>
      </c>
      <c r="BF21" s="26">
        <f t="shared" si="46"/>
        <v>-1.013114954</v>
      </c>
    </row>
    <row r="22">
      <c r="A22" s="16" t="s">
        <v>82</v>
      </c>
      <c r="B22" s="20">
        <f t="shared" si="3"/>
        <v>0.9773449545</v>
      </c>
      <c r="C22" s="16" t="s">
        <v>68</v>
      </c>
      <c r="D22" s="16" t="s">
        <v>69</v>
      </c>
      <c r="E22" s="16">
        <v>56.0</v>
      </c>
      <c r="F22" s="21" t="s">
        <v>70</v>
      </c>
      <c r="G22" s="16" t="s">
        <v>71</v>
      </c>
      <c r="H22" s="21" t="s">
        <v>72</v>
      </c>
      <c r="I22" s="21" t="s">
        <v>88</v>
      </c>
      <c r="J22" s="21" t="s">
        <v>74</v>
      </c>
      <c r="K22" s="21" t="s">
        <v>75</v>
      </c>
      <c r="L22" s="16" t="s">
        <v>84</v>
      </c>
      <c r="M22" s="21" t="s">
        <v>77</v>
      </c>
      <c r="N22" s="16" t="s">
        <v>78</v>
      </c>
      <c r="O22" s="16" t="s">
        <v>79</v>
      </c>
      <c r="P22" s="16" t="s">
        <v>80</v>
      </c>
      <c r="Q22" s="21" t="s">
        <v>87</v>
      </c>
      <c r="R22" s="21" t="s">
        <v>98</v>
      </c>
      <c r="S22" s="22">
        <v>516.339575052261</v>
      </c>
      <c r="T22" s="22">
        <v>148.481699466705</v>
      </c>
      <c r="U22" s="22">
        <v>2.37305560128356</v>
      </c>
      <c r="V22" s="22">
        <v>8.58336411072483</v>
      </c>
      <c r="W22" s="22">
        <v>2.92973789113033</v>
      </c>
      <c r="X22" s="22">
        <v>0.743915599205477</v>
      </c>
      <c r="Y22" s="22">
        <v>0.0750911888425403</v>
      </c>
      <c r="Z22" s="22">
        <v>0.00854529294673093</v>
      </c>
      <c r="AA22" s="22">
        <v>0.0924407537113957</v>
      </c>
      <c r="AB22" s="22">
        <v>0.81540440439646</v>
      </c>
      <c r="AC22" s="22">
        <v>0.0752682604013526</v>
      </c>
      <c r="AD22" s="22">
        <v>0.0924877356406747</v>
      </c>
      <c r="AE22" s="22">
        <v>0.816834803478979</v>
      </c>
      <c r="AF22" s="22">
        <v>0.0932664267950585</v>
      </c>
      <c r="AG22" s="22">
        <v>0.115299788080921</v>
      </c>
      <c r="AH22" s="22">
        <v>0.716916973208864</v>
      </c>
      <c r="AI22" s="22">
        <v>10.0</v>
      </c>
      <c r="AJ22" s="22">
        <v>2.37305560128356</v>
      </c>
      <c r="AK22" s="22">
        <v>8.58336411072483</v>
      </c>
      <c r="AL22" s="22">
        <v>2.92973789113033</v>
      </c>
      <c r="AM22" s="22">
        <v>0.743860220043563</v>
      </c>
      <c r="AN22" s="22">
        <v>2.01342596573618</v>
      </c>
      <c r="AO22" s="22">
        <v>6.12090820386633</v>
      </c>
      <c r="AP22" s="22">
        <v>2.47404692838804</v>
      </c>
      <c r="AQ22" s="22">
        <v>0.816834803478979</v>
      </c>
      <c r="AR22" s="22">
        <v>2.49487691676781</v>
      </c>
      <c r="AS22" s="22">
        <v>9.51271730716289</v>
      </c>
      <c r="AT22" s="22">
        <v>3.08426933116465</v>
      </c>
      <c r="AU22" s="22">
        <v>0.716916973208864</v>
      </c>
      <c r="AV22" s="23">
        <f t="shared" ref="AV22:AW22" si="47">(AC22-AC$289)/AC$290</f>
        <v>-0.9110421291</v>
      </c>
      <c r="AW22" s="24">
        <f t="shared" si="47"/>
        <v>-0.8969903603</v>
      </c>
      <c r="AX22" s="24">
        <f t="shared" si="5"/>
        <v>-1.209154288</v>
      </c>
      <c r="AY22" s="25">
        <f t="shared" si="6"/>
        <v>-1.374078312</v>
      </c>
      <c r="AZ22" s="23">
        <f t="shared" si="7"/>
        <v>-1.193495353</v>
      </c>
      <c r="BA22" s="25">
        <f t="shared" si="8"/>
        <v>-1.310018407</v>
      </c>
      <c r="BB22" s="23">
        <f t="shared" si="9"/>
        <v>-0.7174631306</v>
      </c>
      <c r="BC22" s="24">
        <f t="shared" si="10"/>
        <v>-1.088895531</v>
      </c>
      <c r="BD22" s="25">
        <f t="shared" si="11"/>
        <v>-1.112293676</v>
      </c>
      <c r="BE22" s="26">
        <f t="shared" ref="BE22:BF22" si="48">((S22-S$289)/S$290)</f>
        <v>-0.08008439082</v>
      </c>
      <c r="BF22" s="26">
        <f t="shared" si="48"/>
        <v>-0.8572789224</v>
      </c>
    </row>
    <row r="23">
      <c r="A23" s="16" t="s">
        <v>82</v>
      </c>
      <c r="B23" s="20">
        <f t="shared" si="3"/>
        <v>0.9575041148</v>
      </c>
      <c r="C23" s="16" t="s">
        <v>68</v>
      </c>
      <c r="D23" s="16" t="s">
        <v>69</v>
      </c>
      <c r="E23" s="16">
        <v>44.0</v>
      </c>
      <c r="F23" s="21" t="s">
        <v>70</v>
      </c>
      <c r="G23" s="16" t="s">
        <v>71</v>
      </c>
      <c r="H23" s="21" t="s">
        <v>72</v>
      </c>
      <c r="I23" s="21" t="s">
        <v>73</v>
      </c>
      <c r="J23" s="21" t="s">
        <v>74</v>
      </c>
      <c r="K23" s="21" t="s">
        <v>75</v>
      </c>
      <c r="L23" s="16" t="s">
        <v>84</v>
      </c>
      <c r="M23" s="21" t="s">
        <v>85</v>
      </c>
      <c r="N23" s="16" t="s">
        <v>95</v>
      </c>
      <c r="O23" s="16" t="s">
        <v>86</v>
      </c>
      <c r="P23" s="16" t="s">
        <v>80</v>
      </c>
      <c r="Q23" s="21" t="s">
        <v>87</v>
      </c>
      <c r="S23" s="22">
        <v>206.631711006164</v>
      </c>
      <c r="T23" s="22">
        <v>128.781288385391</v>
      </c>
      <c r="U23" s="22">
        <v>2.37821849896302</v>
      </c>
      <c r="V23" s="22">
        <v>9.14860682708045</v>
      </c>
      <c r="W23" s="22">
        <v>3.0246663993043</v>
      </c>
      <c r="X23" s="22">
        <v>0.730260392082249</v>
      </c>
      <c r="Y23" s="22">
        <v>0.0734069476065144</v>
      </c>
      <c r="Z23" s="22">
        <v>0.00843400739694631</v>
      </c>
      <c r="AA23" s="22">
        <v>0.0918368520635714</v>
      </c>
      <c r="AB23" s="22">
        <v>0.819852700248654</v>
      </c>
      <c r="AC23" s="22">
        <v>0.0736422905756131</v>
      </c>
      <c r="AD23" s="22">
        <v>0.0919391774703713</v>
      </c>
      <c r="AE23" s="22">
        <v>0.820887135005948</v>
      </c>
      <c r="AF23" s="22">
        <v>0.0980081612977673</v>
      </c>
      <c r="AG23" s="22">
        <v>0.125130992611791</v>
      </c>
      <c r="AH23" s="22">
        <v>0.670845384307117</v>
      </c>
      <c r="AI23" s="22">
        <v>10.0</v>
      </c>
      <c r="AJ23" s="22">
        <v>2.37821849896302</v>
      </c>
      <c r="AK23" s="22">
        <v>9.14860682708045</v>
      </c>
      <c r="AL23" s="22">
        <v>3.0246663993043</v>
      </c>
      <c r="AM23" s="22">
        <v>0.730168453807551</v>
      </c>
      <c r="AN23" s="22">
        <v>1.96993127289765</v>
      </c>
      <c r="AO23" s="22">
        <v>6.04851554000791</v>
      </c>
      <c r="AP23" s="22">
        <v>2.45937299733243</v>
      </c>
      <c r="AQ23" s="22">
        <v>0.820887135005948</v>
      </c>
      <c r="AR23" s="22">
        <v>2.62171831471527</v>
      </c>
      <c r="AS23" s="22">
        <v>11.2041096910768</v>
      </c>
      <c r="AT23" s="22">
        <v>3.34725405236543</v>
      </c>
      <c r="AU23" s="22">
        <v>0.670845384307117</v>
      </c>
      <c r="AV23" s="23">
        <f t="shared" ref="AV23:AW23" si="49">(AC23-AC$289)/AC$290</f>
        <v>-0.9745377516</v>
      </c>
      <c r="AW23" s="24">
        <f t="shared" si="49"/>
        <v>-0.9146786349</v>
      </c>
      <c r="AX23" s="24">
        <f t="shared" si="5"/>
        <v>-0.9923549375</v>
      </c>
      <c r="AY23" s="25">
        <f t="shared" si="6"/>
        <v>-0.991000341</v>
      </c>
      <c r="AZ23" s="23">
        <f t="shared" si="7"/>
        <v>-1.183968557</v>
      </c>
      <c r="BA23" s="25">
        <f t="shared" si="8"/>
        <v>-1.165532874</v>
      </c>
      <c r="BB23" s="23">
        <f t="shared" si="9"/>
        <v>-0.7355342399</v>
      </c>
      <c r="BC23" s="24">
        <f t="shared" si="10"/>
        <v>-0.8561071377</v>
      </c>
      <c r="BD23" s="25">
        <f t="shared" si="11"/>
        <v>-1.031084236</v>
      </c>
      <c r="BE23" s="26">
        <f t="shared" ref="BE23:BF23" si="50">((S23-S$289)/S$290)</f>
        <v>-0.674706997</v>
      </c>
      <c r="BF23" s="26">
        <f t="shared" si="50"/>
        <v>-1.013039557</v>
      </c>
    </row>
    <row r="24">
      <c r="A24" s="16" t="s">
        <v>67</v>
      </c>
      <c r="B24" s="20">
        <f t="shared" si="3"/>
        <v>0.9419644023</v>
      </c>
      <c r="C24" s="16" t="s">
        <v>68</v>
      </c>
      <c r="D24" s="16" t="s">
        <v>69</v>
      </c>
      <c r="E24" s="16">
        <v>10.0</v>
      </c>
      <c r="F24" s="21" t="s">
        <v>70</v>
      </c>
      <c r="G24" s="16" t="s">
        <v>71</v>
      </c>
      <c r="H24" s="21" t="s">
        <v>72</v>
      </c>
      <c r="I24" s="21" t="s">
        <v>73</v>
      </c>
      <c r="J24" s="21" t="s">
        <v>74</v>
      </c>
      <c r="K24" s="21" t="s">
        <v>75</v>
      </c>
      <c r="L24" s="16" t="s">
        <v>90</v>
      </c>
      <c r="M24" s="21" t="s">
        <v>77</v>
      </c>
      <c r="N24" s="16" t="s">
        <v>78</v>
      </c>
      <c r="O24" s="16" t="s">
        <v>86</v>
      </c>
      <c r="P24" s="16" t="s">
        <v>80</v>
      </c>
      <c r="Q24" s="21" t="s">
        <v>94</v>
      </c>
      <c r="R24" s="21" t="s">
        <v>94</v>
      </c>
      <c r="S24" s="22">
        <v>131.679861545562</v>
      </c>
      <c r="T24" s="22">
        <v>132.378667593002</v>
      </c>
      <c r="U24" s="22">
        <v>2.43047634505331</v>
      </c>
      <c r="V24" s="22">
        <v>9.54777857441186</v>
      </c>
      <c r="W24" s="22">
        <v>3.0899479889493</v>
      </c>
      <c r="X24" s="22">
        <v>0.718473434942887</v>
      </c>
      <c r="Y24" s="22">
        <v>0.0816787849759501</v>
      </c>
      <c r="Z24" s="22">
        <v>0.0102108517086053</v>
      </c>
      <c r="AA24" s="22">
        <v>0.101048759065143</v>
      </c>
      <c r="AB24" s="22">
        <v>0.781899958478495</v>
      </c>
      <c r="AC24" s="22">
        <v>0.0819638391814185</v>
      </c>
      <c r="AD24" s="22">
        <v>0.101196712193713</v>
      </c>
      <c r="AE24" s="22">
        <v>0.783000687323255</v>
      </c>
      <c r="AF24" s="22">
        <v>0.0912640628529825</v>
      </c>
      <c r="AG24" s="22">
        <v>0.11798004344355</v>
      </c>
      <c r="AH24" s="22">
        <v>0.707391273682364</v>
      </c>
      <c r="AI24" s="22">
        <v>10.0</v>
      </c>
      <c r="AJ24" s="22">
        <v>2.43047634505332</v>
      </c>
      <c r="AK24" s="22">
        <v>9.54777857441186</v>
      </c>
      <c r="AL24" s="22">
        <v>3.0899479889493</v>
      </c>
      <c r="AM24" s="22">
        <v>0.71839517162212</v>
      </c>
      <c r="AN24" s="22">
        <v>2.19253269810294</v>
      </c>
      <c r="AO24" s="22">
        <v>7.32791424524373</v>
      </c>
      <c r="AP24" s="22">
        <v>2.70701205118184</v>
      </c>
      <c r="AQ24" s="22">
        <v>0.783000687323255</v>
      </c>
      <c r="AR24" s="22">
        <v>2.44131368131728</v>
      </c>
      <c r="AS24" s="22">
        <v>9.96012241641478</v>
      </c>
      <c r="AT24" s="22">
        <v>3.15596616211498</v>
      </c>
      <c r="AU24" s="22">
        <v>0.707391273682364</v>
      </c>
      <c r="AV24" s="23">
        <f t="shared" ref="AV24:AW24" si="51">(AC24-AC$289)/AC$290</f>
        <v>-0.6495735975</v>
      </c>
      <c r="AW24" s="24">
        <f t="shared" si="51"/>
        <v>-0.6161691507</v>
      </c>
      <c r="AX24" s="24">
        <f t="shared" si="5"/>
        <v>-1.300705428</v>
      </c>
      <c r="AY24" s="25">
        <f t="shared" si="6"/>
        <v>-1.269640775</v>
      </c>
      <c r="AZ24" s="23">
        <f t="shared" si="7"/>
        <v>-1.087540181</v>
      </c>
      <c r="BA24" s="25">
        <f t="shared" si="8"/>
        <v>-1.066171307</v>
      </c>
      <c r="BB24" s="23">
        <f t="shared" si="9"/>
        <v>-0.5665820864</v>
      </c>
      <c r="BC24" s="24">
        <f t="shared" si="10"/>
        <v>-1.040764517</v>
      </c>
      <c r="BD24" s="25">
        <f t="shared" si="11"/>
        <v>-0.9612538253</v>
      </c>
      <c r="BE24" s="26">
        <f t="shared" ref="BE24:BF24" si="52">((S24-S$289)/S$290)</f>
        <v>-0.8186105565</v>
      </c>
      <c r="BF24" s="26">
        <f t="shared" si="52"/>
        <v>-0.9845970002</v>
      </c>
    </row>
    <row r="25">
      <c r="A25" s="16" t="s">
        <v>67</v>
      </c>
      <c r="B25" s="20">
        <f t="shared" si="3"/>
        <v>0.9375771556</v>
      </c>
      <c r="C25" s="16" t="s">
        <v>68</v>
      </c>
      <c r="D25" s="16" t="s">
        <v>69</v>
      </c>
      <c r="E25" s="16">
        <v>81.0</v>
      </c>
      <c r="F25" s="21" t="s">
        <v>70</v>
      </c>
      <c r="G25" s="16" t="s">
        <v>100</v>
      </c>
      <c r="H25" s="21" t="s">
        <v>101</v>
      </c>
      <c r="I25" s="21" t="s">
        <v>88</v>
      </c>
      <c r="J25" s="21" t="s">
        <v>83</v>
      </c>
      <c r="K25" s="21" t="s">
        <v>75</v>
      </c>
      <c r="L25" s="16" t="s">
        <v>76</v>
      </c>
      <c r="M25" s="21" t="s">
        <v>77</v>
      </c>
      <c r="N25" s="16" t="s">
        <v>78</v>
      </c>
      <c r="O25" s="16" t="s">
        <v>86</v>
      </c>
      <c r="P25" s="16" t="s">
        <v>80</v>
      </c>
      <c r="Q25" s="21" t="s">
        <v>94</v>
      </c>
      <c r="R25" s="21" t="s">
        <v>81</v>
      </c>
      <c r="S25" s="22">
        <v>234.536212921142</v>
      </c>
      <c r="T25" s="22">
        <v>144.650964736938</v>
      </c>
      <c r="U25" s="22">
        <v>2.39117129618135</v>
      </c>
      <c r="V25" s="22">
        <v>9.46799240486051</v>
      </c>
      <c r="W25" s="22">
        <v>3.077010303015</v>
      </c>
      <c r="X25" s="22">
        <v>0.716279761212951</v>
      </c>
      <c r="Y25" s="22">
        <v>0.0724577461767532</v>
      </c>
      <c r="Z25" s="22">
        <v>0.00811018189618483</v>
      </c>
      <c r="AA25" s="22">
        <v>0.0900565483248432</v>
      </c>
      <c r="AB25" s="22">
        <v>0.822133845405807</v>
      </c>
      <c r="AC25" s="22">
        <v>0.0729076977481789</v>
      </c>
      <c r="AD25" s="22">
        <v>0.0902944567172443</v>
      </c>
      <c r="AE25" s="22">
        <v>0.824421610560349</v>
      </c>
      <c r="AF25" s="22">
        <v>0.0974068927503745</v>
      </c>
      <c r="AG25" s="22">
        <v>0.124304094379788</v>
      </c>
      <c r="AH25" s="22">
        <v>0.668686166873187</v>
      </c>
      <c r="AI25" s="22">
        <v>10.0</v>
      </c>
      <c r="AJ25" s="22">
        <v>2.39117129618136</v>
      </c>
      <c r="AK25" s="22">
        <v>9.46799240486051</v>
      </c>
      <c r="AL25" s="22">
        <v>3.077010303015</v>
      </c>
      <c r="AM25" s="22">
        <v>0.716198191532139</v>
      </c>
      <c r="AN25" s="22">
        <v>1.95028091476379</v>
      </c>
      <c r="AO25" s="22">
        <v>5.83404468592559</v>
      </c>
      <c r="AP25" s="22">
        <v>2.41537671718628</v>
      </c>
      <c r="AQ25" s="22">
        <v>0.824421610560349</v>
      </c>
      <c r="AR25" s="22">
        <v>2.60563438107251</v>
      </c>
      <c r="AS25" s="22">
        <v>11.0565196070815</v>
      </c>
      <c r="AT25" s="22">
        <v>3.32513452465934</v>
      </c>
      <c r="AU25" s="22">
        <v>0.668686166873187</v>
      </c>
      <c r="AV25" s="23">
        <f t="shared" ref="AV25:AW25" si="53">(AC25-AC$289)/AC$290</f>
        <v>-1.00322428</v>
      </c>
      <c r="AW25" s="24">
        <f t="shared" si="53"/>
        <v>-0.9677127048</v>
      </c>
      <c r="AX25" s="24">
        <f t="shared" si="5"/>
        <v>-1.019845855</v>
      </c>
      <c r="AY25" s="25">
        <f t="shared" si="6"/>
        <v>-1.023220858</v>
      </c>
      <c r="AZ25" s="23">
        <f t="shared" si="7"/>
        <v>-1.16006751</v>
      </c>
      <c r="BA25" s="25">
        <f t="shared" si="8"/>
        <v>-1.085863057</v>
      </c>
      <c r="BB25" s="23">
        <f t="shared" si="9"/>
        <v>-0.7512960041</v>
      </c>
      <c r="BC25" s="24">
        <f t="shared" si="10"/>
        <v>-0.8451971437</v>
      </c>
      <c r="BD25" s="25">
        <f t="shared" si="11"/>
        <v>-0.9482229628</v>
      </c>
      <c r="BE25" s="26">
        <f t="shared" ref="BE25:BF25" si="54">((S25-S$289)/S$290)</f>
        <v>-0.6211318393</v>
      </c>
      <c r="BF25" s="26">
        <f t="shared" si="54"/>
        <v>-0.8875664972</v>
      </c>
    </row>
    <row r="26">
      <c r="A26" s="16" t="s">
        <v>82</v>
      </c>
      <c r="B26" s="20">
        <f t="shared" si="3"/>
        <v>0.9297580774</v>
      </c>
      <c r="C26" s="16" t="s">
        <v>68</v>
      </c>
      <c r="D26" s="16" t="s">
        <v>69</v>
      </c>
      <c r="E26" s="16">
        <v>132.0</v>
      </c>
      <c r="F26" s="21" t="s">
        <v>70</v>
      </c>
      <c r="G26" s="16" t="s">
        <v>100</v>
      </c>
      <c r="H26" s="21" t="s">
        <v>101</v>
      </c>
      <c r="I26" s="21" t="s">
        <v>88</v>
      </c>
      <c r="J26" s="21" t="s">
        <v>97</v>
      </c>
      <c r="K26" s="21" t="s">
        <v>99</v>
      </c>
      <c r="L26" s="16" t="s">
        <v>90</v>
      </c>
      <c r="M26" s="21" t="s">
        <v>85</v>
      </c>
      <c r="N26" s="16" t="s">
        <v>95</v>
      </c>
      <c r="O26" s="16" t="s">
        <v>92</v>
      </c>
      <c r="P26" s="16" t="s">
        <v>80</v>
      </c>
      <c r="Q26" s="21" t="s">
        <v>93</v>
      </c>
      <c r="S26" s="22">
        <v>303.74953341484</v>
      </c>
      <c r="T26" s="22">
        <v>124.735356330871</v>
      </c>
      <c r="U26" s="22">
        <v>2.4447382065714</v>
      </c>
      <c r="V26" s="22">
        <v>9.77758641977064</v>
      </c>
      <c r="W26" s="22">
        <v>3.12691324148442</v>
      </c>
      <c r="X26" s="22">
        <v>0.70698590695048</v>
      </c>
      <c r="Y26" s="22">
        <v>0.0696584246164575</v>
      </c>
      <c r="Z26" s="22">
        <v>0.00733044274775476</v>
      </c>
      <c r="AA26" s="22">
        <v>0.0856180048106399</v>
      </c>
      <c r="AB26" s="22">
        <v>0.839234473442651</v>
      </c>
      <c r="AC26" s="22">
        <v>0.0700609151105842</v>
      </c>
      <c r="AD26" s="22">
        <v>0.0858276992734719</v>
      </c>
      <c r="AE26" s="22">
        <v>0.841363242619829</v>
      </c>
      <c r="AF26" s="22">
        <v>0.0986994676899605</v>
      </c>
      <c r="AG26" s="22">
        <v>0.126607911068302</v>
      </c>
      <c r="AH26" s="22">
        <v>0.656291408558047</v>
      </c>
      <c r="AI26" s="22">
        <v>10.0</v>
      </c>
      <c r="AJ26" s="22">
        <v>2.44473820657141</v>
      </c>
      <c r="AK26" s="22">
        <v>9.77758641977064</v>
      </c>
      <c r="AL26" s="22">
        <v>3.12691324148442</v>
      </c>
      <c r="AM26" s="22">
        <v>0.70691815226244</v>
      </c>
      <c r="AN26" s="22">
        <v>1.87412947920813</v>
      </c>
      <c r="AO26" s="22">
        <v>5.27111527984689</v>
      </c>
      <c r="AP26" s="22">
        <v>2.29589095556537</v>
      </c>
      <c r="AQ26" s="22">
        <v>0.841363242619829</v>
      </c>
      <c r="AR26" s="22">
        <v>2.64021076070644</v>
      </c>
      <c r="AS26" s="22">
        <v>11.4701542780007</v>
      </c>
      <c r="AT26" s="22">
        <v>3.38676162107708</v>
      </c>
      <c r="AU26" s="22">
        <v>0.656291408558047</v>
      </c>
      <c r="AV26" s="23">
        <f t="shared" ref="AV26:AW26" si="55">(AC26-AC$289)/AC$290</f>
        <v>-1.114393769</v>
      </c>
      <c r="AW26" s="24">
        <f t="shared" si="55"/>
        <v>-1.111743432</v>
      </c>
      <c r="AX26" s="24">
        <f t="shared" si="5"/>
        <v>-0.9607473524</v>
      </c>
      <c r="AY26" s="25">
        <f t="shared" si="6"/>
        <v>-0.9334514492</v>
      </c>
      <c r="AZ26" s="23">
        <f t="shared" si="7"/>
        <v>-1.061223594</v>
      </c>
      <c r="BA26" s="25">
        <f t="shared" si="8"/>
        <v>-1.009908501</v>
      </c>
      <c r="BB26" s="23">
        <f t="shared" si="9"/>
        <v>-0.8268461123</v>
      </c>
      <c r="BC26" s="24">
        <f t="shared" si="10"/>
        <v>-0.7825694822</v>
      </c>
      <c r="BD26" s="25">
        <f t="shared" si="11"/>
        <v>-0.8931806271</v>
      </c>
      <c r="BE26" s="26">
        <f t="shared" ref="BE26:BF26" si="56">((S26-S$289)/S$290)</f>
        <v>-0.4882459497</v>
      </c>
      <c r="BF26" s="26">
        <f t="shared" si="56"/>
        <v>-1.045028583</v>
      </c>
    </row>
    <row r="27">
      <c r="A27" s="16" t="s">
        <v>67</v>
      </c>
      <c r="B27" s="20">
        <f t="shared" si="3"/>
        <v>0.9105544389</v>
      </c>
      <c r="C27" s="16" t="s">
        <v>68</v>
      </c>
      <c r="D27" s="16" t="s">
        <v>69</v>
      </c>
      <c r="E27" s="16">
        <v>3.0</v>
      </c>
      <c r="F27" s="21" t="s">
        <v>70</v>
      </c>
      <c r="G27" s="16" t="s">
        <v>71</v>
      </c>
      <c r="H27" s="21" t="s">
        <v>72</v>
      </c>
      <c r="I27" s="21" t="s">
        <v>73</v>
      </c>
      <c r="J27" s="21" t="s">
        <v>97</v>
      </c>
      <c r="K27" s="21" t="s">
        <v>99</v>
      </c>
      <c r="L27" s="16" t="s">
        <v>90</v>
      </c>
      <c r="M27" s="21" t="s">
        <v>85</v>
      </c>
      <c r="N27" s="16" t="s">
        <v>91</v>
      </c>
      <c r="O27" s="16" t="s">
        <v>92</v>
      </c>
      <c r="P27" s="16" t="s">
        <v>80</v>
      </c>
      <c r="Q27" s="21" t="s">
        <v>93</v>
      </c>
      <c r="S27" s="22">
        <v>246.6884765625</v>
      </c>
      <c r="T27" s="22">
        <v>168.214167833328</v>
      </c>
      <c r="U27" s="22">
        <v>2.64617813724065</v>
      </c>
      <c r="V27" s="22">
        <v>11.0348644665579</v>
      </c>
      <c r="W27" s="22">
        <v>3.32187664830558</v>
      </c>
      <c r="X27" s="22">
        <v>0.674678079251765</v>
      </c>
      <c r="Y27" s="22">
        <v>0.0766618241868024</v>
      </c>
      <c r="Z27" s="22">
        <v>0.00854088594399258</v>
      </c>
      <c r="AA27" s="22">
        <v>0.0924169137333236</v>
      </c>
      <c r="AB27" s="22">
        <v>0.817569813745768</v>
      </c>
      <c r="AC27" s="22">
        <v>0.0768382573646746</v>
      </c>
      <c r="AD27" s="22">
        <v>0.092477907482237</v>
      </c>
      <c r="AE27" s="22">
        <v>0.818781913123066</v>
      </c>
      <c r="AF27" s="22">
        <v>0.086841257480896</v>
      </c>
      <c r="AG27" s="22">
        <v>0.112833219096681</v>
      </c>
      <c r="AH27" s="22">
        <v>0.732364248354487</v>
      </c>
      <c r="AI27" s="22">
        <v>10.0</v>
      </c>
      <c r="AJ27" s="22">
        <v>2.64617813724066</v>
      </c>
      <c r="AK27" s="22">
        <v>11.0348644665579</v>
      </c>
      <c r="AL27" s="22">
        <v>3.32187664830558</v>
      </c>
      <c r="AM27" s="22">
        <v>0.674534648027315</v>
      </c>
      <c r="AN27" s="22">
        <v>2.05542338450505</v>
      </c>
      <c r="AO27" s="22">
        <v>6.11960740308653</v>
      </c>
      <c r="AP27" s="22">
        <v>2.47378402514983</v>
      </c>
      <c r="AQ27" s="22">
        <v>0.818781913123066</v>
      </c>
      <c r="AR27" s="22">
        <v>2.32300363761397</v>
      </c>
      <c r="AS27" s="22">
        <v>9.11006613830375</v>
      </c>
      <c r="AT27" s="22">
        <v>3.01828861083623</v>
      </c>
      <c r="AU27" s="22">
        <v>0.732364248354487</v>
      </c>
      <c r="AV27" s="23">
        <f t="shared" ref="AV27:AW27" si="57">(AC27-AC$289)/AC$290</f>
        <v>-0.8497322985</v>
      </c>
      <c r="AW27" s="24">
        <f t="shared" si="57"/>
        <v>-0.8973072695</v>
      </c>
      <c r="AX27" s="24">
        <f t="shared" si="5"/>
        <v>-1.502922851</v>
      </c>
      <c r="AY27" s="25">
        <f t="shared" si="6"/>
        <v>-1.470189449</v>
      </c>
      <c r="AZ27" s="23">
        <f t="shared" si="7"/>
        <v>-0.6895181604</v>
      </c>
      <c r="BA27" s="25">
        <f t="shared" si="8"/>
        <v>-0.7131652738</v>
      </c>
      <c r="BB27" s="23">
        <f t="shared" si="9"/>
        <v>-0.7261461396</v>
      </c>
      <c r="BC27" s="24">
        <f t="shared" si="10"/>
        <v>-1.166946808</v>
      </c>
      <c r="BD27" s="25">
        <f t="shared" si="11"/>
        <v>-0.7011056091</v>
      </c>
      <c r="BE27" s="26">
        <f t="shared" ref="BE27:BF27" si="58">((S27-S$289)/S$290)</f>
        <v>-0.5978001402</v>
      </c>
      <c r="BF27" s="26">
        <f t="shared" si="58"/>
        <v>-0.7012648275</v>
      </c>
    </row>
    <row r="28">
      <c r="A28" s="16" t="s">
        <v>82</v>
      </c>
      <c r="B28" s="20">
        <f t="shared" si="3"/>
        <v>0.8940528059</v>
      </c>
      <c r="C28" s="16" t="s">
        <v>68</v>
      </c>
      <c r="D28" s="16" t="s">
        <v>69</v>
      </c>
      <c r="E28" s="16">
        <v>118.0</v>
      </c>
      <c r="F28" s="21" t="s">
        <v>70</v>
      </c>
      <c r="G28" s="16" t="s">
        <v>100</v>
      </c>
      <c r="H28" s="21" t="s">
        <v>101</v>
      </c>
      <c r="I28" s="21" t="s">
        <v>88</v>
      </c>
      <c r="J28" s="21" t="s">
        <v>83</v>
      </c>
      <c r="K28" s="21" t="s">
        <v>75</v>
      </c>
      <c r="L28" s="16" t="s">
        <v>76</v>
      </c>
      <c r="M28" s="21" t="s">
        <v>85</v>
      </c>
      <c r="N28" s="16" t="s">
        <v>78</v>
      </c>
      <c r="O28" s="16" t="s">
        <v>86</v>
      </c>
      <c r="P28" s="16" t="s">
        <v>80</v>
      </c>
      <c r="Q28" s="21" t="s">
        <v>81</v>
      </c>
      <c r="S28" s="22">
        <v>206.170730113983</v>
      </c>
      <c r="T28" s="22">
        <v>128.17776441574</v>
      </c>
      <c r="U28" s="22">
        <v>2.38039538312189</v>
      </c>
      <c r="V28" s="22">
        <v>9.59340569477168</v>
      </c>
      <c r="W28" s="22">
        <v>3.09732234272955</v>
      </c>
      <c r="X28" s="22">
        <v>0.712492783649834</v>
      </c>
      <c r="Y28" s="22">
        <v>0.0865177740322972</v>
      </c>
      <c r="Z28" s="22">
        <v>0.0121807330231028</v>
      </c>
      <c r="AA28" s="22">
        <v>0.110366358203497</v>
      </c>
      <c r="AB28" s="22">
        <v>0.732861707580569</v>
      </c>
      <c r="AC28" s="22">
        <v>0.0873759096475055</v>
      </c>
      <c r="AD28" s="22">
        <v>0.110992815718449</v>
      </c>
      <c r="AE28" s="22">
        <v>0.734699162932849</v>
      </c>
      <c r="AF28" s="22">
        <v>0.0885254228736843</v>
      </c>
      <c r="AG28" s="22">
        <v>0.115116656556865</v>
      </c>
      <c r="AH28" s="22">
        <v>0.715851716853746</v>
      </c>
      <c r="AI28" s="22">
        <v>10.0</v>
      </c>
      <c r="AJ28" s="22">
        <v>2.38039538312189</v>
      </c>
      <c r="AK28" s="22">
        <v>9.59340569477168</v>
      </c>
      <c r="AL28" s="22">
        <v>3.09732234272955</v>
      </c>
      <c r="AM28" s="22">
        <v>0.71243894490828</v>
      </c>
      <c r="AN28" s="22">
        <v>2.33730558307077</v>
      </c>
      <c r="AO28" s="22">
        <v>8.81530434128524</v>
      </c>
      <c r="AP28" s="22">
        <v>2.96905782046851</v>
      </c>
      <c r="AQ28" s="22">
        <v>0.734699162932849</v>
      </c>
      <c r="AR28" s="22">
        <v>2.36805506187106</v>
      </c>
      <c r="AS28" s="22">
        <v>9.48252306363132</v>
      </c>
      <c r="AT28" s="22">
        <v>3.07937056289614</v>
      </c>
      <c r="AU28" s="22">
        <v>0.715851716853746</v>
      </c>
      <c r="AV28" s="23">
        <f t="shared" ref="AV28:AW28" si="59">(AC28-AC$289)/AC$290</f>
        <v>-0.4382272503</v>
      </c>
      <c r="AW28" s="24">
        <f t="shared" si="59"/>
        <v>-0.3002934994</v>
      </c>
      <c r="AX28" s="24">
        <f t="shared" si="5"/>
        <v>-1.425920235</v>
      </c>
      <c r="AY28" s="25">
        <f t="shared" si="6"/>
        <v>-1.381214127</v>
      </c>
      <c r="AZ28" s="23">
        <f t="shared" si="7"/>
        <v>-1.179951678</v>
      </c>
      <c r="BA28" s="25">
        <f t="shared" si="8"/>
        <v>-1.054947203</v>
      </c>
      <c r="BB28" s="23">
        <f t="shared" si="9"/>
        <v>-0.3511845746</v>
      </c>
      <c r="BC28" s="24">
        <f t="shared" si="10"/>
        <v>-1.083513053</v>
      </c>
      <c r="BD28" s="25">
        <f t="shared" si="11"/>
        <v>-0.9259258896</v>
      </c>
      <c r="BE28" s="26">
        <f t="shared" ref="BE28:BF28" si="60">((S28-S$289)/S$290)</f>
        <v>-0.6755920557</v>
      </c>
      <c r="BF28" s="26">
        <f t="shared" si="60"/>
        <v>-1.017811299</v>
      </c>
    </row>
    <row r="29">
      <c r="A29" s="16" t="s">
        <v>67</v>
      </c>
      <c r="B29" s="20">
        <f t="shared" si="3"/>
        <v>0.8899793647</v>
      </c>
      <c r="C29" s="16" t="s">
        <v>68</v>
      </c>
      <c r="D29" s="16" t="s">
        <v>69</v>
      </c>
      <c r="E29" s="16">
        <v>176.0</v>
      </c>
      <c r="F29" s="21" t="s">
        <v>102</v>
      </c>
      <c r="G29" s="16" t="s">
        <v>71</v>
      </c>
      <c r="H29" s="21" t="s">
        <v>103</v>
      </c>
      <c r="I29" s="21" t="s">
        <v>88</v>
      </c>
      <c r="J29" s="21" t="s">
        <v>74</v>
      </c>
      <c r="K29" s="21" t="s">
        <v>75</v>
      </c>
      <c r="L29" s="16" t="s">
        <v>76</v>
      </c>
      <c r="M29" s="21" t="s">
        <v>85</v>
      </c>
      <c r="N29" s="16" t="s">
        <v>95</v>
      </c>
      <c r="O29" s="16" t="s">
        <v>86</v>
      </c>
      <c r="P29" s="16" t="s">
        <v>80</v>
      </c>
      <c r="Q29" s="21" t="s">
        <v>81</v>
      </c>
      <c r="S29" s="22">
        <v>664.514452934265</v>
      </c>
      <c r="T29" s="22">
        <v>333.481383562088</v>
      </c>
      <c r="U29" s="22">
        <v>2.47854420026007</v>
      </c>
      <c r="V29" s="22">
        <v>9.64586484825835</v>
      </c>
      <c r="W29" s="22">
        <v>3.105779265862</v>
      </c>
      <c r="X29" s="22">
        <v>0.709052127203352</v>
      </c>
      <c r="Y29" s="22">
        <v>0.0588129788387732</v>
      </c>
      <c r="Z29" s="22">
        <v>0.00527084852871809</v>
      </c>
      <c r="AA29" s="22">
        <v>0.0726006096993551</v>
      </c>
      <c r="AB29" s="22">
        <v>0.876705408765536</v>
      </c>
      <c r="AC29" s="22">
        <v>0.0590734877673586</v>
      </c>
      <c r="AD29" s="22">
        <v>0.0727831713847987</v>
      </c>
      <c r="AE29" s="22">
        <v>0.877064098063351</v>
      </c>
      <c r="AF29" s="22">
        <v>0.0889308367389595</v>
      </c>
      <c r="AG29" s="22">
        <v>0.113371305190059</v>
      </c>
      <c r="AH29" s="22">
        <v>0.704418192591358</v>
      </c>
      <c r="AI29" s="22">
        <v>10.0</v>
      </c>
      <c r="AJ29" s="22">
        <v>2.47854420026006</v>
      </c>
      <c r="AK29" s="22">
        <v>9.64586484825835</v>
      </c>
      <c r="AL29" s="22">
        <v>3.105779265862</v>
      </c>
      <c r="AM29" s="22">
        <v>0.708937918847902</v>
      </c>
      <c r="AN29" s="22">
        <v>1.63436649489688</v>
      </c>
      <c r="AO29" s="22">
        <v>4.0548577737461</v>
      </c>
      <c r="AP29" s="22">
        <v>2.0136677416461</v>
      </c>
      <c r="AQ29" s="22">
        <v>0.877064098063351</v>
      </c>
      <c r="AR29" s="22">
        <v>2.46041981644448</v>
      </c>
      <c r="AS29" s="22">
        <v>9.83829789090982</v>
      </c>
      <c r="AT29" s="22">
        <v>3.13660611025831</v>
      </c>
      <c r="AU29" s="22">
        <v>0.704418192591358</v>
      </c>
      <c r="AV29" s="23">
        <f t="shared" ref="AV29:AW29" si="61">(AC29-AC$289)/AC$290</f>
        <v>-1.543462949</v>
      </c>
      <c r="AW29" s="24">
        <f t="shared" si="61"/>
        <v>-1.532364624</v>
      </c>
      <c r="AX29" s="24">
        <f t="shared" si="5"/>
        <v>-1.268048916</v>
      </c>
      <c r="AY29" s="25">
        <f t="shared" si="6"/>
        <v>-1.297841689</v>
      </c>
      <c r="AZ29" s="23">
        <f t="shared" si="7"/>
        <v>-0.9988433524</v>
      </c>
      <c r="BA29" s="25">
        <f t="shared" si="8"/>
        <v>-1.042075379</v>
      </c>
      <c r="BB29" s="23">
        <f t="shared" si="9"/>
        <v>-0.9860517591</v>
      </c>
      <c r="BC29" s="24">
        <f t="shared" si="10"/>
        <v>-1.02574227</v>
      </c>
      <c r="BD29" s="25">
        <f t="shared" si="11"/>
        <v>-0.9051603901</v>
      </c>
      <c r="BE29" s="26">
        <f t="shared" ref="BE29:BF29" si="62">((S29-S$289)/S$290)</f>
        <v>0.204403484</v>
      </c>
      <c r="BF29" s="26">
        <f t="shared" si="62"/>
        <v>0.6054148336</v>
      </c>
    </row>
    <row r="30">
      <c r="A30" s="16" t="s">
        <v>67</v>
      </c>
      <c r="B30" s="20">
        <f t="shared" si="3"/>
        <v>0.8896887371</v>
      </c>
      <c r="C30" s="16" t="s">
        <v>68</v>
      </c>
      <c r="D30" s="16" t="s">
        <v>69</v>
      </c>
      <c r="E30" s="16">
        <v>88.0</v>
      </c>
      <c r="F30" s="21" t="s">
        <v>70</v>
      </c>
      <c r="G30" s="16" t="s">
        <v>100</v>
      </c>
      <c r="H30" s="21" t="s">
        <v>101</v>
      </c>
      <c r="I30" s="21" t="s">
        <v>88</v>
      </c>
      <c r="J30" s="21" t="s">
        <v>74</v>
      </c>
      <c r="K30" s="21" t="s">
        <v>75</v>
      </c>
      <c r="L30" s="16" t="s">
        <v>76</v>
      </c>
      <c r="M30" s="21" t="s">
        <v>77</v>
      </c>
      <c r="N30" s="16" t="s">
        <v>78</v>
      </c>
      <c r="O30" s="16" t="s">
        <v>79</v>
      </c>
      <c r="P30" s="16" t="s">
        <v>80</v>
      </c>
      <c r="Q30" s="21" t="s">
        <v>81</v>
      </c>
      <c r="R30" s="21" t="s">
        <v>94</v>
      </c>
      <c r="S30" s="22">
        <v>310.700239896774</v>
      </c>
      <c r="T30" s="22">
        <v>140.675347328186</v>
      </c>
      <c r="U30" s="22">
        <v>2.45127444406732</v>
      </c>
      <c r="V30" s="22">
        <v>9.53086556179937</v>
      </c>
      <c r="W30" s="22">
        <v>3.08720999638822</v>
      </c>
      <c r="X30" s="22">
        <v>0.714409186951348</v>
      </c>
      <c r="Y30" s="22">
        <v>0.0731643809061501</v>
      </c>
      <c r="Z30" s="22">
        <v>0.0080874300638642</v>
      </c>
      <c r="AA30" s="22">
        <v>0.0899301399079541</v>
      </c>
      <c r="AB30" s="22">
        <v>0.822632820765009</v>
      </c>
      <c r="AC30" s="22">
        <v>0.0735598044955977</v>
      </c>
      <c r="AD30" s="22">
        <v>0.0901171802063217</v>
      </c>
      <c r="AE30" s="22">
        <v>0.825110365338842</v>
      </c>
      <c r="AF30" s="22">
        <v>0.100789461422309</v>
      </c>
      <c r="AG30" s="22">
        <v>0.125863574522015</v>
      </c>
      <c r="AH30" s="22">
        <v>0.660320901319061</v>
      </c>
      <c r="AI30" s="22">
        <v>10.0</v>
      </c>
      <c r="AJ30" s="22">
        <v>2.45127444406732</v>
      </c>
      <c r="AK30" s="22">
        <v>9.53086556179937</v>
      </c>
      <c r="AL30" s="22">
        <v>3.08720999638822</v>
      </c>
      <c r="AM30" s="22">
        <v>0.714313577045739</v>
      </c>
      <c r="AN30" s="22">
        <v>1.96772477025724</v>
      </c>
      <c r="AO30" s="22">
        <v>5.81115903258183</v>
      </c>
      <c r="AP30" s="22">
        <v>2.4106345705191</v>
      </c>
      <c r="AQ30" s="22">
        <v>0.825110365338842</v>
      </c>
      <c r="AR30" s="22">
        <v>2.69611809304676</v>
      </c>
      <c r="AS30" s="22">
        <v>11.3356830870507</v>
      </c>
      <c r="AT30" s="22">
        <v>3.3668506184639</v>
      </c>
      <c r="AU30" s="22">
        <v>0.660320901319061</v>
      </c>
      <c r="AV30" s="23">
        <f t="shared" ref="AV30:AW30" si="63">(AC30-AC$289)/AC$290</f>
        <v>-0.9777589092</v>
      </c>
      <c r="AW30" s="24">
        <f t="shared" si="63"/>
        <v>-0.9734289912</v>
      </c>
      <c r="AX30" s="24">
        <f t="shared" si="5"/>
        <v>-0.8651896439</v>
      </c>
      <c r="AY30" s="25">
        <f t="shared" si="6"/>
        <v>-0.9624549078</v>
      </c>
      <c r="AZ30" s="23">
        <f t="shared" si="7"/>
        <v>-1.049162654</v>
      </c>
      <c r="BA30" s="25">
        <f t="shared" si="8"/>
        <v>-1.070338657</v>
      </c>
      <c r="BB30" s="23">
        <f t="shared" si="9"/>
        <v>-0.7543674613</v>
      </c>
      <c r="BC30" s="24">
        <f t="shared" si="10"/>
        <v>-0.8029295169</v>
      </c>
      <c r="BD30" s="25">
        <f t="shared" si="11"/>
        <v>-0.9370448223</v>
      </c>
      <c r="BE30" s="26">
        <f t="shared" ref="BE30:BF30" si="64">((S30-S$289)/S$290)</f>
        <v>-0.4749009634</v>
      </c>
      <c r="BF30" s="26">
        <f t="shared" si="64"/>
        <v>-0.918999582</v>
      </c>
    </row>
    <row r="31">
      <c r="A31" s="16" t="s">
        <v>82</v>
      </c>
      <c r="B31" s="20">
        <f t="shared" si="3"/>
        <v>0.8877869251</v>
      </c>
      <c r="C31" s="16" t="s">
        <v>68</v>
      </c>
      <c r="D31" s="16" t="s">
        <v>69</v>
      </c>
      <c r="E31" s="16">
        <v>129.0</v>
      </c>
      <c r="F31" s="21" t="s">
        <v>70</v>
      </c>
      <c r="G31" s="16" t="s">
        <v>100</v>
      </c>
      <c r="H31" s="21" t="s">
        <v>101</v>
      </c>
      <c r="I31" s="21" t="s">
        <v>73</v>
      </c>
      <c r="J31" s="21" t="s">
        <v>83</v>
      </c>
      <c r="K31" s="21" t="s">
        <v>75</v>
      </c>
      <c r="L31" s="16" t="s">
        <v>76</v>
      </c>
      <c r="M31" s="21" t="s">
        <v>77</v>
      </c>
      <c r="N31" s="16" t="s">
        <v>95</v>
      </c>
      <c r="O31" s="16" t="s">
        <v>86</v>
      </c>
      <c r="P31" s="16" t="s">
        <v>80</v>
      </c>
      <c r="Q31" s="21" t="s">
        <v>94</v>
      </c>
      <c r="R31" s="21" t="s">
        <v>94</v>
      </c>
      <c r="S31" s="22">
        <v>111.177080154418</v>
      </c>
      <c r="T31" s="22">
        <v>129.246789216995</v>
      </c>
      <c r="U31" s="22">
        <v>2.51702382171687</v>
      </c>
      <c r="V31" s="22">
        <v>10.5834300615255</v>
      </c>
      <c r="W31" s="22">
        <v>3.2532184158961</v>
      </c>
      <c r="X31" s="22">
        <v>0.686984534657814</v>
      </c>
      <c r="Y31" s="22">
        <v>0.071710247614647</v>
      </c>
      <c r="Z31" s="22">
        <v>0.00817394434510197</v>
      </c>
      <c r="AA31" s="22">
        <v>0.0904098686267266</v>
      </c>
      <c r="AB31" s="22">
        <v>0.822972147287793</v>
      </c>
      <c r="AC31" s="22">
        <v>0.072075025613094</v>
      </c>
      <c r="AD31" s="22">
        <v>0.0905406989095955</v>
      </c>
      <c r="AE31" s="22">
        <v>0.825394657101193</v>
      </c>
      <c r="AF31" s="22">
        <v>0.0986035086488817</v>
      </c>
      <c r="AG31" s="22">
        <v>0.127812276390552</v>
      </c>
      <c r="AH31" s="22">
        <v>0.654933577491915</v>
      </c>
      <c r="AI31" s="22">
        <v>10.0</v>
      </c>
      <c r="AJ31" s="22">
        <v>2.51702382171688</v>
      </c>
      <c r="AK31" s="22">
        <v>10.5834300615255</v>
      </c>
      <c r="AL31" s="22">
        <v>3.2532184158961</v>
      </c>
      <c r="AM31" s="22">
        <v>0.686875423363905</v>
      </c>
      <c r="AN31" s="22">
        <v>1.92800693515026</v>
      </c>
      <c r="AO31" s="22">
        <v>5.86590814392666</v>
      </c>
      <c r="AP31" s="22">
        <v>2.42196369583168</v>
      </c>
      <c r="AQ31" s="22">
        <v>0.825394657101193</v>
      </c>
      <c r="AR31" s="22">
        <v>2.63764385635758</v>
      </c>
      <c r="AS31" s="22">
        <v>11.6894132548593</v>
      </c>
      <c r="AT31" s="22">
        <v>3.41897839344728</v>
      </c>
      <c r="AU31" s="22">
        <v>0.654933577491915</v>
      </c>
      <c r="AV31" s="23">
        <f t="shared" ref="AV31:AW31" si="65">(AC31-AC$289)/AC$290</f>
        <v>-1.035740895</v>
      </c>
      <c r="AW31" s="24">
        <f t="shared" si="65"/>
        <v>-0.9597726179</v>
      </c>
      <c r="AX31" s="24">
        <f t="shared" si="5"/>
        <v>-0.9651347464</v>
      </c>
      <c r="AY31" s="25">
        <f t="shared" si="6"/>
        <v>-0.8865227313</v>
      </c>
      <c r="AZ31" s="23">
        <f t="shared" si="7"/>
        <v>-0.9278391363</v>
      </c>
      <c r="BA31" s="25">
        <f t="shared" si="8"/>
        <v>-0.8176662455</v>
      </c>
      <c r="BB31" s="23">
        <f t="shared" si="9"/>
        <v>-0.755635242</v>
      </c>
      <c r="BC31" s="24">
        <f t="shared" si="10"/>
        <v>-0.7757086962</v>
      </c>
      <c r="BD31" s="25">
        <f t="shared" si="11"/>
        <v>-0.7743019695</v>
      </c>
      <c r="BE31" s="26">
        <f t="shared" ref="BE31:BF31" si="66">((S31-S$289)/S$290)</f>
        <v>-0.857974805</v>
      </c>
      <c r="BF31" s="26">
        <f t="shared" si="66"/>
        <v>-1.009359091</v>
      </c>
    </row>
    <row r="32">
      <c r="A32" s="16" t="s">
        <v>82</v>
      </c>
      <c r="B32" s="20">
        <f t="shared" si="3"/>
        <v>0.8783760289</v>
      </c>
      <c r="C32" s="16" t="s">
        <v>68</v>
      </c>
      <c r="D32" s="16" t="s">
        <v>69</v>
      </c>
      <c r="E32" s="16">
        <v>134.0</v>
      </c>
      <c r="F32" s="21" t="s">
        <v>70</v>
      </c>
      <c r="G32" s="16" t="s">
        <v>100</v>
      </c>
      <c r="H32" s="21" t="s">
        <v>101</v>
      </c>
      <c r="I32" s="21" t="s">
        <v>73</v>
      </c>
      <c r="J32" s="21" t="s">
        <v>83</v>
      </c>
      <c r="K32" s="21" t="s">
        <v>75</v>
      </c>
      <c r="L32" s="16" t="s">
        <v>84</v>
      </c>
      <c r="M32" s="21" t="s">
        <v>85</v>
      </c>
      <c r="N32" s="16" t="s">
        <v>78</v>
      </c>
      <c r="O32" s="16" t="s">
        <v>92</v>
      </c>
      <c r="P32" s="16" t="s">
        <v>80</v>
      </c>
      <c r="Q32" s="21" t="s">
        <v>87</v>
      </c>
      <c r="S32" s="22">
        <v>235.070496559143</v>
      </c>
      <c r="T32" s="22">
        <v>127.548221588134</v>
      </c>
      <c r="U32" s="22">
        <v>2.43254838743378</v>
      </c>
      <c r="V32" s="22">
        <v>9.60068641786246</v>
      </c>
      <c r="W32" s="22">
        <v>3.09849744519217</v>
      </c>
      <c r="X32" s="22">
        <v>0.716073203612581</v>
      </c>
      <c r="Y32" s="22">
        <v>0.0802514227903317</v>
      </c>
      <c r="Z32" s="22">
        <v>0.00998006656227955</v>
      </c>
      <c r="AA32" s="22">
        <v>0.0999002830940911</v>
      </c>
      <c r="AB32" s="22">
        <v>0.783855911068941</v>
      </c>
      <c r="AC32" s="22">
        <v>0.080807944594273</v>
      </c>
      <c r="AD32" s="22">
        <v>0.100231754240631</v>
      </c>
      <c r="AE32" s="22">
        <v>0.786016391743902</v>
      </c>
      <c r="AF32" s="22">
        <v>0.0973220964688828</v>
      </c>
      <c r="AG32" s="22">
        <v>0.122826792248212</v>
      </c>
      <c r="AH32" s="22">
        <v>0.681328091432878</v>
      </c>
      <c r="AI32" s="22">
        <v>10.0</v>
      </c>
      <c r="AJ32" s="22">
        <v>2.43254838743379</v>
      </c>
      <c r="AK32" s="22">
        <v>9.60068641786246</v>
      </c>
      <c r="AL32" s="22">
        <v>3.09849744519217</v>
      </c>
      <c r="AM32" s="22">
        <v>0.715951175324746</v>
      </c>
      <c r="AN32" s="22">
        <v>2.1616125178968</v>
      </c>
      <c r="AO32" s="22">
        <v>7.18883036164429</v>
      </c>
      <c r="AP32" s="22">
        <v>2.68119942593688</v>
      </c>
      <c r="AQ32" s="22">
        <v>0.786016391743902</v>
      </c>
      <c r="AR32" s="22">
        <v>2.60336608054261</v>
      </c>
      <c r="AS32" s="22">
        <v>10.7952770509526</v>
      </c>
      <c r="AT32" s="22">
        <v>3.28561669263969</v>
      </c>
      <c r="AU32" s="22">
        <v>0.681328091432878</v>
      </c>
      <c r="AV32" s="23">
        <f t="shared" ref="AV32:AW32" si="67">(AC32-AC$289)/AC$290</f>
        <v>-0.694712348</v>
      </c>
      <c r="AW32" s="24">
        <f t="shared" si="67"/>
        <v>-0.6472842488</v>
      </c>
      <c r="AX32" s="24">
        <f t="shared" si="5"/>
        <v>-1.02372287</v>
      </c>
      <c r="AY32" s="25">
        <f t="shared" si="6"/>
        <v>-1.0807847</v>
      </c>
      <c r="AZ32" s="23">
        <f t="shared" si="7"/>
        <v>-1.083716761</v>
      </c>
      <c r="BA32" s="25">
        <f t="shared" si="8"/>
        <v>-1.053158643</v>
      </c>
      <c r="BB32" s="23">
        <f t="shared" si="9"/>
        <v>-0.5800304245</v>
      </c>
      <c r="BC32" s="24">
        <f t="shared" si="10"/>
        <v>-0.9090736754</v>
      </c>
      <c r="BD32" s="25">
        <f t="shared" si="11"/>
        <v>-0.9467578452</v>
      </c>
      <c r="BE32" s="26">
        <f t="shared" ref="BE32:BF32" si="68">((S32-S$289)/S$290)</f>
        <v>-0.6201060431</v>
      </c>
      <c r="BF32" s="26">
        <f t="shared" si="68"/>
        <v>-1.022788758</v>
      </c>
    </row>
    <row r="33">
      <c r="A33" s="16" t="s">
        <v>67</v>
      </c>
      <c r="B33" s="20">
        <f t="shared" si="3"/>
        <v>0.8735798574</v>
      </c>
      <c r="C33" s="16" t="s">
        <v>68</v>
      </c>
      <c r="D33" s="16" t="s">
        <v>69</v>
      </c>
      <c r="E33" s="16">
        <v>79.0</v>
      </c>
      <c r="F33" s="21" t="s">
        <v>70</v>
      </c>
      <c r="G33" s="16" t="s">
        <v>100</v>
      </c>
      <c r="H33" s="21" t="s">
        <v>101</v>
      </c>
      <c r="I33" s="21" t="s">
        <v>88</v>
      </c>
      <c r="J33" s="21" t="s">
        <v>83</v>
      </c>
      <c r="K33" s="21" t="s">
        <v>75</v>
      </c>
      <c r="L33" s="16" t="s">
        <v>84</v>
      </c>
      <c r="M33" s="21" t="s">
        <v>85</v>
      </c>
      <c r="N33" s="16" t="s">
        <v>95</v>
      </c>
      <c r="O33" s="16" t="s">
        <v>92</v>
      </c>
      <c r="P33" s="16" t="s">
        <v>80</v>
      </c>
      <c r="Q33" s="21" t="s">
        <v>87</v>
      </c>
      <c r="S33" s="22">
        <v>466.63571691513</v>
      </c>
      <c r="T33" s="22">
        <v>135.708613634109</v>
      </c>
      <c r="U33" s="22">
        <v>2.38110489532885</v>
      </c>
      <c r="V33" s="22">
        <v>9.41832486013384</v>
      </c>
      <c r="W33" s="22">
        <v>3.06892894348074</v>
      </c>
      <c r="X33" s="22">
        <v>0.71776555736927</v>
      </c>
      <c r="Y33" s="22">
        <v>0.0784857946515852</v>
      </c>
      <c r="Z33" s="22">
        <v>0.00928950278897707</v>
      </c>
      <c r="AA33" s="22">
        <v>0.0963820667394981</v>
      </c>
      <c r="AB33" s="22">
        <v>0.796269903644868</v>
      </c>
      <c r="AC33" s="22">
        <v>0.0791224316518395</v>
      </c>
      <c r="AD33" s="22">
        <v>0.0968361411783435</v>
      </c>
      <c r="AE33" s="22">
        <v>0.798059311670773</v>
      </c>
      <c r="AF33" s="22">
        <v>0.0954862895787878</v>
      </c>
      <c r="AG33" s="22">
        <v>0.122559849856981</v>
      </c>
      <c r="AH33" s="22">
        <v>0.677918973354133</v>
      </c>
      <c r="AI33" s="22">
        <v>10.0</v>
      </c>
      <c r="AJ33" s="22">
        <v>2.38110489532885</v>
      </c>
      <c r="AK33" s="22">
        <v>9.41832486013384</v>
      </c>
      <c r="AL33" s="22">
        <v>3.06892894348074</v>
      </c>
      <c r="AM33" s="22">
        <v>0.717686969555276</v>
      </c>
      <c r="AN33" s="22">
        <v>2.1165250466867</v>
      </c>
      <c r="AO33" s="22">
        <v>6.71000003690218</v>
      </c>
      <c r="AP33" s="22">
        <v>2.59036677652068</v>
      </c>
      <c r="AQ33" s="22">
        <v>0.798059311670773</v>
      </c>
      <c r="AR33" s="22">
        <v>2.55425824623257</v>
      </c>
      <c r="AS33" s="22">
        <v>10.7484047755287</v>
      </c>
      <c r="AT33" s="22">
        <v>3.27847598367423</v>
      </c>
      <c r="AU33" s="22">
        <v>0.677918973354132</v>
      </c>
      <c r="AV33" s="23">
        <f t="shared" ref="AV33:AW33" si="69">(AC33-AC$289)/AC$290</f>
        <v>-0.7605331842</v>
      </c>
      <c r="AW33" s="24">
        <f t="shared" si="69"/>
        <v>-0.7567758936</v>
      </c>
      <c r="AX33" s="24">
        <f t="shared" si="5"/>
        <v>-1.107658768</v>
      </c>
      <c r="AY33" s="25">
        <f t="shared" si="6"/>
        <v>-1.091186249</v>
      </c>
      <c r="AZ33" s="23">
        <f t="shared" si="7"/>
        <v>-1.178642457</v>
      </c>
      <c r="BA33" s="25">
        <f t="shared" si="8"/>
        <v>-1.098163256</v>
      </c>
      <c r="BB33" s="23">
        <f t="shared" si="9"/>
        <v>-0.6337350439</v>
      </c>
      <c r="BC33" s="24">
        <f t="shared" si="10"/>
        <v>-0.8918482413</v>
      </c>
      <c r="BD33" s="25">
        <f t="shared" si="11"/>
        <v>-0.9570532939</v>
      </c>
      <c r="BE33" s="26">
        <f t="shared" ref="BE33:BF33" si="70">((S33-S$289)/S$290)</f>
        <v>-0.1755131516</v>
      </c>
      <c r="BF33" s="26">
        <f t="shared" si="70"/>
        <v>-0.9582688943</v>
      </c>
    </row>
    <row r="34">
      <c r="A34" s="16" t="s">
        <v>67</v>
      </c>
      <c r="B34" s="20">
        <f t="shared" si="3"/>
        <v>0.853801179</v>
      </c>
      <c r="C34" s="16" t="s">
        <v>68</v>
      </c>
      <c r="D34" s="16" t="s">
        <v>69</v>
      </c>
      <c r="E34" s="16">
        <v>78.0</v>
      </c>
      <c r="F34" s="21" t="s">
        <v>70</v>
      </c>
      <c r="G34" s="16" t="s">
        <v>100</v>
      </c>
      <c r="H34" s="21" t="s">
        <v>101</v>
      </c>
      <c r="I34" s="21" t="s">
        <v>73</v>
      </c>
      <c r="J34" s="21" t="s">
        <v>83</v>
      </c>
      <c r="K34" s="21" t="s">
        <v>75</v>
      </c>
      <c r="L34" s="16" t="s">
        <v>90</v>
      </c>
      <c r="M34" s="21" t="s">
        <v>77</v>
      </c>
      <c r="N34" s="16" t="s">
        <v>91</v>
      </c>
      <c r="O34" s="16" t="s">
        <v>86</v>
      </c>
      <c r="P34" s="16" t="s">
        <v>80</v>
      </c>
      <c r="Q34" s="21" t="s">
        <v>93</v>
      </c>
      <c r="R34" s="21" t="s">
        <v>94</v>
      </c>
      <c r="S34" s="22">
        <v>99.0018336772918</v>
      </c>
      <c r="T34" s="22">
        <v>131.115886926651</v>
      </c>
      <c r="U34" s="22">
        <v>2.64964396212272</v>
      </c>
      <c r="V34" s="22">
        <v>10.9997934461043</v>
      </c>
      <c r="W34" s="22">
        <v>3.31659365103781</v>
      </c>
      <c r="X34" s="22">
        <v>0.674623358712535</v>
      </c>
      <c r="Y34" s="22">
        <v>0.0681732994110488</v>
      </c>
      <c r="Z34" s="22">
        <v>0.00699807297120266</v>
      </c>
      <c r="AA34" s="22">
        <v>0.0836544856609773</v>
      </c>
      <c r="AB34" s="22">
        <v>0.848438675514387</v>
      </c>
      <c r="AC34" s="22">
        <v>0.0683563863430283</v>
      </c>
      <c r="AD34" s="22">
        <v>0.0836437678634486</v>
      </c>
      <c r="AE34" s="22">
        <v>0.85098258693267</v>
      </c>
      <c r="AF34" s="22">
        <v>0.104599523397202</v>
      </c>
      <c r="AG34" s="22">
        <v>0.130454209269868</v>
      </c>
      <c r="AH34" s="22">
        <v>0.640520809546603</v>
      </c>
      <c r="AI34" s="22">
        <v>10.0</v>
      </c>
      <c r="AJ34" s="22">
        <v>2.64964396212273</v>
      </c>
      <c r="AK34" s="22">
        <v>10.9997934461043</v>
      </c>
      <c r="AL34" s="22">
        <v>3.31659365103781</v>
      </c>
      <c r="AM34" s="22">
        <v>0.674556769792702</v>
      </c>
      <c r="AN34" s="22">
        <v>1.82853333467601</v>
      </c>
      <c r="AO34" s="22">
        <v>5.00627553765714</v>
      </c>
      <c r="AP34" s="22">
        <v>2.23747079034724</v>
      </c>
      <c r="AQ34" s="22">
        <v>0.85098258693267</v>
      </c>
      <c r="AR34" s="22">
        <v>2.79803725087516</v>
      </c>
      <c r="AS34" s="22">
        <v>12.1776578062549</v>
      </c>
      <c r="AT34" s="22">
        <v>3.48965009796898</v>
      </c>
      <c r="AU34" s="22">
        <v>0.640520809546603</v>
      </c>
      <c r="AV34" s="23">
        <f t="shared" ref="AV34:AW34" si="71">(AC34-AC$289)/AC$290</f>
        <v>-1.180957191</v>
      </c>
      <c r="AW34" s="24">
        <f t="shared" si="71"/>
        <v>-1.182164366</v>
      </c>
      <c r="AX34" s="24">
        <f t="shared" si="5"/>
        <v>-0.6909877857</v>
      </c>
      <c r="AY34" s="25">
        <f t="shared" si="6"/>
        <v>-0.7835784497</v>
      </c>
      <c r="AZ34" s="23">
        <f t="shared" si="7"/>
        <v>-0.6831228746</v>
      </c>
      <c r="BA34" s="25">
        <f t="shared" si="8"/>
        <v>-0.7212062374</v>
      </c>
      <c r="BB34" s="23">
        <f t="shared" si="9"/>
        <v>-0.8697429537</v>
      </c>
      <c r="BC34" s="24">
        <f t="shared" si="10"/>
        <v>-0.702884529</v>
      </c>
      <c r="BD34" s="25">
        <f t="shared" si="11"/>
        <v>-0.7012368191</v>
      </c>
      <c r="BE34" s="26">
        <f t="shared" ref="BE34:BF34" si="72">((S34-S$289)/S$290)</f>
        <v>-0.8813506298</v>
      </c>
      <c r="BF34" s="26">
        <f t="shared" si="72"/>
        <v>-0.9945811329</v>
      </c>
    </row>
    <row r="35">
      <c r="A35" s="16" t="s">
        <v>67</v>
      </c>
      <c r="B35" s="20">
        <f t="shared" si="3"/>
        <v>0.8533367322</v>
      </c>
      <c r="C35" s="16" t="s">
        <v>68</v>
      </c>
      <c r="D35" s="16" t="s">
        <v>69</v>
      </c>
      <c r="E35" s="16">
        <v>4.0</v>
      </c>
      <c r="F35" s="21" t="s">
        <v>70</v>
      </c>
      <c r="G35" s="16" t="s">
        <v>71</v>
      </c>
      <c r="H35" s="21" t="s">
        <v>72</v>
      </c>
      <c r="I35" s="21" t="s">
        <v>73</v>
      </c>
      <c r="J35" s="21" t="s">
        <v>97</v>
      </c>
      <c r="K35" s="21" t="s">
        <v>75</v>
      </c>
      <c r="L35" s="16" t="s">
        <v>76</v>
      </c>
      <c r="M35" s="21" t="s">
        <v>77</v>
      </c>
      <c r="N35" s="16" t="s">
        <v>91</v>
      </c>
      <c r="O35" s="16" t="s">
        <v>92</v>
      </c>
      <c r="P35" s="16" t="s">
        <v>80</v>
      </c>
      <c r="Q35" s="21" t="s">
        <v>94</v>
      </c>
      <c r="R35" s="21" t="s">
        <v>81</v>
      </c>
      <c r="S35" s="22">
        <v>129.771476030349</v>
      </c>
      <c r="T35" s="22">
        <v>135.686154842376</v>
      </c>
      <c r="U35" s="22">
        <v>2.55065610699943</v>
      </c>
      <c r="V35" s="22">
        <v>11.0974087010864</v>
      </c>
      <c r="W35" s="22">
        <v>3.33127733776197</v>
      </c>
      <c r="X35" s="22">
        <v>0.672760328949406</v>
      </c>
      <c r="Y35" s="22">
        <v>0.065410626808273</v>
      </c>
      <c r="Z35" s="22">
        <v>0.00650465142113697</v>
      </c>
      <c r="AA35" s="22">
        <v>0.0806514192134086</v>
      </c>
      <c r="AB35" s="22">
        <v>0.861063035139636</v>
      </c>
      <c r="AC35" s="22">
        <v>0.0656393184451938</v>
      </c>
      <c r="AD35" s="22">
        <v>0.080778872019839</v>
      </c>
      <c r="AE35" s="22">
        <v>0.861732178099534</v>
      </c>
      <c r="AF35" s="22">
        <v>0.104513090354174</v>
      </c>
      <c r="AG35" s="22">
        <v>0.13519081423798</v>
      </c>
      <c r="AH35" s="22">
        <v>0.615793650613251</v>
      </c>
      <c r="AI35" s="22">
        <v>10.0</v>
      </c>
      <c r="AJ35" s="22">
        <v>2.55065610699943</v>
      </c>
      <c r="AK35" s="22">
        <v>11.0974087010864</v>
      </c>
      <c r="AL35" s="22">
        <v>3.33127733776197</v>
      </c>
      <c r="AM35" s="22">
        <v>0.672689951033856</v>
      </c>
      <c r="AN35" s="22">
        <v>1.75585176840894</v>
      </c>
      <c r="AO35" s="22">
        <v>4.66920714754794</v>
      </c>
      <c r="AP35" s="22">
        <v>2.16083482653069</v>
      </c>
      <c r="AQ35" s="22">
        <v>0.861732178099534</v>
      </c>
      <c r="AR35" s="22">
        <v>2.79572516697417</v>
      </c>
      <c r="AS35" s="22">
        <v>13.0780182847376</v>
      </c>
      <c r="AT35" s="22">
        <v>3.61635428086597</v>
      </c>
      <c r="AU35" s="22">
        <v>0.615793650613251</v>
      </c>
      <c r="AV35" s="23">
        <f t="shared" ref="AV35:AW35" si="73">(AC35-AC$289)/AC$290</f>
        <v>-1.2870612</v>
      </c>
      <c r="AW35" s="24">
        <f t="shared" si="73"/>
        <v>-1.274543018</v>
      </c>
      <c r="AX35" s="24">
        <f t="shared" si="5"/>
        <v>-0.6949396366</v>
      </c>
      <c r="AY35" s="25">
        <f t="shared" si="6"/>
        <v>-0.5990141864</v>
      </c>
      <c r="AZ35" s="23">
        <f t="shared" si="7"/>
        <v>-0.8657794287</v>
      </c>
      <c r="BA35" s="25">
        <f t="shared" si="8"/>
        <v>-0.6988569943</v>
      </c>
      <c r="BB35" s="23">
        <f t="shared" si="9"/>
        <v>-0.9176800575</v>
      </c>
      <c r="BC35" s="24">
        <f t="shared" si="10"/>
        <v>-0.5779442841</v>
      </c>
      <c r="BD35" s="25">
        <f t="shared" si="11"/>
        <v>-0.6901642296</v>
      </c>
      <c r="BE35" s="26">
        <f t="shared" ref="BE35:BF35" si="74">((S35-S$289)/S$290)</f>
        <v>-0.8222745551</v>
      </c>
      <c r="BF35" s="26">
        <f t="shared" si="74"/>
        <v>-0.9584464639</v>
      </c>
    </row>
    <row r="36">
      <c r="A36" s="16" t="s">
        <v>82</v>
      </c>
      <c r="B36" s="20">
        <f t="shared" si="3"/>
        <v>0.8504324885</v>
      </c>
      <c r="C36" s="16" t="s">
        <v>68</v>
      </c>
      <c r="D36" s="16" t="s">
        <v>69</v>
      </c>
      <c r="E36" s="16">
        <v>68.0</v>
      </c>
      <c r="F36" s="21" t="s">
        <v>70</v>
      </c>
      <c r="G36" s="16" t="s">
        <v>71</v>
      </c>
      <c r="H36" s="21" t="s">
        <v>72</v>
      </c>
      <c r="I36" s="21" t="s">
        <v>73</v>
      </c>
      <c r="J36" s="21" t="s">
        <v>83</v>
      </c>
      <c r="K36" s="21" t="s">
        <v>75</v>
      </c>
      <c r="L36" s="16" t="s">
        <v>76</v>
      </c>
      <c r="M36" s="21" t="s">
        <v>77</v>
      </c>
      <c r="N36" s="16" t="s">
        <v>78</v>
      </c>
      <c r="O36" s="16" t="s">
        <v>92</v>
      </c>
      <c r="P36" s="16" t="s">
        <v>80</v>
      </c>
      <c r="Q36" s="21" t="s">
        <v>104</v>
      </c>
      <c r="R36" s="21" t="s">
        <v>81</v>
      </c>
      <c r="S36" s="22">
        <v>119.414315700531</v>
      </c>
      <c r="T36" s="22">
        <v>131.616777658462</v>
      </c>
      <c r="U36" s="22">
        <v>2.46672587002178</v>
      </c>
      <c r="V36" s="22">
        <v>10.0246410156808</v>
      </c>
      <c r="W36" s="22">
        <v>3.16617134970311</v>
      </c>
      <c r="X36" s="22">
        <v>0.704395400411135</v>
      </c>
      <c r="Y36" s="22">
        <v>0.0838238599331884</v>
      </c>
      <c r="Z36" s="22">
        <v>0.0109792961300829</v>
      </c>
      <c r="AA36" s="22">
        <v>0.104782136502759</v>
      </c>
      <c r="AB36" s="22">
        <v>0.765486267925142</v>
      </c>
      <c r="AC36" s="22">
        <v>0.0840744956239402</v>
      </c>
      <c r="AD36" s="22">
        <v>0.104876259152458</v>
      </c>
      <c r="AE36" s="22">
        <v>0.766933460097156</v>
      </c>
      <c r="AF36" s="22">
        <v>0.0946879785800979</v>
      </c>
      <c r="AG36" s="22">
        <v>0.123256935347491</v>
      </c>
      <c r="AH36" s="22">
        <v>0.680630895365017</v>
      </c>
      <c r="AI36" s="22">
        <v>10.0</v>
      </c>
      <c r="AJ36" s="22">
        <v>2.46672587002179</v>
      </c>
      <c r="AK36" s="22">
        <v>10.0246410156808</v>
      </c>
      <c r="AL36" s="22">
        <v>3.16617134970311</v>
      </c>
      <c r="AM36" s="22">
        <v>0.704330458570092</v>
      </c>
      <c r="AN36" s="22">
        <v>2.2489927579404</v>
      </c>
      <c r="AO36" s="22">
        <v>7.87049321390198</v>
      </c>
      <c r="AP36" s="22">
        <v>2.80543993232825</v>
      </c>
      <c r="AQ36" s="22">
        <v>0.766933460097156</v>
      </c>
      <c r="AR36" s="22">
        <v>2.53290342701762</v>
      </c>
      <c r="AS36" s="22">
        <v>10.8710202126104</v>
      </c>
      <c r="AT36" s="22">
        <v>3.2971230205454</v>
      </c>
      <c r="AU36" s="22">
        <v>0.680630895365016</v>
      </c>
      <c r="AV36" s="23">
        <f t="shared" ref="AV36:AW36" si="75">(AC36-AC$289)/AC$290</f>
        <v>-0.5671505152</v>
      </c>
      <c r="AW36" s="24">
        <f t="shared" si="75"/>
        <v>-0.4975220489</v>
      </c>
      <c r="AX36" s="24">
        <f t="shared" si="5"/>
        <v>-1.144158767</v>
      </c>
      <c r="AY36" s="25">
        <f t="shared" si="6"/>
        <v>-1.064023952</v>
      </c>
      <c r="AZ36" s="23">
        <f t="shared" si="7"/>
        <v>-1.020651033</v>
      </c>
      <c r="BA36" s="25">
        <f t="shared" si="8"/>
        <v>-0.9501558637</v>
      </c>
      <c r="BB36" s="23">
        <f t="shared" si="9"/>
        <v>-0.4949313298</v>
      </c>
      <c r="BC36" s="24">
        <f t="shared" si="10"/>
        <v>-0.9055509154</v>
      </c>
      <c r="BD36" s="25">
        <f t="shared" si="11"/>
        <v>-0.8778323403</v>
      </c>
      <c r="BE36" s="26">
        <f t="shared" ref="BE36:BF36" si="76">((S36-S$289)/S$290)</f>
        <v>-0.8421597514</v>
      </c>
      <c r="BF36" s="26">
        <f t="shared" si="76"/>
        <v>-0.9906208572</v>
      </c>
    </row>
    <row r="37">
      <c r="A37" s="16" t="s">
        <v>67</v>
      </c>
      <c r="B37" s="20">
        <f t="shared" si="3"/>
        <v>0.8326953641</v>
      </c>
      <c r="C37" s="16" t="s">
        <v>68</v>
      </c>
      <c r="D37" s="16" t="s">
        <v>69</v>
      </c>
      <c r="E37" s="16">
        <v>177.0</v>
      </c>
      <c r="F37" s="21" t="s">
        <v>102</v>
      </c>
      <c r="G37" s="16" t="s">
        <v>71</v>
      </c>
      <c r="H37" s="21" t="s">
        <v>103</v>
      </c>
      <c r="I37" s="21" t="s">
        <v>73</v>
      </c>
      <c r="J37" s="21" t="s">
        <v>74</v>
      </c>
      <c r="K37" s="21" t="s">
        <v>75</v>
      </c>
      <c r="L37" s="16" t="s">
        <v>76</v>
      </c>
      <c r="M37" s="21" t="s">
        <v>85</v>
      </c>
      <c r="N37" s="16" t="s">
        <v>95</v>
      </c>
      <c r="O37" s="16" t="s">
        <v>92</v>
      </c>
      <c r="P37" s="16" t="s">
        <v>80</v>
      </c>
      <c r="Q37" s="21" t="s">
        <v>81</v>
      </c>
      <c r="S37" s="22">
        <v>307.414498805999</v>
      </c>
      <c r="T37" s="22">
        <v>327.47275185585</v>
      </c>
      <c r="U37" s="22">
        <v>2.42146234661829</v>
      </c>
      <c r="V37" s="22">
        <v>9.27905762730447</v>
      </c>
      <c r="W37" s="22">
        <v>3.04615456392227</v>
      </c>
      <c r="X37" s="22">
        <v>0.720127625556299</v>
      </c>
      <c r="Y37" s="22">
        <v>0.0669243251500847</v>
      </c>
      <c r="Z37" s="22">
        <v>0.00671162973122312</v>
      </c>
      <c r="AA37" s="22">
        <v>0.0819245368081084</v>
      </c>
      <c r="AB37" s="22">
        <v>0.8437855081924</v>
      </c>
      <c r="AC37" s="22">
        <v>0.0672008617834572</v>
      </c>
      <c r="AD37" s="22">
        <v>0.082112149195409</v>
      </c>
      <c r="AE37" s="22">
        <v>0.84425931252853</v>
      </c>
      <c r="AF37" s="22">
        <v>0.0954797097881417</v>
      </c>
      <c r="AG37" s="22">
        <v>0.121493213126498</v>
      </c>
      <c r="AH37" s="22">
        <v>0.660082974440615</v>
      </c>
      <c r="AI37" s="22">
        <v>10.0</v>
      </c>
      <c r="AJ37" s="22">
        <v>2.42146234661828</v>
      </c>
      <c r="AK37" s="22">
        <v>9.27905762730447</v>
      </c>
      <c r="AL37" s="22">
        <v>3.04615456392227</v>
      </c>
      <c r="AM37" s="22">
        <v>0.720095658828609</v>
      </c>
      <c r="AN37" s="22">
        <v>1.85922384267561</v>
      </c>
      <c r="AO37" s="22">
        <v>5.16093648426384</v>
      </c>
      <c r="AP37" s="22">
        <v>2.27176946107298</v>
      </c>
      <c r="AQ37" s="22">
        <v>0.84425931252853</v>
      </c>
      <c r="AR37" s="22">
        <v>2.64160530413855</v>
      </c>
      <c r="AS37" s="22">
        <v>11.2984199064256</v>
      </c>
      <c r="AT37" s="22">
        <v>3.36131222983311</v>
      </c>
      <c r="AU37" s="22">
        <v>0.660082974440615</v>
      </c>
      <c r="AV37" s="23">
        <f t="shared" ref="AV37:AW37" si="77">(AC37-AC$289)/AC$290</f>
        <v>-1.226081492</v>
      </c>
      <c r="AW37" s="24">
        <f t="shared" si="77"/>
        <v>-1.231551456</v>
      </c>
      <c r="AX37" s="24">
        <f t="shared" si="5"/>
        <v>-0.9583637764</v>
      </c>
      <c r="AY37" s="25">
        <f t="shared" si="6"/>
        <v>-0.9705224285</v>
      </c>
      <c r="AZ37" s="23">
        <f t="shared" si="7"/>
        <v>-1.10417319</v>
      </c>
      <c r="BA37" s="25">
        <f t="shared" si="8"/>
        <v>-1.132826904</v>
      </c>
      <c r="BB37" s="23">
        <f t="shared" si="9"/>
        <v>-0.839760948</v>
      </c>
      <c r="BC37" s="24">
        <f t="shared" si="10"/>
        <v>-0.8017273309</v>
      </c>
      <c r="BD37" s="25">
        <f t="shared" si="11"/>
        <v>-0.9713398588</v>
      </c>
      <c r="BE37" s="26">
        <f t="shared" ref="BE37:BF37" si="78">((S37-S$289)/S$290)</f>
        <v>-0.4812094114</v>
      </c>
      <c r="BF37" s="26">
        <f t="shared" si="78"/>
        <v>0.5579077899</v>
      </c>
    </row>
    <row r="38">
      <c r="A38" s="16" t="s">
        <v>67</v>
      </c>
      <c r="B38" s="20">
        <f t="shared" si="3"/>
        <v>0.8272143299</v>
      </c>
      <c r="C38" s="16" t="s">
        <v>68</v>
      </c>
      <c r="D38" s="16" t="s">
        <v>69</v>
      </c>
      <c r="E38" s="16">
        <v>244.0</v>
      </c>
      <c r="F38" s="21" t="s">
        <v>102</v>
      </c>
      <c r="G38" s="16" t="s">
        <v>100</v>
      </c>
      <c r="H38" s="21" t="s">
        <v>105</v>
      </c>
      <c r="I38" s="21" t="s">
        <v>88</v>
      </c>
      <c r="J38" s="21" t="s">
        <v>97</v>
      </c>
      <c r="K38" s="21" t="s">
        <v>75</v>
      </c>
      <c r="L38" s="16" t="s">
        <v>76</v>
      </c>
      <c r="M38" s="21" t="s">
        <v>77</v>
      </c>
      <c r="N38" s="16" t="s">
        <v>78</v>
      </c>
      <c r="O38" s="16" t="s">
        <v>86</v>
      </c>
      <c r="P38" s="16" t="s">
        <v>80</v>
      </c>
      <c r="Q38" s="21" t="s">
        <v>81</v>
      </c>
      <c r="R38" s="21" t="s">
        <v>81</v>
      </c>
      <c r="S38" s="22">
        <v>476.739385366439</v>
      </c>
      <c r="T38" s="22">
        <v>428.7254281044</v>
      </c>
      <c r="U38" s="22">
        <v>2.38668269812501</v>
      </c>
      <c r="V38" s="22">
        <v>9.34959300318162</v>
      </c>
      <c r="W38" s="22">
        <v>3.05771041846372</v>
      </c>
      <c r="X38" s="22">
        <v>0.71744231212255</v>
      </c>
      <c r="Y38" s="22">
        <v>0.0597502083590484</v>
      </c>
      <c r="Z38" s="22">
        <v>0.00551023980010713</v>
      </c>
      <c r="AA38" s="22">
        <v>0.0742309894862457</v>
      </c>
      <c r="AB38" s="22">
        <v>0.869349922197659</v>
      </c>
      <c r="AC38" s="22">
        <v>0.0601790245646524</v>
      </c>
      <c r="AD38" s="22">
        <v>0.0745132148140049</v>
      </c>
      <c r="AE38" s="22">
        <v>0.870504634736804</v>
      </c>
      <c r="AF38" s="22">
        <v>0.0925779566175042</v>
      </c>
      <c r="AG38" s="22">
        <v>0.117661425630816</v>
      </c>
      <c r="AH38" s="22">
        <v>0.681421191130229</v>
      </c>
      <c r="AI38" s="22">
        <v>10.0</v>
      </c>
      <c r="AJ38" s="22">
        <v>2.386682698125</v>
      </c>
      <c r="AK38" s="22">
        <v>9.34959300318163</v>
      </c>
      <c r="AL38" s="22">
        <v>3.05771041846372</v>
      </c>
      <c r="AM38" s="22">
        <v>0.717234500463236</v>
      </c>
      <c r="AN38" s="22">
        <v>1.66495301295535</v>
      </c>
      <c r="AO38" s="22">
        <v>4.24991532713704</v>
      </c>
      <c r="AP38" s="22">
        <v>2.0615322765208</v>
      </c>
      <c r="AQ38" s="22">
        <v>0.870504634736804</v>
      </c>
      <c r="AR38" s="22">
        <v>2.56132346641756</v>
      </c>
      <c r="AS38" s="22">
        <v>10.596974460032</v>
      </c>
      <c r="AT38" s="22">
        <v>3.25529944245257</v>
      </c>
      <c r="AU38" s="22">
        <v>0.681421191130229</v>
      </c>
      <c r="AV38" s="23">
        <f t="shared" ref="AV38:AW38" si="79">(AC38-AC$289)/AC$290</f>
        <v>-1.500290716</v>
      </c>
      <c r="AW38" s="24">
        <f t="shared" si="79"/>
        <v>-1.476579322</v>
      </c>
      <c r="AX38" s="24">
        <f t="shared" si="5"/>
        <v>-1.09558278</v>
      </c>
      <c r="AY38" s="25">
        <f t="shared" si="6"/>
        <v>-1.12494647</v>
      </c>
      <c r="AZ38" s="23">
        <f t="shared" si="7"/>
        <v>-1.16835006</v>
      </c>
      <c r="BA38" s="25">
        <f t="shared" si="8"/>
        <v>-1.115238364</v>
      </c>
      <c r="BB38" s="23">
        <f t="shared" si="9"/>
        <v>-0.9568002583</v>
      </c>
      <c r="BC38" s="24">
        <f t="shared" si="10"/>
        <v>-0.9095440852</v>
      </c>
      <c r="BD38" s="25">
        <f t="shared" si="11"/>
        <v>-0.9543695816</v>
      </c>
      <c r="BE38" s="26">
        <f t="shared" ref="BE38:BF38" si="80">((S38-S$289)/S$290)</f>
        <v>-0.1561146462</v>
      </c>
      <c r="BF38" s="26">
        <f t="shared" si="80"/>
        <v>1.358458656</v>
      </c>
    </row>
    <row r="39">
      <c r="A39" s="16" t="s">
        <v>67</v>
      </c>
      <c r="B39" s="20">
        <f t="shared" si="3"/>
        <v>0.824932209</v>
      </c>
      <c r="C39" s="16" t="s">
        <v>68</v>
      </c>
      <c r="D39" s="16" t="s">
        <v>69</v>
      </c>
      <c r="E39" s="16">
        <v>92.0</v>
      </c>
      <c r="F39" s="21" t="s">
        <v>70</v>
      </c>
      <c r="G39" s="16" t="s">
        <v>100</v>
      </c>
      <c r="H39" s="21" t="s">
        <v>101</v>
      </c>
      <c r="I39" s="21" t="s">
        <v>73</v>
      </c>
      <c r="J39" s="21" t="s">
        <v>74</v>
      </c>
      <c r="K39" s="21" t="s">
        <v>75</v>
      </c>
      <c r="L39" s="16" t="s">
        <v>84</v>
      </c>
      <c r="M39" s="21" t="s">
        <v>85</v>
      </c>
      <c r="N39" s="16" t="s">
        <v>78</v>
      </c>
      <c r="O39" s="16" t="s">
        <v>79</v>
      </c>
      <c r="P39" s="16" t="s">
        <v>80</v>
      </c>
      <c r="Q39" s="21" t="s">
        <v>87</v>
      </c>
      <c r="S39" s="22">
        <v>339.846055746078</v>
      </c>
      <c r="T39" s="22">
        <v>132.097895383834</v>
      </c>
      <c r="U39" s="22">
        <v>2.55173257281522</v>
      </c>
      <c r="V39" s="22">
        <v>10.1871034184706</v>
      </c>
      <c r="W39" s="22">
        <v>3.19172420777088</v>
      </c>
      <c r="X39" s="22">
        <v>0.698778434893313</v>
      </c>
      <c r="Y39" s="22">
        <v>0.0620433054659125</v>
      </c>
      <c r="Z39" s="22">
        <v>0.00582842031882331</v>
      </c>
      <c r="AA39" s="22">
        <v>0.0763440915776939</v>
      </c>
      <c r="AB39" s="22">
        <v>0.873770521282817</v>
      </c>
      <c r="AC39" s="22">
        <v>0.0623870645051645</v>
      </c>
      <c r="AD39" s="22">
        <v>0.0765174336009269</v>
      </c>
      <c r="AE39" s="22">
        <v>0.875293056691096</v>
      </c>
      <c r="AF39" s="22">
        <v>0.112574755120783</v>
      </c>
      <c r="AG39" s="22">
        <v>0.138834411657868</v>
      </c>
      <c r="AH39" s="22">
        <v>0.592852464857478</v>
      </c>
      <c r="AI39" s="22">
        <v>10.0</v>
      </c>
      <c r="AJ39" s="22">
        <v>2.55173257281522</v>
      </c>
      <c r="AK39" s="22">
        <v>10.1871034184706</v>
      </c>
      <c r="AL39" s="22">
        <v>3.19172420777088</v>
      </c>
      <c r="AM39" s="22">
        <v>0.698601263813999</v>
      </c>
      <c r="AN39" s="22">
        <v>1.66885397551315</v>
      </c>
      <c r="AO39" s="22">
        <v>4.1895595072589</v>
      </c>
      <c r="AP39" s="22">
        <v>2.04684134882479</v>
      </c>
      <c r="AQ39" s="22">
        <v>0.875293056691096</v>
      </c>
      <c r="AR39" s="22">
        <v>3.01137469948094</v>
      </c>
      <c r="AS39" s="22">
        <v>13.7924627942227</v>
      </c>
      <c r="AT39" s="22">
        <v>3.71382051184797</v>
      </c>
      <c r="AU39" s="22">
        <v>0.592852464857478</v>
      </c>
      <c r="AV39" s="23">
        <f t="shared" ref="AV39:AW39" si="81">(AC39-AC$289)/AC$290</f>
        <v>-1.414064719</v>
      </c>
      <c r="AW39" s="24">
        <f t="shared" si="81"/>
        <v>-1.411953227</v>
      </c>
      <c r="AX39" s="24">
        <f t="shared" si="5"/>
        <v>-0.3263479992</v>
      </c>
      <c r="AY39" s="25">
        <f t="shared" si="6"/>
        <v>-0.4570395277</v>
      </c>
      <c r="AZ39" s="23">
        <f t="shared" si="7"/>
        <v>-0.8637930887</v>
      </c>
      <c r="BA39" s="25">
        <f t="shared" si="8"/>
        <v>-0.9112632443</v>
      </c>
      <c r="BB39" s="23">
        <f t="shared" si="9"/>
        <v>-0.9781539151</v>
      </c>
      <c r="BC39" s="24">
        <f t="shared" si="10"/>
        <v>-0.4620281219</v>
      </c>
      <c r="BD39" s="25">
        <f t="shared" si="11"/>
        <v>-0.8438509904</v>
      </c>
      <c r="BE39" s="26">
        <f t="shared" ref="BE39:BF39" si="82">((S39-S$289)/S$290)</f>
        <v>-0.4189425491</v>
      </c>
      <c r="BF39" s="26">
        <f t="shared" si="82"/>
        <v>-0.9868169162</v>
      </c>
    </row>
    <row r="40">
      <c r="A40" s="16" t="s">
        <v>67</v>
      </c>
      <c r="B40" s="20">
        <f t="shared" si="3"/>
        <v>0.792183717</v>
      </c>
      <c r="C40" s="16" t="s">
        <v>68</v>
      </c>
      <c r="D40" s="16" t="s">
        <v>69</v>
      </c>
      <c r="E40" s="16">
        <v>15.0</v>
      </c>
      <c r="F40" s="21" t="s">
        <v>70</v>
      </c>
      <c r="G40" s="16" t="s">
        <v>71</v>
      </c>
      <c r="H40" s="21" t="s">
        <v>72</v>
      </c>
      <c r="I40" s="21" t="s">
        <v>73</v>
      </c>
      <c r="J40" s="21" t="s">
        <v>83</v>
      </c>
      <c r="K40" s="21" t="s">
        <v>75</v>
      </c>
      <c r="L40" s="16" t="s">
        <v>76</v>
      </c>
      <c r="M40" s="21" t="s">
        <v>77</v>
      </c>
      <c r="N40" s="16" t="s">
        <v>95</v>
      </c>
      <c r="O40" s="16" t="s">
        <v>86</v>
      </c>
      <c r="P40" s="16" t="s">
        <v>80</v>
      </c>
      <c r="Q40" s="21" t="s">
        <v>104</v>
      </c>
      <c r="R40" s="21" t="s">
        <v>81</v>
      </c>
      <c r="S40" s="22">
        <v>142.135542631149</v>
      </c>
      <c r="T40" s="22">
        <v>131.918612718582</v>
      </c>
      <c r="U40" s="22">
        <v>2.4845725378711</v>
      </c>
      <c r="V40" s="22">
        <v>9.9275702174075</v>
      </c>
      <c r="W40" s="22">
        <v>3.15080469363105</v>
      </c>
      <c r="X40" s="22">
        <v>0.707267822753172</v>
      </c>
      <c r="Y40" s="22">
        <v>0.0821162391457543</v>
      </c>
      <c r="Z40" s="22">
        <v>0.0104739488255147</v>
      </c>
      <c r="AA40" s="22">
        <v>0.102342312000045</v>
      </c>
      <c r="AB40" s="22">
        <v>0.776280300710499</v>
      </c>
      <c r="AC40" s="22">
        <v>0.0824203927785099</v>
      </c>
      <c r="AD40" s="22">
        <v>0.10250403557198</v>
      </c>
      <c r="AE40" s="22">
        <v>0.777357802273667</v>
      </c>
      <c r="AF40" s="22">
        <v>0.101651536238912</v>
      </c>
      <c r="AG40" s="22">
        <v>0.130408484708666</v>
      </c>
      <c r="AH40" s="22">
        <v>0.642495208005713</v>
      </c>
      <c r="AI40" s="22">
        <v>10.0</v>
      </c>
      <c r="AJ40" s="22">
        <v>2.48457253787111</v>
      </c>
      <c r="AK40" s="22">
        <v>9.9275702174075</v>
      </c>
      <c r="AL40" s="22">
        <v>3.15080469363105</v>
      </c>
      <c r="AM40" s="22">
        <v>0.707193491607067</v>
      </c>
      <c r="AN40" s="22">
        <v>2.20474550682514</v>
      </c>
      <c r="AO40" s="22">
        <v>7.51847050659348</v>
      </c>
      <c r="AP40" s="22">
        <v>2.74198295155048</v>
      </c>
      <c r="AQ40" s="22">
        <v>0.777357802273667</v>
      </c>
      <c r="AR40" s="22">
        <v>2.71917859439089</v>
      </c>
      <c r="AS40" s="22">
        <v>12.1691226968147</v>
      </c>
      <c r="AT40" s="22">
        <v>3.48842696595682</v>
      </c>
      <c r="AU40" s="22">
        <v>0.642495208005713</v>
      </c>
      <c r="AV40" s="23">
        <f t="shared" ref="AV40:AW40" si="83">(AC40-AC$289)/AC$290</f>
        <v>-0.6317447581</v>
      </c>
      <c r="AW40" s="24">
        <f t="shared" si="83"/>
        <v>-0.5740144693</v>
      </c>
      <c r="AX40" s="24">
        <f t="shared" si="5"/>
        <v>-0.8257742653</v>
      </c>
      <c r="AY40" s="25">
        <f t="shared" si="6"/>
        <v>-0.7853601309</v>
      </c>
      <c r="AZ40" s="23">
        <f t="shared" si="7"/>
        <v>-0.9877196103</v>
      </c>
      <c r="BA40" s="25">
        <f t="shared" si="8"/>
        <v>-0.9735446174</v>
      </c>
      <c r="BB40" s="23">
        <f t="shared" si="9"/>
        <v>-0.5414180069</v>
      </c>
      <c r="BC40" s="24">
        <f t="shared" si="10"/>
        <v>-0.7128606782</v>
      </c>
      <c r="BD40" s="25">
        <f t="shared" si="11"/>
        <v>-0.8948137367</v>
      </c>
      <c r="BE40" s="26">
        <f t="shared" ref="BE40:BF40" si="84">((S40-S$289)/S$290)</f>
        <v>-0.7985362056</v>
      </c>
      <c r="BF40" s="26">
        <f t="shared" si="84"/>
        <v>-0.9882344085</v>
      </c>
    </row>
    <row r="41">
      <c r="A41" s="16" t="s">
        <v>67</v>
      </c>
      <c r="B41" s="20">
        <f t="shared" si="3"/>
        <v>0.792059096</v>
      </c>
      <c r="C41" s="16" t="s">
        <v>68</v>
      </c>
      <c r="D41" s="16" t="s">
        <v>69</v>
      </c>
      <c r="E41" s="16">
        <v>7.0</v>
      </c>
      <c r="F41" s="21" t="s">
        <v>70</v>
      </c>
      <c r="G41" s="16" t="s">
        <v>71</v>
      </c>
      <c r="H41" s="21" t="s">
        <v>72</v>
      </c>
      <c r="I41" s="21" t="s">
        <v>73</v>
      </c>
      <c r="J41" s="21" t="s">
        <v>83</v>
      </c>
      <c r="K41" s="21" t="s">
        <v>99</v>
      </c>
      <c r="L41" s="16" t="s">
        <v>90</v>
      </c>
      <c r="M41" s="21" t="s">
        <v>85</v>
      </c>
      <c r="N41" s="16" t="s">
        <v>78</v>
      </c>
      <c r="O41" s="16" t="s">
        <v>86</v>
      </c>
      <c r="P41" s="16" t="s">
        <v>80</v>
      </c>
      <c r="Q41" s="21" t="s">
        <v>94</v>
      </c>
      <c r="S41" s="22">
        <v>246.760913848876</v>
      </c>
      <c r="T41" s="22">
        <v>125.991695880889</v>
      </c>
      <c r="U41" s="22">
        <v>2.50801147548882</v>
      </c>
      <c r="V41" s="22">
        <v>9.87520616995935</v>
      </c>
      <c r="W41" s="22">
        <v>3.1424840763255</v>
      </c>
      <c r="X41" s="22">
        <v>0.708842921038632</v>
      </c>
      <c r="Y41" s="22">
        <v>0.0826662324075073</v>
      </c>
      <c r="Z41" s="22">
        <v>0.00996228364500203</v>
      </c>
      <c r="AA41" s="22">
        <v>0.0998112400734608</v>
      </c>
      <c r="AB41" s="22">
        <v>0.787209281005147</v>
      </c>
      <c r="AC41" s="22">
        <v>0.0829462746845408</v>
      </c>
      <c r="AD41" s="22">
        <v>0.0999725640227152</v>
      </c>
      <c r="AE41" s="22">
        <v>0.788218893013328</v>
      </c>
      <c r="AF41" s="22">
        <v>0.102354664204866</v>
      </c>
      <c r="AG41" s="22">
        <v>0.128954794743433</v>
      </c>
      <c r="AH41" s="22">
        <v>0.650421142005841</v>
      </c>
      <c r="AI41" s="22">
        <v>10.0</v>
      </c>
      <c r="AJ41" s="22">
        <v>2.50801147548883</v>
      </c>
      <c r="AK41" s="22">
        <v>9.87520616995935</v>
      </c>
      <c r="AL41" s="22">
        <v>3.1424840763255</v>
      </c>
      <c r="AM41" s="22">
        <v>0.708737931340339</v>
      </c>
      <c r="AN41" s="22">
        <v>2.21881284781147</v>
      </c>
      <c r="AO41" s="22">
        <v>7.15169910732824</v>
      </c>
      <c r="AP41" s="22">
        <v>2.67426608760763</v>
      </c>
      <c r="AQ41" s="22">
        <v>0.788218893013328</v>
      </c>
      <c r="AR41" s="22">
        <v>2.73798726748016</v>
      </c>
      <c r="AS41" s="22">
        <v>11.8993314506712</v>
      </c>
      <c r="AT41" s="22">
        <v>3.44954075938685</v>
      </c>
      <c r="AU41" s="22">
        <v>0.650421142005841</v>
      </c>
      <c r="AV41" s="23">
        <f t="shared" ref="AV41:AW41" si="85">(AC41-AC$289)/AC$290</f>
        <v>-0.6112085843</v>
      </c>
      <c r="AW41" s="24">
        <f t="shared" si="85"/>
        <v>-0.6556418451</v>
      </c>
      <c r="AX41" s="24">
        <f t="shared" si="5"/>
        <v>-0.7936261798</v>
      </c>
      <c r="AY41" s="25">
        <f t="shared" si="6"/>
        <v>-0.8420039125</v>
      </c>
      <c r="AZ41" s="23">
        <f t="shared" si="7"/>
        <v>-0.9444690966</v>
      </c>
      <c r="BA41" s="25">
        <f t="shared" si="8"/>
        <v>-0.9862089777</v>
      </c>
      <c r="BB41" s="23">
        <f t="shared" si="9"/>
        <v>-0.5898523359</v>
      </c>
      <c r="BC41" s="24">
        <f t="shared" si="10"/>
        <v>-0.7529084709</v>
      </c>
      <c r="BD41" s="25">
        <f t="shared" si="11"/>
        <v>-0.9039742119</v>
      </c>
      <c r="BE41" s="26">
        <f t="shared" ref="BE41:BF41" si="86">((S41-S$289)/S$290)</f>
        <v>-0.5976610645</v>
      </c>
      <c r="BF41" s="26">
        <f t="shared" si="86"/>
        <v>-1.035095376</v>
      </c>
    </row>
    <row r="42">
      <c r="A42" s="16" t="s">
        <v>67</v>
      </c>
      <c r="B42" s="20">
        <f t="shared" si="3"/>
        <v>0.789095343</v>
      </c>
      <c r="C42" s="16" t="s">
        <v>68</v>
      </c>
      <c r="D42" s="16" t="s">
        <v>69</v>
      </c>
      <c r="E42" s="16">
        <v>24.0</v>
      </c>
      <c r="F42" s="21" t="s">
        <v>70</v>
      </c>
      <c r="G42" s="16" t="s">
        <v>71</v>
      </c>
      <c r="H42" s="21" t="s">
        <v>72</v>
      </c>
      <c r="I42" s="21" t="s">
        <v>88</v>
      </c>
      <c r="J42" s="21" t="s">
        <v>97</v>
      </c>
      <c r="K42" s="21" t="s">
        <v>99</v>
      </c>
      <c r="L42" s="16" t="s">
        <v>84</v>
      </c>
      <c r="M42" s="21" t="s">
        <v>85</v>
      </c>
      <c r="N42" s="16" t="s">
        <v>78</v>
      </c>
      <c r="O42" s="16" t="s">
        <v>79</v>
      </c>
      <c r="P42" s="16" t="s">
        <v>80</v>
      </c>
      <c r="Q42" s="21" t="s">
        <v>87</v>
      </c>
      <c r="S42" s="22">
        <v>1032.68689918518</v>
      </c>
      <c r="T42" s="22">
        <v>136.043600320816</v>
      </c>
      <c r="U42" s="22">
        <v>2.44673823184377</v>
      </c>
      <c r="V42" s="22">
        <v>9.40054650665775</v>
      </c>
      <c r="W42" s="22">
        <v>3.06603106746454</v>
      </c>
      <c r="X42" s="22">
        <v>0.719565225949861</v>
      </c>
      <c r="Y42" s="22">
        <v>0.0694944089358998</v>
      </c>
      <c r="Z42" s="22">
        <v>0.00712489603610128</v>
      </c>
      <c r="AA42" s="22">
        <v>0.0844090992494368</v>
      </c>
      <c r="AB42" s="22">
        <v>0.846087847941999</v>
      </c>
      <c r="AC42" s="22">
        <v>0.069738428162049</v>
      </c>
      <c r="AD42" s="22">
        <v>0.0845523397812346</v>
      </c>
      <c r="AE42" s="22">
        <v>0.846917367184228</v>
      </c>
      <c r="AF42" s="22">
        <v>0.102399518658745</v>
      </c>
      <c r="AG42" s="22">
        <v>0.128762072422478</v>
      </c>
      <c r="AH42" s="22">
        <v>0.646952834970909</v>
      </c>
      <c r="AI42" s="22">
        <v>10.0</v>
      </c>
      <c r="AJ42" s="22">
        <v>2.44673823184378</v>
      </c>
      <c r="AK42" s="22">
        <v>9.40054650665775</v>
      </c>
      <c r="AL42" s="22">
        <v>3.06603106746454</v>
      </c>
      <c r="AM42" s="22">
        <v>0.719474336329624</v>
      </c>
      <c r="AN42" s="22">
        <v>1.86550295333481</v>
      </c>
      <c r="AO42" s="22">
        <v>5.11562655389056</v>
      </c>
      <c r="AP42" s="22">
        <v>2.26177508914802</v>
      </c>
      <c r="AQ42" s="22">
        <v>0.846917367184228</v>
      </c>
      <c r="AR42" s="22">
        <v>2.73918712412143</v>
      </c>
      <c r="AS42" s="22">
        <v>11.8637910406933</v>
      </c>
      <c r="AT42" s="22">
        <v>3.44438543730131</v>
      </c>
      <c r="AU42" s="22">
        <v>0.646952834970909</v>
      </c>
      <c r="AV42" s="23">
        <f t="shared" ref="AV42:AW42" si="87">(AC42-AC$289)/AC$290</f>
        <v>-1.126987182</v>
      </c>
      <c r="AW42" s="24">
        <f t="shared" si="87"/>
        <v>-1.152867437</v>
      </c>
      <c r="AX42" s="24">
        <f t="shared" si="5"/>
        <v>-0.7915753656</v>
      </c>
      <c r="AY42" s="25">
        <f t="shared" si="6"/>
        <v>-0.8495134375</v>
      </c>
      <c r="AZ42" s="23">
        <f t="shared" si="7"/>
        <v>-1.057533063</v>
      </c>
      <c r="BA42" s="25">
        <f t="shared" si="8"/>
        <v>-1.102573956</v>
      </c>
      <c r="BB42" s="23">
        <f t="shared" si="9"/>
        <v>-0.8516143702</v>
      </c>
      <c r="BC42" s="24">
        <f t="shared" si="10"/>
        <v>-0.7353839696</v>
      </c>
      <c r="BD42" s="25">
        <f t="shared" si="11"/>
        <v>-0.9676546329</v>
      </c>
      <c r="BE42" s="26">
        <f t="shared" ref="BE42:BF42" si="88">((S42-S$289)/S$290)</f>
        <v>0.9112749745</v>
      </c>
      <c r="BF42" s="26">
        <f t="shared" si="88"/>
        <v>-0.9556203333</v>
      </c>
    </row>
    <row r="43">
      <c r="A43" s="16" t="s">
        <v>67</v>
      </c>
      <c r="B43" s="20">
        <f t="shared" si="3"/>
        <v>0.7880318651</v>
      </c>
      <c r="C43" s="16" t="s">
        <v>68</v>
      </c>
      <c r="D43" s="16" t="s">
        <v>69</v>
      </c>
      <c r="E43" s="16">
        <v>98.0</v>
      </c>
      <c r="F43" s="21" t="s">
        <v>70</v>
      </c>
      <c r="G43" s="16" t="s">
        <v>100</v>
      </c>
      <c r="H43" s="21" t="s">
        <v>101</v>
      </c>
      <c r="I43" s="21" t="s">
        <v>88</v>
      </c>
      <c r="J43" s="21" t="s">
        <v>97</v>
      </c>
      <c r="K43" s="21" t="s">
        <v>75</v>
      </c>
      <c r="L43" s="16" t="s">
        <v>76</v>
      </c>
      <c r="M43" s="21" t="s">
        <v>77</v>
      </c>
      <c r="N43" s="16" t="s">
        <v>78</v>
      </c>
      <c r="O43" s="16" t="s">
        <v>92</v>
      </c>
      <c r="P43" s="16" t="s">
        <v>80</v>
      </c>
      <c r="Q43" s="21" t="s">
        <v>104</v>
      </c>
      <c r="R43" s="21" t="s">
        <v>81</v>
      </c>
      <c r="S43" s="22">
        <v>215.295671701431</v>
      </c>
      <c r="T43" s="22">
        <v>141.704944610595</v>
      </c>
      <c r="U43" s="22">
        <v>2.19326636712708</v>
      </c>
      <c r="V43" s="22">
        <v>8.59535395507714</v>
      </c>
      <c r="W43" s="22">
        <v>2.931783408623</v>
      </c>
      <c r="X43" s="22">
        <v>0.742470217349352</v>
      </c>
      <c r="Y43" s="22">
        <v>0.0851161309089753</v>
      </c>
      <c r="Z43" s="22">
        <v>0.0117619955887177</v>
      </c>
      <c r="AA43" s="22">
        <v>0.108452734353347</v>
      </c>
      <c r="AB43" s="22">
        <v>0.742045128888757</v>
      </c>
      <c r="AC43" s="22">
        <v>0.0861855770222638</v>
      </c>
      <c r="AD43" s="22">
        <v>0.109387587706237</v>
      </c>
      <c r="AE43" s="22">
        <v>0.742317471972071</v>
      </c>
      <c r="AF43" s="22">
        <v>0.101063656516427</v>
      </c>
      <c r="AG43" s="22">
        <v>0.135905225306835</v>
      </c>
      <c r="AH43" s="22">
        <v>0.603958213285324</v>
      </c>
      <c r="AI43" s="22">
        <v>10.0</v>
      </c>
      <c r="AJ43" s="22">
        <v>2.19326636712708</v>
      </c>
      <c r="AK43" s="22">
        <v>8.59535395507714</v>
      </c>
      <c r="AL43" s="22">
        <v>2.931783408623</v>
      </c>
      <c r="AM43" s="22">
        <v>0.742355412577223</v>
      </c>
      <c r="AN43" s="22">
        <v>2.30546418534556</v>
      </c>
      <c r="AO43" s="22">
        <v>8.56216638103936</v>
      </c>
      <c r="AP43" s="22">
        <v>2.92611797114186</v>
      </c>
      <c r="AQ43" s="22">
        <v>0.742317471972071</v>
      </c>
      <c r="AR43" s="22">
        <v>2.70345281181444</v>
      </c>
      <c r="AS43" s="22">
        <v>13.2166041445012</v>
      </c>
      <c r="AT43" s="22">
        <v>3.63546477695785</v>
      </c>
      <c r="AU43" s="22">
        <v>0.603958213285324</v>
      </c>
      <c r="AV43" s="23">
        <f t="shared" ref="AV43:AW43" si="89">(AC43-AC$289)/AC$290</f>
        <v>-0.484710838</v>
      </c>
      <c r="AW43" s="24">
        <f t="shared" si="89"/>
        <v>-0.3520541247</v>
      </c>
      <c r="AX43" s="24">
        <f t="shared" si="5"/>
        <v>-0.852653025</v>
      </c>
      <c r="AY43" s="25">
        <f t="shared" si="6"/>
        <v>-0.5711767894</v>
      </c>
      <c r="AZ43" s="23">
        <f t="shared" si="7"/>
        <v>-1.52525001</v>
      </c>
      <c r="BA43" s="25">
        <f t="shared" si="8"/>
        <v>-1.306905036</v>
      </c>
      <c r="BB43" s="23">
        <f t="shared" si="9"/>
        <v>-0.3851579291</v>
      </c>
      <c r="BC43" s="24">
        <f t="shared" si="10"/>
        <v>-0.5181427338</v>
      </c>
      <c r="BD43" s="25">
        <f t="shared" si="11"/>
        <v>-1.10336827</v>
      </c>
      <c r="BE43" s="26">
        <f t="shared" ref="BE43:BF43" si="90">((S43-S$289)/S$290)</f>
        <v>-0.6580726538</v>
      </c>
      <c r="BF43" s="26">
        <f t="shared" si="90"/>
        <v>-0.9108591058</v>
      </c>
    </row>
    <row r="44">
      <c r="A44" s="16" t="s">
        <v>67</v>
      </c>
      <c r="B44" s="20">
        <f t="shared" si="3"/>
        <v>0.7854108557</v>
      </c>
      <c r="C44" s="16" t="s">
        <v>68</v>
      </c>
      <c r="D44" s="16" t="s">
        <v>69</v>
      </c>
      <c r="E44" s="16">
        <v>34.0</v>
      </c>
      <c r="F44" s="21" t="s">
        <v>70</v>
      </c>
      <c r="G44" s="16" t="s">
        <v>71</v>
      </c>
      <c r="H44" s="21" t="s">
        <v>72</v>
      </c>
      <c r="I44" s="21" t="s">
        <v>88</v>
      </c>
      <c r="J44" s="21" t="s">
        <v>83</v>
      </c>
      <c r="K44" s="21" t="s">
        <v>99</v>
      </c>
      <c r="L44" s="16" t="s">
        <v>76</v>
      </c>
      <c r="M44" s="21" t="s">
        <v>85</v>
      </c>
      <c r="N44" s="16" t="s">
        <v>78</v>
      </c>
      <c r="O44" s="16" t="s">
        <v>92</v>
      </c>
      <c r="P44" s="16" t="s">
        <v>80</v>
      </c>
      <c r="Q44" s="21" t="s">
        <v>104</v>
      </c>
      <c r="S44" s="22">
        <v>462.348231792449</v>
      </c>
      <c r="T44" s="22">
        <v>128.480099201202</v>
      </c>
      <c r="U44" s="22">
        <v>2.63748701316067</v>
      </c>
      <c r="V44" s="22">
        <v>10.9400117382727</v>
      </c>
      <c r="W44" s="22">
        <v>3.30756885616501</v>
      </c>
      <c r="X44" s="22">
        <v>0.673586413103747</v>
      </c>
      <c r="Y44" s="22">
        <v>0.0706031398134911</v>
      </c>
      <c r="Z44" s="22">
        <v>0.00738283897920893</v>
      </c>
      <c r="AA44" s="22">
        <v>0.0859234483666067</v>
      </c>
      <c r="AB44" s="22">
        <v>0.840515759131058</v>
      </c>
      <c r="AC44" s="22">
        <v>0.0707830538784424</v>
      </c>
      <c r="AD44" s="22">
        <v>0.0859894886976449</v>
      </c>
      <c r="AE44" s="22">
        <v>0.841669203770171</v>
      </c>
      <c r="AF44" s="22">
        <v>0.102876677496543</v>
      </c>
      <c r="AG44" s="22">
        <v>0.129823716323478</v>
      </c>
      <c r="AH44" s="22">
        <v>0.6411070836704</v>
      </c>
      <c r="AI44" s="22">
        <v>10.0</v>
      </c>
      <c r="AJ44" s="22">
        <v>2.63748701316068</v>
      </c>
      <c r="AK44" s="22">
        <v>10.9400117382727</v>
      </c>
      <c r="AL44" s="22">
        <v>3.30756885616501</v>
      </c>
      <c r="AM44" s="22">
        <v>0.673534506609042</v>
      </c>
      <c r="AN44" s="22">
        <v>1.89344669124833</v>
      </c>
      <c r="AO44" s="22">
        <v>5.29100663212854</v>
      </c>
      <c r="AP44" s="22">
        <v>2.30021882266199</v>
      </c>
      <c r="AQ44" s="22">
        <v>0.841669203770171</v>
      </c>
      <c r="AR44" s="22">
        <v>2.75195112303252</v>
      </c>
      <c r="AS44" s="22">
        <v>12.0602315698203</v>
      </c>
      <c r="AT44" s="22">
        <v>3.47278441165303</v>
      </c>
      <c r="AU44" s="22">
        <v>0.6411070836704</v>
      </c>
      <c r="AV44" s="23">
        <f t="shared" ref="AV44:AW44" si="91">(AC44-AC$289)/AC$290</f>
        <v>-1.086193584</v>
      </c>
      <c r="AW44" s="24">
        <f t="shared" si="91"/>
        <v>-1.106526527</v>
      </c>
      <c r="AX44" s="24">
        <f t="shared" si="5"/>
        <v>-0.7697589341</v>
      </c>
      <c r="AY44" s="25">
        <f t="shared" si="6"/>
        <v>-0.8081459336</v>
      </c>
      <c r="AZ44" s="23">
        <f t="shared" si="7"/>
        <v>-0.7055553882</v>
      </c>
      <c r="BA44" s="25">
        <f t="shared" si="8"/>
        <v>-0.7349423882</v>
      </c>
      <c r="BB44" s="23">
        <f t="shared" si="9"/>
        <v>-0.8282105262</v>
      </c>
      <c r="BC44" s="24">
        <f t="shared" si="10"/>
        <v>-0.7058468278</v>
      </c>
      <c r="BD44" s="25">
        <f t="shared" si="11"/>
        <v>-0.6951735093</v>
      </c>
      <c r="BE44" s="26">
        <f t="shared" ref="BE44:BF44" si="92">((S44-S$289)/S$290)</f>
        <v>-0.1837448947</v>
      </c>
      <c r="BF44" s="26">
        <f t="shared" si="92"/>
        <v>-1.0154209</v>
      </c>
    </row>
    <row r="45">
      <c r="A45" s="16" t="s">
        <v>67</v>
      </c>
      <c r="B45" s="20">
        <f t="shared" si="3"/>
        <v>0.7806646099</v>
      </c>
      <c r="C45" s="16" t="s">
        <v>68</v>
      </c>
      <c r="D45" s="16" t="s">
        <v>69</v>
      </c>
      <c r="E45" s="16">
        <v>5.0</v>
      </c>
      <c r="F45" s="21" t="s">
        <v>70</v>
      </c>
      <c r="G45" s="16" t="s">
        <v>71</v>
      </c>
      <c r="H45" s="21" t="s">
        <v>72</v>
      </c>
      <c r="I45" s="21" t="s">
        <v>73</v>
      </c>
      <c r="J45" s="21" t="s">
        <v>97</v>
      </c>
      <c r="K45" s="21" t="s">
        <v>99</v>
      </c>
      <c r="L45" s="16" t="s">
        <v>84</v>
      </c>
      <c r="M45" s="21" t="s">
        <v>85</v>
      </c>
      <c r="N45" s="16" t="s">
        <v>95</v>
      </c>
      <c r="O45" s="16" t="s">
        <v>86</v>
      </c>
      <c r="P45" s="16" t="s">
        <v>80</v>
      </c>
      <c r="Q45" s="21" t="s">
        <v>89</v>
      </c>
      <c r="S45" s="22">
        <v>472.649520874023</v>
      </c>
      <c r="T45" s="22">
        <v>126.521868705749</v>
      </c>
      <c r="U45" s="22">
        <v>2.47261461805451</v>
      </c>
      <c r="V45" s="22">
        <v>9.62088930254859</v>
      </c>
      <c r="W45" s="22">
        <v>3.10175584186579</v>
      </c>
      <c r="X45" s="22">
        <v>0.716350901958716</v>
      </c>
      <c r="Y45" s="22">
        <v>0.0834391814247854</v>
      </c>
      <c r="Z45" s="22">
        <v>0.0101637210476886</v>
      </c>
      <c r="AA45" s="22">
        <v>0.100815281816243</v>
      </c>
      <c r="AB45" s="22">
        <v>0.782906652082145</v>
      </c>
      <c r="AC45" s="22">
        <v>0.0837069110552122</v>
      </c>
      <c r="AD45" s="22">
        <v>0.100960659028133</v>
      </c>
      <c r="AE45" s="22">
        <v>0.784011859155247</v>
      </c>
      <c r="AF45" s="22">
        <v>0.100114993616351</v>
      </c>
      <c r="AG45" s="22">
        <v>0.127161294388418</v>
      </c>
      <c r="AH45" s="22">
        <v>0.660077391953741</v>
      </c>
      <c r="AI45" s="22">
        <v>10.0</v>
      </c>
      <c r="AJ45" s="22">
        <v>2.47261461805452</v>
      </c>
      <c r="AK45" s="22">
        <v>9.6208893025486</v>
      </c>
      <c r="AL45" s="22">
        <v>3.10175584186579</v>
      </c>
      <c r="AM45" s="22">
        <v>0.716238823536639</v>
      </c>
      <c r="AN45" s="22">
        <v>2.23915987072693</v>
      </c>
      <c r="AO45" s="22">
        <v>7.29376768330008</v>
      </c>
      <c r="AP45" s="22">
        <v>2.70069762900256</v>
      </c>
      <c r="AQ45" s="22">
        <v>0.784011859155247</v>
      </c>
      <c r="AR45" s="22">
        <v>2.6780760792374</v>
      </c>
      <c r="AS45" s="22">
        <v>11.5706418973044</v>
      </c>
      <c r="AT45" s="22">
        <v>3.4015646248902</v>
      </c>
      <c r="AU45" s="22">
        <v>0.660077391953741</v>
      </c>
      <c r="AV45" s="23">
        <f t="shared" ref="AV45:AW45" si="93">(AC45-AC$289)/AC$290</f>
        <v>-0.5815050319</v>
      </c>
      <c r="AW45" s="24">
        <f t="shared" si="93"/>
        <v>-0.6237806921</v>
      </c>
      <c r="AX45" s="24">
        <f t="shared" si="5"/>
        <v>-0.896027343</v>
      </c>
      <c r="AY45" s="25">
        <f t="shared" si="6"/>
        <v>-0.9118885818</v>
      </c>
      <c r="AZ45" s="23">
        <f t="shared" si="7"/>
        <v>-1.009784867</v>
      </c>
      <c r="BA45" s="25">
        <f t="shared" si="8"/>
        <v>-1.048199214</v>
      </c>
      <c r="BB45" s="23">
        <f t="shared" si="9"/>
        <v>-0.5710913415</v>
      </c>
      <c r="BC45" s="24">
        <f t="shared" si="10"/>
        <v>-0.801699124</v>
      </c>
      <c r="BD45" s="25">
        <f t="shared" si="11"/>
        <v>-0.9484639618</v>
      </c>
      <c r="BE45" s="26">
        <f t="shared" ref="BE45:BF45" si="94">((S45-S$289)/S$290)</f>
        <v>-0.1639669682</v>
      </c>
      <c r="BF45" s="26">
        <f t="shared" si="94"/>
        <v>-1.030903583</v>
      </c>
    </row>
    <row r="46">
      <c r="A46" s="16" t="s">
        <v>82</v>
      </c>
      <c r="B46" s="20">
        <f t="shared" si="3"/>
        <v>0.777065715</v>
      </c>
      <c r="C46" s="16" t="s">
        <v>68</v>
      </c>
      <c r="D46" s="16" t="s">
        <v>69</v>
      </c>
      <c r="E46" s="16">
        <v>40.0</v>
      </c>
      <c r="F46" s="21" t="s">
        <v>70</v>
      </c>
      <c r="G46" s="16" t="s">
        <v>71</v>
      </c>
      <c r="H46" s="21" t="s">
        <v>72</v>
      </c>
      <c r="I46" s="21" t="s">
        <v>88</v>
      </c>
      <c r="J46" s="21" t="s">
        <v>83</v>
      </c>
      <c r="K46" s="21" t="s">
        <v>75</v>
      </c>
      <c r="L46" s="16" t="s">
        <v>76</v>
      </c>
      <c r="M46" s="21" t="s">
        <v>77</v>
      </c>
      <c r="N46" s="16" t="s">
        <v>95</v>
      </c>
      <c r="O46" s="16" t="s">
        <v>92</v>
      </c>
      <c r="P46" s="16" t="s">
        <v>80</v>
      </c>
      <c r="Q46" s="21" t="s">
        <v>94</v>
      </c>
      <c r="R46" s="21" t="s">
        <v>81</v>
      </c>
      <c r="S46" s="22">
        <v>204.736014604568</v>
      </c>
      <c r="T46" s="22">
        <v>131.68679022789</v>
      </c>
      <c r="U46" s="22">
        <v>2.43931376768799</v>
      </c>
      <c r="V46" s="22">
        <v>9.69766310998662</v>
      </c>
      <c r="W46" s="22">
        <v>3.1141071127992</v>
      </c>
      <c r="X46" s="22">
        <v>0.710664964813224</v>
      </c>
      <c r="Y46" s="22">
        <v>0.0827078469924835</v>
      </c>
      <c r="Z46" s="22">
        <v>0.0106936928980395</v>
      </c>
      <c r="AA46" s="22">
        <v>0.103410313305973</v>
      </c>
      <c r="AB46" s="22">
        <v>0.76899462405556</v>
      </c>
      <c r="AC46" s="22">
        <v>0.0829693026593009</v>
      </c>
      <c r="AD46" s="22">
        <v>0.103515796898517</v>
      </c>
      <c r="AE46" s="22">
        <v>0.770550073858445</v>
      </c>
      <c r="AF46" s="22">
        <v>0.103392620263521</v>
      </c>
      <c r="AG46" s="22">
        <v>0.130708990769015</v>
      </c>
      <c r="AH46" s="22">
        <v>0.636195777685271</v>
      </c>
      <c r="AI46" s="22">
        <v>10.0</v>
      </c>
      <c r="AJ46" s="22">
        <v>2.439313767688</v>
      </c>
      <c r="AK46" s="22">
        <v>9.69766310998662</v>
      </c>
      <c r="AL46" s="22">
        <v>3.1141071127992</v>
      </c>
      <c r="AM46" s="22">
        <v>0.710607954755182</v>
      </c>
      <c r="AN46" s="22">
        <v>2.2194288461363</v>
      </c>
      <c r="AO46" s="22">
        <v>7.66762442850427</v>
      </c>
      <c r="AP46" s="22">
        <v>2.76904756703532</v>
      </c>
      <c r="AQ46" s="22">
        <v>0.770550073858445</v>
      </c>
      <c r="AR46" s="22">
        <v>2.7657525920492</v>
      </c>
      <c r="AS46" s="22">
        <v>12.2252710141667</v>
      </c>
      <c r="AT46" s="22">
        <v>3.49646550307117</v>
      </c>
      <c r="AU46" s="22">
        <v>0.636195777685271</v>
      </c>
      <c r="AV46" s="23">
        <f t="shared" ref="AV46:AW46" si="95">(AC46-AC$289)/AC$290</f>
        <v>-0.6103093206</v>
      </c>
      <c r="AW46" s="24">
        <f t="shared" si="95"/>
        <v>-0.541390195</v>
      </c>
      <c r="AX46" s="24">
        <f t="shared" si="5"/>
        <v>-0.746169242</v>
      </c>
      <c r="AY46" s="25">
        <f t="shared" si="6"/>
        <v>-0.7736507567</v>
      </c>
      <c r="AZ46" s="23">
        <f t="shared" si="7"/>
        <v>-1.071232997</v>
      </c>
      <c r="BA46" s="25">
        <f t="shared" si="8"/>
        <v>-1.029400015</v>
      </c>
      <c r="BB46" s="23">
        <f t="shared" si="9"/>
        <v>-0.5110593841</v>
      </c>
      <c r="BC46" s="24">
        <f t="shared" si="10"/>
        <v>-0.6810312081</v>
      </c>
      <c r="BD46" s="25">
        <f t="shared" si="11"/>
        <v>-0.915065809</v>
      </c>
      <c r="BE46" s="26">
        <f t="shared" ref="BE46:BF46" si="96">((S46-S$289)/S$290)</f>
        <v>-0.6783466331</v>
      </c>
      <c r="BF46" s="26">
        <f t="shared" si="96"/>
        <v>-0.9900673052</v>
      </c>
    </row>
    <row r="47">
      <c r="A47" s="16" t="s">
        <v>67</v>
      </c>
      <c r="B47" s="20">
        <f t="shared" si="3"/>
        <v>0.7635755843</v>
      </c>
      <c r="C47" s="16" t="s">
        <v>68</v>
      </c>
      <c r="D47" s="16" t="s">
        <v>69</v>
      </c>
      <c r="E47" s="16">
        <v>70.0</v>
      </c>
      <c r="F47" s="21" t="s">
        <v>70</v>
      </c>
      <c r="G47" s="16" t="s">
        <v>100</v>
      </c>
      <c r="H47" s="21" t="s">
        <v>101</v>
      </c>
      <c r="I47" s="21" t="s">
        <v>88</v>
      </c>
      <c r="J47" s="21" t="s">
        <v>83</v>
      </c>
      <c r="K47" s="21" t="s">
        <v>75</v>
      </c>
      <c r="L47" s="16" t="s">
        <v>90</v>
      </c>
      <c r="M47" s="21" t="s">
        <v>77</v>
      </c>
      <c r="N47" s="16" t="s">
        <v>78</v>
      </c>
      <c r="O47" s="16" t="s">
        <v>92</v>
      </c>
      <c r="P47" s="16" t="s">
        <v>80</v>
      </c>
      <c r="Q47" s="21" t="s">
        <v>93</v>
      </c>
      <c r="R47" s="21" t="s">
        <v>104</v>
      </c>
      <c r="S47" s="22">
        <v>143.084421873092</v>
      </c>
      <c r="T47" s="22">
        <v>141.352239131927</v>
      </c>
      <c r="U47" s="22">
        <v>2.60959686855016</v>
      </c>
      <c r="V47" s="22">
        <v>11.7027808166714</v>
      </c>
      <c r="W47" s="22">
        <v>3.42093274074067</v>
      </c>
      <c r="X47" s="22">
        <v>0.649314996416007</v>
      </c>
      <c r="Y47" s="22">
        <v>0.0834776046854007</v>
      </c>
      <c r="Z47" s="22">
        <v>0.0104558635791565</v>
      </c>
      <c r="AA47" s="22">
        <v>0.102253917182455</v>
      </c>
      <c r="AB47" s="22">
        <v>0.770690192699512</v>
      </c>
      <c r="AC47" s="22">
        <v>0.0839823512906791</v>
      </c>
      <c r="AD47" s="22">
        <v>0.102531535477239</v>
      </c>
      <c r="AE47" s="22">
        <v>0.773606577511424</v>
      </c>
      <c r="AF47" s="22">
        <v>0.0940935296111534</v>
      </c>
      <c r="AG47" s="22">
        <v>0.122625299537466</v>
      </c>
      <c r="AH47" s="22">
        <v>0.67757488466718</v>
      </c>
      <c r="AI47" s="22">
        <v>10.0</v>
      </c>
      <c r="AJ47" s="22">
        <v>2.60959686855017</v>
      </c>
      <c r="AK47" s="22">
        <v>11.7027808166714</v>
      </c>
      <c r="AL47" s="22">
        <v>3.42093274074067</v>
      </c>
      <c r="AM47" s="22">
        <v>0.649210707206594</v>
      </c>
      <c r="AN47" s="22">
        <v>2.24652789702567</v>
      </c>
      <c r="AO47" s="22">
        <v>7.52250517625327</v>
      </c>
      <c r="AP47" s="22">
        <v>2.74271857401616</v>
      </c>
      <c r="AQ47" s="22">
        <v>0.773606577511424</v>
      </c>
      <c r="AR47" s="22">
        <v>2.51700191709835</v>
      </c>
      <c r="AS47" s="22">
        <v>10.7598876142559</v>
      </c>
      <c r="AT47" s="22">
        <v>3.28022676262723</v>
      </c>
      <c r="AU47" s="22">
        <v>0.67757488466718</v>
      </c>
      <c r="AV47" s="23">
        <f t="shared" ref="AV47:AW47" si="97">(AC47-AC$289)/AC$290</f>
        <v>-0.5707488365</v>
      </c>
      <c r="AW47" s="24">
        <f t="shared" si="97"/>
        <v>-0.573127734</v>
      </c>
      <c r="AX47" s="24">
        <f t="shared" si="5"/>
        <v>-1.171337883</v>
      </c>
      <c r="AY47" s="25">
        <f t="shared" si="6"/>
        <v>-1.088635968</v>
      </c>
      <c r="AZ47" s="23">
        <f t="shared" si="7"/>
        <v>-0.7570194562</v>
      </c>
      <c r="BA47" s="25">
        <f t="shared" si="8"/>
        <v>-0.5623973682</v>
      </c>
      <c r="BB47" s="23">
        <f t="shared" si="9"/>
        <v>-0.5246896637</v>
      </c>
      <c r="BC47" s="24">
        <f t="shared" si="10"/>
        <v>-0.8901096459</v>
      </c>
      <c r="BD47" s="25">
        <f t="shared" si="11"/>
        <v>-0.5509027047</v>
      </c>
      <c r="BE47" s="26">
        <f t="shared" ref="BE47:BF47" si="98">((S47-S$289)/S$290)</f>
        <v>-0.796714408</v>
      </c>
      <c r="BF47" s="26">
        <f t="shared" si="98"/>
        <v>-0.9136477598</v>
      </c>
    </row>
    <row r="48">
      <c r="A48" s="16" t="s">
        <v>67</v>
      </c>
      <c r="B48" s="20">
        <f t="shared" si="3"/>
        <v>0.7632267564</v>
      </c>
      <c r="C48" s="16" t="s">
        <v>68</v>
      </c>
      <c r="D48" s="16" t="s">
        <v>69</v>
      </c>
      <c r="E48" s="16">
        <v>80.0</v>
      </c>
      <c r="F48" s="21" t="s">
        <v>70</v>
      </c>
      <c r="G48" s="16" t="s">
        <v>100</v>
      </c>
      <c r="H48" s="21" t="s">
        <v>101</v>
      </c>
      <c r="I48" s="21" t="s">
        <v>88</v>
      </c>
      <c r="J48" s="21" t="s">
        <v>97</v>
      </c>
      <c r="K48" s="21" t="s">
        <v>75</v>
      </c>
      <c r="L48" s="16" t="s">
        <v>84</v>
      </c>
      <c r="M48" s="21" t="s">
        <v>77</v>
      </c>
      <c r="N48" s="16" t="s">
        <v>95</v>
      </c>
      <c r="O48" s="16" t="s">
        <v>79</v>
      </c>
      <c r="P48" s="16" t="s">
        <v>80</v>
      </c>
      <c r="Q48" s="21" t="s">
        <v>98</v>
      </c>
      <c r="R48" s="21" t="s">
        <v>98</v>
      </c>
      <c r="S48" s="22">
        <v>589.984344005584</v>
      </c>
      <c r="T48" s="22">
        <v>149.770559549331</v>
      </c>
      <c r="U48" s="22">
        <v>2.47262025160129</v>
      </c>
      <c r="V48" s="22">
        <v>10.1289345420555</v>
      </c>
      <c r="W48" s="22">
        <v>3.1825987089257</v>
      </c>
      <c r="X48" s="22">
        <v>0.696460628703073</v>
      </c>
      <c r="Y48" s="22">
        <v>0.0639075336528724</v>
      </c>
      <c r="Z48" s="22">
        <v>0.00644101672619174</v>
      </c>
      <c r="AA48" s="22">
        <v>0.0802559451143137</v>
      </c>
      <c r="AB48" s="22">
        <v>0.858740668035629</v>
      </c>
      <c r="AC48" s="22">
        <v>0.064525771968267</v>
      </c>
      <c r="AD48" s="22">
        <v>0.0807290678618766</v>
      </c>
      <c r="AE48" s="22">
        <v>0.859651182369305</v>
      </c>
      <c r="AF48" s="22">
        <v>0.108583851240548</v>
      </c>
      <c r="AG48" s="22">
        <v>0.139815289796056</v>
      </c>
      <c r="AH48" s="22">
        <v>0.58084173333195</v>
      </c>
      <c r="AI48" s="22">
        <v>10.0</v>
      </c>
      <c r="AJ48" s="22">
        <v>2.47262025160129</v>
      </c>
      <c r="AK48" s="22">
        <v>10.1289345420555</v>
      </c>
      <c r="AL48" s="22">
        <v>3.1825987089257</v>
      </c>
      <c r="AM48" s="22">
        <v>0.696386539197874</v>
      </c>
      <c r="AN48" s="22">
        <v>1.72606440015114</v>
      </c>
      <c r="AO48" s="22">
        <v>4.66345132955974</v>
      </c>
      <c r="AP48" s="22">
        <v>2.1595025653052</v>
      </c>
      <c r="AQ48" s="22">
        <v>0.859651182369305</v>
      </c>
      <c r="AR48" s="22">
        <v>2.90461802068467</v>
      </c>
      <c r="AS48" s="22">
        <v>13.9880413387742</v>
      </c>
      <c r="AT48" s="22">
        <v>3.74005900204451</v>
      </c>
      <c r="AU48" s="22">
        <v>0.58084173333195</v>
      </c>
      <c r="AV48" s="23">
        <f t="shared" ref="AV48:AW48" si="99">(AC48-AC$289)/AC$290</f>
        <v>-1.330546218</v>
      </c>
      <c r="AW48" s="24">
        <f t="shared" si="99"/>
        <v>-1.276148955</v>
      </c>
      <c r="AX48" s="24">
        <f t="shared" si="5"/>
        <v>-0.5088182257</v>
      </c>
      <c r="AY48" s="25">
        <f t="shared" si="6"/>
        <v>-0.4188191035</v>
      </c>
      <c r="AZ48" s="23">
        <f t="shared" si="7"/>
        <v>-1.009774472</v>
      </c>
      <c r="BA48" s="25">
        <f t="shared" si="8"/>
        <v>-0.9251526712</v>
      </c>
      <c r="BB48" s="23">
        <f t="shared" si="9"/>
        <v>-0.9083999922</v>
      </c>
      <c r="BC48" s="24">
        <f t="shared" si="10"/>
        <v>-0.4013408532</v>
      </c>
      <c r="BD48" s="25">
        <f t="shared" si="11"/>
        <v>-0.8307148805</v>
      </c>
      <c r="BE48" s="26">
        <f t="shared" ref="BE48:BF48" si="100">((S48-S$289)/S$290)</f>
        <v>0.06130964378</v>
      </c>
      <c r="BF48" s="26">
        <f t="shared" si="100"/>
        <v>-0.8470885937</v>
      </c>
    </row>
    <row r="49">
      <c r="A49" s="16" t="s">
        <v>67</v>
      </c>
      <c r="B49" s="20">
        <f t="shared" si="3"/>
        <v>0.760014957</v>
      </c>
      <c r="C49" s="16" t="s">
        <v>68</v>
      </c>
      <c r="D49" s="16" t="s">
        <v>69</v>
      </c>
      <c r="E49" s="16">
        <v>235.0</v>
      </c>
      <c r="F49" s="21" t="s">
        <v>102</v>
      </c>
      <c r="G49" s="16" t="s">
        <v>100</v>
      </c>
      <c r="H49" s="21" t="s">
        <v>105</v>
      </c>
      <c r="I49" s="21" t="s">
        <v>88</v>
      </c>
      <c r="J49" s="21" t="s">
        <v>74</v>
      </c>
      <c r="K49" s="21" t="s">
        <v>75</v>
      </c>
      <c r="L49" s="16" t="s">
        <v>76</v>
      </c>
      <c r="M49" s="21" t="s">
        <v>77</v>
      </c>
      <c r="N49" s="16" t="s">
        <v>78</v>
      </c>
      <c r="O49" s="16" t="s">
        <v>92</v>
      </c>
      <c r="P49" s="16" t="s">
        <v>80</v>
      </c>
      <c r="Q49" s="21" t="s">
        <v>94</v>
      </c>
      <c r="R49" s="21" t="s">
        <v>104</v>
      </c>
      <c r="S49" s="22">
        <v>597.282992362976</v>
      </c>
      <c r="T49" s="22">
        <v>429.611408948898</v>
      </c>
      <c r="U49" s="22">
        <v>2.35638492029039</v>
      </c>
      <c r="V49" s="22">
        <v>8.83213378540879</v>
      </c>
      <c r="W49" s="22">
        <v>2.97189060791422</v>
      </c>
      <c r="X49" s="22">
        <v>0.733017018581862</v>
      </c>
      <c r="Y49" s="22">
        <v>0.0766386087076118</v>
      </c>
      <c r="Z49" s="22">
        <v>0.0090135048957172</v>
      </c>
      <c r="AA49" s="22">
        <v>0.0949394801740414</v>
      </c>
      <c r="AB49" s="22">
        <v>0.786286049497457</v>
      </c>
      <c r="AC49" s="22">
        <v>0.0772705874001642</v>
      </c>
      <c r="AD49" s="22">
        <v>0.0953963070541045</v>
      </c>
      <c r="AE49" s="22">
        <v>0.787748509665199</v>
      </c>
      <c r="AF49" s="22">
        <v>0.0860452536000264</v>
      </c>
      <c r="AG49" s="22">
        <v>0.108336441420235</v>
      </c>
      <c r="AH49" s="22">
        <v>0.729916654941073</v>
      </c>
      <c r="AI49" s="22">
        <v>10.0</v>
      </c>
      <c r="AJ49" s="22">
        <v>2.35638492029038</v>
      </c>
      <c r="AK49" s="22">
        <v>8.83213378540879</v>
      </c>
      <c r="AL49" s="22">
        <v>2.97189060791422</v>
      </c>
      <c r="AM49" s="22">
        <v>0.732884338285444</v>
      </c>
      <c r="AN49" s="22">
        <v>2.13781958473782</v>
      </c>
      <c r="AO49" s="22">
        <v>6.9658930275084</v>
      </c>
      <c r="AP49" s="22">
        <v>2.63929782849689</v>
      </c>
      <c r="AQ49" s="22">
        <v>0.787748509665199</v>
      </c>
      <c r="AR49" s="22">
        <v>2.38058534960064</v>
      </c>
      <c r="AS49" s="22">
        <v>8.9838565214783</v>
      </c>
      <c r="AT49" s="22">
        <v>2.9973082126265</v>
      </c>
      <c r="AU49" s="22">
        <v>0.729916654941073</v>
      </c>
      <c r="AV49" s="23">
        <f t="shared" ref="AV49:AW49" si="101">(AC49-AC$289)/AC$290</f>
        <v>-0.8328494116</v>
      </c>
      <c r="AW49" s="24">
        <f t="shared" si="101"/>
        <v>-0.803203388</v>
      </c>
      <c r="AX49" s="24">
        <f t="shared" si="5"/>
        <v>-1.404503266</v>
      </c>
      <c r="AY49" s="25">
        <f t="shared" si="6"/>
        <v>-1.500750648</v>
      </c>
      <c r="AZ49" s="23">
        <f t="shared" si="7"/>
        <v>-1.224256794</v>
      </c>
      <c r="BA49" s="25">
        <f t="shared" si="8"/>
        <v>-1.245860043</v>
      </c>
      <c r="BB49" s="23">
        <f t="shared" si="9"/>
        <v>-0.5877546919</v>
      </c>
      <c r="BC49" s="24">
        <f t="shared" si="10"/>
        <v>-1.154579722</v>
      </c>
      <c r="BD49" s="25">
        <f t="shared" si="11"/>
        <v>-1.047192855</v>
      </c>
      <c r="BE49" s="26">
        <f t="shared" ref="BE49:BF49" si="102">((S49-S$289)/S$290)</f>
        <v>0.07532265995</v>
      </c>
      <c r="BF49" s="26">
        <f t="shared" si="102"/>
        <v>1.365463634</v>
      </c>
    </row>
    <row r="50">
      <c r="A50" s="16" t="s">
        <v>67</v>
      </c>
      <c r="B50" s="20">
        <f t="shared" si="3"/>
        <v>0.7542425344</v>
      </c>
      <c r="C50" s="16" t="s">
        <v>68</v>
      </c>
      <c r="D50" s="16" t="s">
        <v>69</v>
      </c>
      <c r="E50" s="16">
        <v>152.0</v>
      </c>
      <c r="F50" s="21" t="s">
        <v>102</v>
      </c>
      <c r="G50" s="16" t="s">
        <v>71</v>
      </c>
      <c r="H50" s="21" t="s">
        <v>103</v>
      </c>
      <c r="I50" s="21" t="s">
        <v>88</v>
      </c>
      <c r="J50" s="21" t="s">
        <v>97</v>
      </c>
      <c r="K50" s="21" t="s">
        <v>75</v>
      </c>
      <c r="L50" s="16" t="s">
        <v>76</v>
      </c>
      <c r="M50" s="21" t="s">
        <v>77</v>
      </c>
      <c r="N50" s="16" t="s">
        <v>95</v>
      </c>
      <c r="O50" s="16" t="s">
        <v>86</v>
      </c>
      <c r="P50" s="16" t="s">
        <v>80</v>
      </c>
      <c r="Q50" s="21" t="s">
        <v>94</v>
      </c>
      <c r="R50" s="21" t="s">
        <v>81</v>
      </c>
      <c r="S50" s="22">
        <v>488.458456516265</v>
      </c>
      <c r="T50" s="22">
        <v>433.131367206573</v>
      </c>
      <c r="U50" s="22">
        <v>2.31567053166467</v>
      </c>
      <c r="V50" s="22">
        <v>8.5914153967504</v>
      </c>
      <c r="W50" s="22">
        <v>2.93111163157434</v>
      </c>
      <c r="X50" s="22">
        <v>0.740825919686619</v>
      </c>
      <c r="Y50" s="22">
        <v>0.068223007126786</v>
      </c>
      <c r="Z50" s="22">
        <v>0.00697812918803185</v>
      </c>
      <c r="AA50" s="22">
        <v>0.0835351973004903</v>
      </c>
      <c r="AB50" s="22">
        <v>0.836769055090089</v>
      </c>
      <c r="AC50" s="22">
        <v>0.0684608971493651</v>
      </c>
      <c r="AD50" s="22">
        <v>0.0836740753795232</v>
      </c>
      <c r="AE50" s="22">
        <v>0.837520480740678</v>
      </c>
      <c r="AF50" s="22">
        <v>0.0956328663310939</v>
      </c>
      <c r="AG50" s="22">
        <v>0.122052246502596</v>
      </c>
      <c r="AH50" s="22">
        <v>0.65741924481409</v>
      </c>
      <c r="AI50" s="22">
        <v>10.0</v>
      </c>
      <c r="AJ50" s="22">
        <v>2.31567053166465</v>
      </c>
      <c r="AK50" s="22">
        <v>8.5914153967504</v>
      </c>
      <c r="AL50" s="22">
        <v>2.93111163157434</v>
      </c>
      <c r="AM50" s="22">
        <v>0.740755724369095</v>
      </c>
      <c r="AN50" s="22">
        <v>1.89408482113239</v>
      </c>
      <c r="AO50" s="22">
        <v>5.3591451428298</v>
      </c>
      <c r="AP50" s="22">
        <v>2.3149827521668</v>
      </c>
      <c r="AQ50" s="22">
        <v>0.837520480740678</v>
      </c>
      <c r="AR50" s="22">
        <v>2.64584263516022</v>
      </c>
      <c r="AS50" s="22">
        <v>11.4026351985602</v>
      </c>
      <c r="AT50" s="22">
        <v>3.37677881990518</v>
      </c>
      <c r="AU50" s="22">
        <v>0.65741924481409</v>
      </c>
      <c r="AV50" s="23">
        <f t="shared" ref="AV50:AW50" si="103">(AC50-AC$289)/AC$290</f>
        <v>-1.176875947</v>
      </c>
      <c r="AW50" s="24">
        <f t="shared" si="103"/>
        <v>-1.181187099</v>
      </c>
      <c r="AX50" s="24">
        <f t="shared" si="5"/>
        <v>-0.9511212623</v>
      </c>
      <c r="AY50" s="25">
        <f t="shared" si="6"/>
        <v>-0.947992945</v>
      </c>
      <c r="AZ50" s="23">
        <f t="shared" si="7"/>
        <v>-1.299384697</v>
      </c>
      <c r="BA50" s="25">
        <f t="shared" si="8"/>
        <v>-1.307927511</v>
      </c>
      <c r="BB50" s="23">
        <f t="shared" si="9"/>
        <v>-0.8097095652</v>
      </c>
      <c r="BC50" s="24">
        <f t="shared" si="10"/>
        <v>-0.7882681611</v>
      </c>
      <c r="BD50" s="25">
        <f t="shared" si="11"/>
        <v>-1.093880101</v>
      </c>
      <c r="BE50" s="26">
        <f t="shared" ref="BE50:BF50" si="104">((S50-S$289)/S$290)</f>
        <v>-0.1336146537</v>
      </c>
      <c r="BF50" s="26">
        <f t="shared" si="104"/>
        <v>1.393294065</v>
      </c>
    </row>
    <row r="51">
      <c r="A51" s="16" t="s">
        <v>67</v>
      </c>
      <c r="B51" s="20">
        <f t="shared" si="3"/>
        <v>0.7520714587</v>
      </c>
      <c r="C51" s="16" t="s">
        <v>68</v>
      </c>
      <c r="D51" s="16" t="s">
        <v>69</v>
      </c>
      <c r="E51" s="16">
        <v>169.0</v>
      </c>
      <c r="F51" s="21" t="s">
        <v>102</v>
      </c>
      <c r="G51" s="16" t="s">
        <v>71</v>
      </c>
      <c r="H51" s="21" t="s">
        <v>103</v>
      </c>
      <c r="I51" s="21" t="s">
        <v>73</v>
      </c>
      <c r="J51" s="21" t="s">
        <v>97</v>
      </c>
      <c r="K51" s="21" t="s">
        <v>75</v>
      </c>
      <c r="L51" s="16" t="s">
        <v>84</v>
      </c>
      <c r="M51" s="21" t="s">
        <v>77</v>
      </c>
      <c r="N51" s="16" t="s">
        <v>78</v>
      </c>
      <c r="O51" s="16" t="s">
        <v>79</v>
      </c>
      <c r="P51" s="16" t="s">
        <v>80</v>
      </c>
      <c r="Q51" s="21" t="s">
        <v>89</v>
      </c>
      <c r="R51" s="21" t="s">
        <v>94</v>
      </c>
      <c r="S51" s="22">
        <v>688.466783761978</v>
      </c>
      <c r="T51" s="22">
        <v>410.662536621093</v>
      </c>
      <c r="U51" s="22">
        <v>2.35860613632178</v>
      </c>
      <c r="V51" s="22">
        <v>8.77932925097669</v>
      </c>
      <c r="W51" s="22">
        <v>2.96299329242856</v>
      </c>
      <c r="X51" s="22">
        <v>0.735192948226727</v>
      </c>
      <c r="Y51" s="22">
        <v>0.0659712785688116</v>
      </c>
      <c r="Z51" s="22">
        <v>0.00648115239121281</v>
      </c>
      <c r="AA51" s="22">
        <v>0.0805056047192542</v>
      </c>
      <c r="AB51" s="22">
        <v>0.849149913260127</v>
      </c>
      <c r="AC51" s="22">
        <v>0.0662600999597445</v>
      </c>
      <c r="AD51" s="22">
        <v>0.0807137838872241</v>
      </c>
      <c r="AE51" s="22">
        <v>0.84951865516469</v>
      </c>
      <c r="AF51" s="22">
        <v>0.0952205506950609</v>
      </c>
      <c r="AG51" s="22">
        <v>0.120719791753095</v>
      </c>
      <c r="AH51" s="22">
        <v>0.664396997964703</v>
      </c>
      <c r="AI51" s="22">
        <v>10.0</v>
      </c>
      <c r="AJ51" s="22">
        <v>2.35860613632176</v>
      </c>
      <c r="AK51" s="22">
        <v>8.77932925097669</v>
      </c>
      <c r="AL51" s="22">
        <v>2.96299329242856</v>
      </c>
      <c r="AM51" s="22">
        <v>0.73517004973756</v>
      </c>
      <c r="AN51" s="22">
        <v>1.83319609888622</v>
      </c>
      <c r="AO51" s="22">
        <v>4.98665233453465</v>
      </c>
      <c r="AP51" s="22">
        <v>2.23308135421319</v>
      </c>
      <c r="AQ51" s="22">
        <v>0.84951865516469</v>
      </c>
      <c r="AR51" s="22">
        <v>2.63443523589666</v>
      </c>
      <c r="AS51" s="22">
        <v>11.1550271205505</v>
      </c>
      <c r="AT51" s="22">
        <v>3.33991423850232</v>
      </c>
      <c r="AU51" s="22">
        <v>0.664396997964703</v>
      </c>
      <c r="AV51" s="23">
        <f t="shared" ref="AV51:AW51" si="105">(AC51-AC$289)/AC$290</f>
        <v>-1.262819109</v>
      </c>
      <c r="AW51" s="24">
        <f t="shared" si="105"/>
        <v>-1.276641787</v>
      </c>
      <c r="AX51" s="24">
        <f t="shared" si="5"/>
        <v>-0.9706189719</v>
      </c>
      <c r="AY51" s="25">
        <f t="shared" si="6"/>
        <v>-1.001691917</v>
      </c>
      <c r="AZ51" s="23">
        <f t="shared" si="7"/>
        <v>-1.220158113</v>
      </c>
      <c r="BA51" s="25">
        <f t="shared" si="8"/>
        <v>-1.259402165</v>
      </c>
      <c r="BB51" s="23">
        <f t="shared" si="9"/>
        <v>-0.863214645</v>
      </c>
      <c r="BC51" s="24">
        <f t="shared" si="10"/>
        <v>-0.8235250295</v>
      </c>
      <c r="BD51" s="25">
        <f t="shared" si="11"/>
        <v>-1.060750007</v>
      </c>
      <c r="BE51" s="26">
        <f t="shared" ref="BE51:BF51" si="106">((S51-S$289)/S$290)</f>
        <v>0.2503906836</v>
      </c>
      <c r="BF51" s="26">
        <f t="shared" si="106"/>
        <v>1.215645014</v>
      </c>
    </row>
    <row r="52">
      <c r="A52" s="16" t="s">
        <v>67</v>
      </c>
      <c r="B52" s="20">
        <f t="shared" si="3"/>
        <v>0.7423981802</v>
      </c>
      <c r="C52" s="16" t="s">
        <v>68</v>
      </c>
      <c r="D52" s="16" t="s">
        <v>69</v>
      </c>
      <c r="E52" s="16">
        <v>26.0</v>
      </c>
      <c r="F52" s="21" t="s">
        <v>70</v>
      </c>
      <c r="G52" s="16" t="s">
        <v>71</v>
      </c>
      <c r="H52" s="21" t="s">
        <v>72</v>
      </c>
      <c r="I52" s="21" t="s">
        <v>88</v>
      </c>
      <c r="J52" s="21" t="s">
        <v>74</v>
      </c>
      <c r="K52" s="21" t="s">
        <v>99</v>
      </c>
      <c r="L52" s="16" t="s">
        <v>76</v>
      </c>
      <c r="M52" s="21" t="s">
        <v>85</v>
      </c>
      <c r="N52" s="16" t="s">
        <v>78</v>
      </c>
      <c r="O52" s="16" t="s">
        <v>86</v>
      </c>
      <c r="P52" s="16" t="s">
        <v>80</v>
      </c>
      <c r="Q52" s="21" t="s">
        <v>104</v>
      </c>
      <c r="S52" s="22">
        <v>633.171916007995</v>
      </c>
      <c r="T52" s="22">
        <v>134.306819915771</v>
      </c>
      <c r="U52" s="22">
        <v>2.64602937269589</v>
      </c>
      <c r="V52" s="22">
        <v>10.9251020340063</v>
      </c>
      <c r="W52" s="22">
        <v>3.30531421108588</v>
      </c>
      <c r="X52" s="22">
        <v>0.674054655494259</v>
      </c>
      <c r="Y52" s="22">
        <v>0.0700356048518393</v>
      </c>
      <c r="Z52" s="22">
        <v>0.00718448157364303</v>
      </c>
      <c r="AA52" s="22">
        <v>0.0847613212122312</v>
      </c>
      <c r="AB52" s="22">
        <v>0.844800679923249</v>
      </c>
      <c r="AC52" s="22">
        <v>0.0702374404339356</v>
      </c>
      <c r="AD52" s="22">
        <v>0.0848563769233798</v>
      </c>
      <c r="AE52" s="22">
        <v>0.845814464847478</v>
      </c>
      <c r="AF52" s="22">
        <v>0.104226344035398</v>
      </c>
      <c r="AG52" s="22">
        <v>0.131374765312765</v>
      </c>
      <c r="AH52" s="22">
        <v>0.632480219195318</v>
      </c>
      <c r="AI52" s="22">
        <v>10.0</v>
      </c>
      <c r="AJ52" s="22">
        <v>2.6460293726959</v>
      </c>
      <c r="AK52" s="22">
        <v>10.9251020340063</v>
      </c>
      <c r="AL52" s="22">
        <v>3.30531421108588</v>
      </c>
      <c r="AM52" s="22">
        <v>0.673979433367451</v>
      </c>
      <c r="AN52" s="22">
        <v>1.87885153160778</v>
      </c>
      <c r="AO52" s="22">
        <v>5.15248270390867</v>
      </c>
      <c r="AP52" s="22">
        <v>2.26990808270041</v>
      </c>
      <c r="AQ52" s="22">
        <v>0.845814464847478</v>
      </c>
      <c r="AR52" s="22">
        <v>2.78805470294691</v>
      </c>
      <c r="AS52" s="22">
        <v>12.3501285796442</v>
      </c>
      <c r="AT52" s="22">
        <v>3.51427497211648</v>
      </c>
      <c r="AU52" s="22">
        <v>0.632480219195318</v>
      </c>
      <c r="AV52" s="23">
        <f t="shared" ref="AV52:AW52" si="107">(AC52-AC$289)/AC$290</f>
        <v>-1.107500292</v>
      </c>
      <c r="AW52" s="24">
        <f t="shared" si="107"/>
        <v>-1.14306375</v>
      </c>
      <c r="AX52" s="24">
        <f t="shared" si="5"/>
        <v>-0.7080501166</v>
      </c>
      <c r="AY52" s="25">
        <f t="shared" si="6"/>
        <v>-0.7477085072</v>
      </c>
      <c r="AZ52" s="23">
        <f t="shared" si="7"/>
        <v>-0.689792667</v>
      </c>
      <c r="BA52" s="25">
        <f t="shared" si="8"/>
        <v>-0.7383740612</v>
      </c>
      <c r="BB52" s="23">
        <f t="shared" si="9"/>
        <v>-0.8466960488</v>
      </c>
      <c r="BC52" s="24">
        <f t="shared" si="10"/>
        <v>-0.662257406</v>
      </c>
      <c r="BD52" s="25">
        <f t="shared" si="11"/>
        <v>-0.697812486</v>
      </c>
      <c r="BE52" s="26">
        <f t="shared" ref="BE52:BF52" si="108">((S52-S$289)/S$290)</f>
        <v>0.1442274822</v>
      </c>
      <c r="BF52" s="26">
        <f t="shared" si="108"/>
        <v>-0.969352129</v>
      </c>
    </row>
    <row r="53">
      <c r="A53" s="16" t="s">
        <v>67</v>
      </c>
      <c r="B53" s="20">
        <f t="shared" si="3"/>
        <v>0.7397254628</v>
      </c>
      <c r="C53" s="16" t="s">
        <v>68</v>
      </c>
      <c r="D53" s="16" t="s">
        <v>69</v>
      </c>
      <c r="E53" s="16">
        <v>224.0</v>
      </c>
      <c r="F53" s="21" t="s">
        <v>102</v>
      </c>
      <c r="G53" s="16" t="s">
        <v>100</v>
      </c>
      <c r="H53" s="21" t="s">
        <v>105</v>
      </c>
      <c r="I53" s="21" t="s">
        <v>73</v>
      </c>
      <c r="J53" s="21" t="s">
        <v>97</v>
      </c>
      <c r="K53" s="21" t="s">
        <v>75</v>
      </c>
      <c r="L53" s="16" t="s">
        <v>90</v>
      </c>
      <c r="M53" s="21" t="s">
        <v>77</v>
      </c>
      <c r="N53" s="16" t="s">
        <v>91</v>
      </c>
      <c r="O53" s="16" t="s">
        <v>92</v>
      </c>
      <c r="P53" s="16" t="s">
        <v>80</v>
      </c>
      <c r="Q53" s="21" t="s">
        <v>93</v>
      </c>
      <c r="R53" s="21" t="s">
        <v>94</v>
      </c>
      <c r="S53" s="22">
        <v>203.737323284149</v>
      </c>
      <c r="T53" s="22">
        <v>337.384933471679</v>
      </c>
      <c r="U53" s="22">
        <v>2.52377869252041</v>
      </c>
      <c r="V53" s="22">
        <v>10.223203818009</v>
      </c>
      <c r="W53" s="22">
        <v>3.19737451950956</v>
      </c>
      <c r="X53" s="22">
        <v>0.690960412560161</v>
      </c>
      <c r="Y53" s="22">
        <v>0.0758363036553464</v>
      </c>
      <c r="Z53" s="22">
        <v>0.00859652045885766</v>
      </c>
      <c r="AA53" s="22">
        <v>0.0927174226284233</v>
      </c>
      <c r="AB53" s="22">
        <v>0.797290881343766</v>
      </c>
      <c r="AC53" s="22">
        <v>0.0765324276762243</v>
      </c>
      <c r="AD53" s="22">
        <v>0.0932881147840075</v>
      </c>
      <c r="AE53" s="22">
        <v>0.798014706944445</v>
      </c>
      <c r="AF53" s="22">
        <v>0.092872245132732</v>
      </c>
      <c r="AG53" s="22">
        <v>0.117760441628775</v>
      </c>
      <c r="AH53" s="22">
        <v>0.681112202609267</v>
      </c>
      <c r="AI53" s="22">
        <v>10.0</v>
      </c>
      <c r="AJ53" s="22">
        <v>2.5237786925204</v>
      </c>
      <c r="AK53" s="22">
        <v>10.223203818009</v>
      </c>
      <c r="AL53" s="22">
        <v>3.19737451950956</v>
      </c>
      <c r="AM53" s="22">
        <v>0.690863691620648</v>
      </c>
      <c r="AN53" s="22">
        <v>2.11739716570882</v>
      </c>
      <c r="AO53" s="22">
        <v>6.66141220974713</v>
      </c>
      <c r="AP53" s="22">
        <v>2.58097117569087</v>
      </c>
      <c r="AQ53" s="22">
        <v>0.798014706944445</v>
      </c>
      <c r="AR53" s="22">
        <v>2.56946544867222</v>
      </c>
      <c r="AS53" s="22">
        <v>10.6148173765812</v>
      </c>
      <c r="AT53" s="22">
        <v>3.2580388850628</v>
      </c>
      <c r="AU53" s="22">
        <v>0.681112202609267</v>
      </c>
      <c r="AV53" s="23">
        <f t="shared" ref="AV53:AW53" si="109">(AC53-AC$289)/AC$290</f>
        <v>-0.8616752301</v>
      </c>
      <c r="AW53" s="24">
        <f t="shared" si="109"/>
        <v>-0.8711821108</v>
      </c>
      <c r="AX53" s="24">
        <f t="shared" si="5"/>
        <v>-1.081666374</v>
      </c>
      <c r="AY53" s="25">
        <f t="shared" si="6"/>
        <v>-1.120956048</v>
      </c>
      <c r="AZ53" s="23">
        <f t="shared" si="7"/>
        <v>-0.9153747645</v>
      </c>
      <c r="BA53" s="25">
        <f t="shared" si="8"/>
        <v>-0.9026632113</v>
      </c>
      <c r="BB53" s="23">
        <f t="shared" si="9"/>
        <v>-0.6335361321</v>
      </c>
      <c r="BC53" s="24">
        <f t="shared" si="10"/>
        <v>-0.9079828423</v>
      </c>
      <c r="BD53" s="25">
        <f t="shared" si="11"/>
        <v>-0.7979574297</v>
      </c>
      <c r="BE53" s="26">
        <f t="shared" ref="BE53:BF53" si="110">((S53-S$289)/S$290)</f>
        <v>-0.6802640672</v>
      </c>
      <c r="BF53" s="26">
        <f t="shared" si="110"/>
        <v>0.6362781192</v>
      </c>
    </row>
    <row r="54">
      <c r="A54" s="16" t="s">
        <v>67</v>
      </c>
      <c r="B54" s="20">
        <f t="shared" si="3"/>
        <v>0.7302692446</v>
      </c>
      <c r="C54" s="16" t="s">
        <v>68</v>
      </c>
      <c r="D54" s="16" t="s">
        <v>69</v>
      </c>
      <c r="E54" s="16">
        <v>82.0</v>
      </c>
      <c r="F54" s="21" t="s">
        <v>70</v>
      </c>
      <c r="G54" s="16" t="s">
        <v>100</v>
      </c>
      <c r="H54" s="21" t="s">
        <v>101</v>
      </c>
      <c r="I54" s="21" t="s">
        <v>73</v>
      </c>
      <c r="J54" s="21" t="s">
        <v>83</v>
      </c>
      <c r="K54" s="21" t="s">
        <v>75</v>
      </c>
      <c r="L54" s="16" t="s">
        <v>84</v>
      </c>
      <c r="M54" s="21" t="s">
        <v>85</v>
      </c>
      <c r="N54" s="16" t="s">
        <v>95</v>
      </c>
      <c r="O54" s="16" t="s">
        <v>86</v>
      </c>
      <c r="P54" s="16" t="s">
        <v>80</v>
      </c>
      <c r="Q54" s="21" t="s">
        <v>98</v>
      </c>
      <c r="S54" s="22">
        <v>345.850574493408</v>
      </c>
      <c r="T54" s="22">
        <v>127.933972597122</v>
      </c>
      <c r="U54" s="22">
        <v>2.51315845614839</v>
      </c>
      <c r="V54" s="22">
        <v>10.2150715880857</v>
      </c>
      <c r="W54" s="22">
        <v>3.19610256219754</v>
      </c>
      <c r="X54" s="22">
        <v>0.697877316413701</v>
      </c>
      <c r="Y54" s="22">
        <v>0.0897792623093781</v>
      </c>
      <c r="Z54" s="22">
        <v>0.0118496417855307</v>
      </c>
      <c r="AA54" s="22">
        <v>0.108856059939402</v>
      </c>
      <c r="AB54" s="22">
        <v>0.743365436301465</v>
      </c>
      <c r="AC54" s="22">
        <v>0.0903522120981389</v>
      </c>
      <c r="AD54" s="22">
        <v>0.109210259038579</v>
      </c>
      <c r="AE54" s="22">
        <v>0.745963150476614</v>
      </c>
      <c r="AF54" s="22">
        <v>0.0982657286753649</v>
      </c>
      <c r="AG54" s="22">
        <v>0.124728236021425</v>
      </c>
      <c r="AH54" s="22">
        <v>0.671385197623064</v>
      </c>
      <c r="AI54" s="22">
        <v>10.0</v>
      </c>
      <c r="AJ54" s="22">
        <v>2.51315845614839</v>
      </c>
      <c r="AK54" s="22">
        <v>10.2150715880857</v>
      </c>
      <c r="AL54" s="22">
        <v>3.19610256219754</v>
      </c>
      <c r="AM54" s="22">
        <v>0.697773789052121</v>
      </c>
      <c r="AN54" s="22">
        <v>2.41692167362521</v>
      </c>
      <c r="AO54" s="22">
        <v>8.53442855606273</v>
      </c>
      <c r="AP54" s="22">
        <v>2.921374429282</v>
      </c>
      <c r="AQ54" s="22">
        <v>0.745963150476614</v>
      </c>
      <c r="AR54" s="22">
        <v>2.62860824206601</v>
      </c>
      <c r="AS54" s="22">
        <v>11.132100882861</v>
      </c>
      <c r="AT54" s="22">
        <v>3.33648031357312</v>
      </c>
      <c r="AU54" s="22">
        <v>0.671385197623064</v>
      </c>
      <c r="AV54" s="23">
        <f t="shared" ref="AV54:AW54" si="111">(AC54-AC$289)/AC$290</f>
        <v>-0.3219998923</v>
      </c>
      <c r="AW54" s="24">
        <f t="shared" si="111"/>
        <v>-0.3577720929</v>
      </c>
      <c r="AX54" s="24">
        <f t="shared" si="5"/>
        <v>-0.9805785632</v>
      </c>
      <c r="AY54" s="25">
        <f t="shared" si="6"/>
        <v>-1.00669396</v>
      </c>
      <c r="AZ54" s="23">
        <f t="shared" si="7"/>
        <v>-0.9349716714</v>
      </c>
      <c r="BA54" s="25">
        <f t="shared" si="8"/>
        <v>-0.9045991885</v>
      </c>
      <c r="BB54" s="23">
        <f t="shared" si="9"/>
        <v>-0.4014155957</v>
      </c>
      <c r="BC54" s="24">
        <f t="shared" si="10"/>
        <v>-0.8588346815</v>
      </c>
      <c r="BD54" s="25">
        <f t="shared" si="11"/>
        <v>-0.8389430216</v>
      </c>
      <c r="BE54" s="26">
        <f t="shared" ref="BE54:BF54" si="112">((S54-S$289)/S$290)</f>
        <v>-0.4074141929</v>
      </c>
      <c r="BF54" s="26">
        <f t="shared" si="112"/>
        <v>-1.019738831</v>
      </c>
    </row>
    <row r="55">
      <c r="A55" s="16" t="s">
        <v>82</v>
      </c>
      <c r="B55" s="20">
        <f t="shared" si="3"/>
        <v>0.7095170236</v>
      </c>
      <c r="C55" s="16" t="s">
        <v>68</v>
      </c>
      <c r="D55" s="16" t="s">
        <v>69</v>
      </c>
      <c r="E55" s="16">
        <v>119.0</v>
      </c>
      <c r="F55" s="21" t="s">
        <v>70</v>
      </c>
      <c r="G55" s="16" t="s">
        <v>100</v>
      </c>
      <c r="H55" s="21" t="s">
        <v>101</v>
      </c>
      <c r="I55" s="21" t="s">
        <v>73</v>
      </c>
      <c r="J55" s="21" t="s">
        <v>74</v>
      </c>
      <c r="K55" s="21" t="s">
        <v>75</v>
      </c>
      <c r="L55" s="16" t="s">
        <v>90</v>
      </c>
      <c r="M55" s="21" t="s">
        <v>85</v>
      </c>
      <c r="N55" s="16" t="s">
        <v>78</v>
      </c>
      <c r="O55" s="16" t="s">
        <v>92</v>
      </c>
      <c r="P55" s="16" t="s">
        <v>80</v>
      </c>
      <c r="Q55" s="21" t="s">
        <v>94</v>
      </c>
      <c r="S55" s="22">
        <v>103.892092704772</v>
      </c>
      <c r="T55" s="22">
        <v>126.912115335464</v>
      </c>
      <c r="U55" s="22">
        <v>2.57606670265865</v>
      </c>
      <c r="V55" s="22">
        <v>10.9330584994831</v>
      </c>
      <c r="W55" s="22">
        <v>3.30651757888615</v>
      </c>
      <c r="X55" s="22">
        <v>0.676622650725497</v>
      </c>
      <c r="Y55" s="22">
        <v>0.0739696811341713</v>
      </c>
      <c r="Z55" s="22">
        <v>0.00867394032087224</v>
      </c>
      <c r="AA55" s="22">
        <v>0.0931339912216385</v>
      </c>
      <c r="AB55" s="22">
        <v>0.812143444495316</v>
      </c>
      <c r="AC55" s="22">
        <v>0.0744412253373133</v>
      </c>
      <c r="AD55" s="22">
        <v>0.0933763223548609</v>
      </c>
      <c r="AE55" s="22">
        <v>0.814286543140403</v>
      </c>
      <c r="AF55" s="22">
        <v>0.111315114780131</v>
      </c>
      <c r="AG55" s="22">
        <v>0.141509208960137</v>
      </c>
      <c r="AH55" s="22">
        <v>0.577013050648712</v>
      </c>
      <c r="AI55" s="22">
        <v>10.0</v>
      </c>
      <c r="AJ55" s="22">
        <v>2.57606670265866</v>
      </c>
      <c r="AK55" s="22">
        <v>10.9330584994831</v>
      </c>
      <c r="AL55" s="22">
        <v>3.30651757888615</v>
      </c>
      <c r="AM55" s="22">
        <v>0.676531210194926</v>
      </c>
      <c r="AN55" s="22">
        <v>1.99130277777313</v>
      </c>
      <c r="AO55" s="22">
        <v>6.23908788209781</v>
      </c>
      <c r="AP55" s="22">
        <v>2.49781662299253</v>
      </c>
      <c r="AQ55" s="22">
        <v>0.814286543140403</v>
      </c>
      <c r="AR55" s="22">
        <v>2.97767932036852</v>
      </c>
      <c r="AS55" s="22">
        <v>14.3290361792985</v>
      </c>
      <c r="AT55" s="22">
        <v>3.78537133968367</v>
      </c>
      <c r="AU55" s="22">
        <v>0.577013050648712</v>
      </c>
      <c r="AV55" s="23">
        <f t="shared" ref="AV55:AW55" si="113">(AC55-AC$289)/AC$290</f>
        <v>-0.9433386117</v>
      </c>
      <c r="AW55" s="24">
        <f t="shared" si="113"/>
        <v>-0.8683378551</v>
      </c>
      <c r="AX55" s="24">
        <f t="shared" si="5"/>
        <v>-0.3839406812</v>
      </c>
      <c r="AY55" s="25">
        <f t="shared" si="6"/>
        <v>-0.3528146668</v>
      </c>
      <c r="AZ55" s="23">
        <f t="shared" si="7"/>
        <v>-0.8188907287</v>
      </c>
      <c r="BA55" s="25">
        <f t="shared" si="8"/>
        <v>-0.7365424803</v>
      </c>
      <c r="BB55" s="23">
        <f t="shared" si="9"/>
        <v>-0.706099329</v>
      </c>
      <c r="BC55" s="24">
        <f t="shared" si="10"/>
        <v>-0.3819954624</v>
      </c>
      <c r="BD55" s="25">
        <f t="shared" si="11"/>
        <v>-0.7129477406</v>
      </c>
      <c r="BE55" s="26">
        <f t="shared" ref="BE55:BF55" si="114">((S55-S$289)/S$290)</f>
        <v>-0.8719615929</v>
      </c>
      <c r="BF55" s="26">
        <f t="shared" si="114"/>
        <v>-1.027818111</v>
      </c>
    </row>
    <row r="56">
      <c r="A56" s="16" t="s">
        <v>82</v>
      </c>
      <c r="B56" s="20">
        <f t="shared" si="3"/>
        <v>0.7081882198</v>
      </c>
      <c r="C56" s="16" t="s">
        <v>68</v>
      </c>
      <c r="D56" s="16" t="s">
        <v>69</v>
      </c>
      <c r="E56" s="16">
        <v>133.0</v>
      </c>
      <c r="F56" s="21" t="s">
        <v>70</v>
      </c>
      <c r="G56" s="16" t="s">
        <v>100</v>
      </c>
      <c r="H56" s="21" t="s">
        <v>101</v>
      </c>
      <c r="I56" s="21" t="s">
        <v>73</v>
      </c>
      <c r="J56" s="21" t="s">
        <v>83</v>
      </c>
      <c r="K56" s="21" t="s">
        <v>75</v>
      </c>
      <c r="L56" s="16" t="s">
        <v>90</v>
      </c>
      <c r="M56" s="21" t="s">
        <v>77</v>
      </c>
      <c r="N56" s="16" t="s">
        <v>78</v>
      </c>
      <c r="O56" s="16" t="s">
        <v>92</v>
      </c>
      <c r="P56" s="16" t="s">
        <v>80</v>
      </c>
      <c r="Q56" s="21" t="s">
        <v>94</v>
      </c>
      <c r="R56" s="21" t="s">
        <v>94</v>
      </c>
      <c r="S56" s="22">
        <v>110.183129549026</v>
      </c>
      <c r="T56" s="22">
        <v>128.673923492431</v>
      </c>
      <c r="U56" s="22">
        <v>2.54129027554081</v>
      </c>
      <c r="V56" s="22">
        <v>10.8245750516065</v>
      </c>
      <c r="W56" s="22">
        <v>3.29007219550066</v>
      </c>
      <c r="X56" s="22">
        <v>0.679841976701998</v>
      </c>
      <c r="Y56" s="22">
        <v>0.0858355984215418</v>
      </c>
      <c r="Z56" s="22">
        <v>0.0117008595405671</v>
      </c>
      <c r="AA56" s="22">
        <v>0.108170511418626</v>
      </c>
      <c r="AB56" s="22">
        <v>0.746587699658737</v>
      </c>
      <c r="AC56" s="22">
        <v>0.0864894357872687</v>
      </c>
      <c r="AD56" s="22">
        <v>0.108571947253279</v>
      </c>
      <c r="AE56" s="22">
        <v>0.74892405974806</v>
      </c>
      <c r="AF56" s="22">
        <v>0.101997745017028</v>
      </c>
      <c r="AG56" s="22">
        <v>0.130791506977436</v>
      </c>
      <c r="AH56" s="22">
        <v>0.638659493467903</v>
      </c>
      <c r="AI56" s="22">
        <v>10.0</v>
      </c>
      <c r="AJ56" s="22">
        <v>2.54129027554082</v>
      </c>
      <c r="AK56" s="22">
        <v>10.8245750516065</v>
      </c>
      <c r="AL56" s="22">
        <v>3.29007219550066</v>
      </c>
      <c r="AM56" s="22">
        <v>0.679740834436869</v>
      </c>
      <c r="AN56" s="22">
        <v>2.31359240730944</v>
      </c>
      <c r="AO56" s="22">
        <v>8.43495610281214</v>
      </c>
      <c r="AP56" s="22">
        <v>2.90429958902523</v>
      </c>
      <c r="AQ56" s="22">
        <v>0.74892405974806</v>
      </c>
      <c r="AR56" s="22">
        <v>2.7284396792055</v>
      </c>
      <c r="AS56" s="22">
        <v>12.2407114429539</v>
      </c>
      <c r="AT56" s="22">
        <v>3.49867281164642</v>
      </c>
      <c r="AU56" s="22">
        <v>0.638659493467903</v>
      </c>
      <c r="AV56" s="23">
        <f t="shared" ref="AV56:AW56" si="115">(AC56-AC$289)/AC$290</f>
        <v>-0.4728448728</v>
      </c>
      <c r="AW56" s="24">
        <f t="shared" si="115"/>
        <v>-0.3783544755</v>
      </c>
      <c r="AX56" s="24">
        <f t="shared" si="5"/>
        <v>-0.8099450707</v>
      </c>
      <c r="AY56" s="25">
        <f t="shared" si="6"/>
        <v>-0.77043547</v>
      </c>
      <c r="AZ56" s="23">
        <f t="shared" si="7"/>
        <v>-0.8830616549</v>
      </c>
      <c r="BA56" s="25">
        <f t="shared" si="8"/>
        <v>-0.7615731064</v>
      </c>
      <c r="BB56" s="23">
        <f t="shared" si="9"/>
        <v>-0.4146195783</v>
      </c>
      <c r="BC56" s="24">
        <f t="shared" si="10"/>
        <v>-0.6934797572</v>
      </c>
      <c r="BD56" s="25">
        <f t="shared" si="11"/>
        <v>-0.7319848599</v>
      </c>
      <c r="BE56" s="26">
        <f t="shared" ref="BE56:BF56" si="116">((S56-S$289)/S$290)</f>
        <v>-0.8598831372</v>
      </c>
      <c r="BF56" s="26">
        <f t="shared" si="116"/>
        <v>-1.013888434</v>
      </c>
    </row>
    <row r="57">
      <c r="A57" s="16" t="s">
        <v>82</v>
      </c>
      <c r="B57" s="20">
        <f t="shared" si="3"/>
        <v>0.7035739457</v>
      </c>
      <c r="C57" s="16" t="s">
        <v>68</v>
      </c>
      <c r="D57" s="16" t="s">
        <v>69</v>
      </c>
      <c r="E57" s="16">
        <v>57.0</v>
      </c>
      <c r="F57" s="21" t="s">
        <v>70</v>
      </c>
      <c r="G57" s="16" t="s">
        <v>71</v>
      </c>
      <c r="H57" s="21" t="s">
        <v>72</v>
      </c>
      <c r="I57" s="21" t="s">
        <v>73</v>
      </c>
      <c r="J57" s="21" t="s">
        <v>74</v>
      </c>
      <c r="K57" s="21" t="s">
        <v>75</v>
      </c>
      <c r="L57" s="16" t="s">
        <v>76</v>
      </c>
      <c r="M57" s="21" t="s">
        <v>77</v>
      </c>
      <c r="N57" s="16" t="s">
        <v>78</v>
      </c>
      <c r="O57" s="16" t="s">
        <v>92</v>
      </c>
      <c r="P57" s="16" t="s">
        <v>80</v>
      </c>
      <c r="Q57" s="21" t="s">
        <v>94</v>
      </c>
      <c r="R57" s="21" t="s">
        <v>94</v>
      </c>
      <c r="S57" s="22">
        <v>180.667607545852</v>
      </c>
      <c r="T57" s="22">
        <v>132.197141170501</v>
      </c>
      <c r="U57" s="22">
        <v>2.63856815429596</v>
      </c>
      <c r="V57" s="22">
        <v>11.3663856326185</v>
      </c>
      <c r="W57" s="22">
        <v>3.37140707014423</v>
      </c>
      <c r="X57" s="22">
        <v>0.664838570142967</v>
      </c>
      <c r="Y57" s="22">
        <v>0.0832445966031329</v>
      </c>
      <c r="Z57" s="22">
        <v>0.0109477929458944</v>
      </c>
      <c r="AA57" s="22">
        <v>0.104631701438399</v>
      </c>
      <c r="AB57" s="22">
        <v>0.766159164366658</v>
      </c>
      <c r="AC57" s="22">
        <v>0.0835071507527391</v>
      </c>
      <c r="AD57" s="22">
        <v>0.104735013884103</v>
      </c>
      <c r="AE57" s="22">
        <v>0.767560816155481</v>
      </c>
      <c r="AF57" s="22">
        <v>0.100397023405413</v>
      </c>
      <c r="AG57" s="22">
        <v>0.129299386233025</v>
      </c>
      <c r="AH57" s="22">
        <v>0.648550364760481</v>
      </c>
      <c r="AI57" s="22">
        <v>10.0</v>
      </c>
      <c r="AJ57" s="22">
        <v>2.63856815429597</v>
      </c>
      <c r="AK57" s="22">
        <v>11.3663856326184</v>
      </c>
      <c r="AL57" s="22">
        <v>3.37140707014422</v>
      </c>
      <c r="AM57" s="22">
        <v>0.664756670841887</v>
      </c>
      <c r="AN57" s="22">
        <v>2.23381628263577</v>
      </c>
      <c r="AO57" s="22">
        <v>7.8493078408244</v>
      </c>
      <c r="AP57" s="22">
        <v>2.80166162139977</v>
      </c>
      <c r="AQ57" s="22">
        <v>0.767560816155481</v>
      </c>
      <c r="AR57" s="22">
        <v>2.68562037609482</v>
      </c>
      <c r="AS57" s="22">
        <v>11.9630109267146</v>
      </c>
      <c r="AT57" s="22">
        <v>3.45875858173342</v>
      </c>
      <c r="AU57" s="22">
        <v>0.648550364760481</v>
      </c>
      <c r="AV57" s="23">
        <f t="shared" ref="AV57:AW57" si="117">(AC57-AC$289)/AC$290</f>
        <v>-0.5893058561</v>
      </c>
      <c r="AW57" s="24">
        <f t="shared" si="117"/>
        <v>-0.5020765068</v>
      </c>
      <c r="AX57" s="24">
        <f t="shared" si="5"/>
        <v>-0.8831325099</v>
      </c>
      <c r="AY57" s="25">
        <f t="shared" si="6"/>
        <v>-0.8285767268</v>
      </c>
      <c r="AZ57" s="23">
        <f t="shared" si="7"/>
        <v>-0.7035604211</v>
      </c>
      <c r="BA57" s="25">
        <f t="shared" si="8"/>
        <v>-0.6377777052</v>
      </c>
      <c r="BB57" s="23">
        <f t="shared" si="9"/>
        <v>-0.4977289834</v>
      </c>
      <c r="BC57" s="24">
        <f t="shared" si="10"/>
        <v>-0.7434558942</v>
      </c>
      <c r="BD57" s="25">
        <f t="shared" si="11"/>
        <v>-0.6431098737</v>
      </c>
      <c r="BE57" s="26">
        <f t="shared" ref="BE57:BF57" si="118">((S57-S$289)/S$290)</f>
        <v>-0.7245566929</v>
      </c>
      <c r="BF57" s="26">
        <f t="shared" si="118"/>
        <v>-0.9860322327</v>
      </c>
    </row>
    <row r="58">
      <c r="A58" s="16" t="s">
        <v>67</v>
      </c>
      <c r="B58" s="20">
        <f t="shared" si="3"/>
        <v>0.6735254309</v>
      </c>
      <c r="C58" s="16" t="s">
        <v>68</v>
      </c>
      <c r="D58" s="16" t="s">
        <v>69</v>
      </c>
      <c r="E58" s="16">
        <v>85.0</v>
      </c>
      <c r="F58" s="21" t="s">
        <v>70</v>
      </c>
      <c r="G58" s="16" t="s">
        <v>100</v>
      </c>
      <c r="H58" s="21" t="s">
        <v>101</v>
      </c>
      <c r="I58" s="21" t="s">
        <v>88</v>
      </c>
      <c r="J58" s="21" t="s">
        <v>74</v>
      </c>
      <c r="K58" s="21" t="s">
        <v>75</v>
      </c>
      <c r="L58" s="16" t="s">
        <v>84</v>
      </c>
      <c r="M58" s="21" t="s">
        <v>77</v>
      </c>
      <c r="N58" s="16" t="s">
        <v>78</v>
      </c>
      <c r="O58" s="16" t="s">
        <v>79</v>
      </c>
      <c r="P58" s="16" t="s">
        <v>80</v>
      </c>
      <c r="Q58" s="21" t="s">
        <v>89</v>
      </c>
      <c r="R58" s="21" t="s">
        <v>94</v>
      </c>
      <c r="S58" s="22">
        <v>488.011645793914</v>
      </c>
      <c r="T58" s="22">
        <v>141.164709329605</v>
      </c>
      <c r="U58" s="22">
        <v>2.50235444486275</v>
      </c>
      <c r="V58" s="22">
        <v>9.88250587789677</v>
      </c>
      <c r="W58" s="22">
        <v>3.14364531680925</v>
      </c>
      <c r="X58" s="22">
        <v>0.703847180458426</v>
      </c>
      <c r="Y58" s="22">
        <v>0.0830896675353541</v>
      </c>
      <c r="Z58" s="22">
        <v>0.0103537861331436</v>
      </c>
      <c r="AA58" s="22">
        <v>0.101753555874689</v>
      </c>
      <c r="AB58" s="22">
        <v>0.772928875262433</v>
      </c>
      <c r="AC58" s="22">
        <v>0.0836158618302352</v>
      </c>
      <c r="AD58" s="22">
        <v>0.102056529183004</v>
      </c>
      <c r="AE58" s="22">
        <v>0.775699381435253</v>
      </c>
      <c r="AF58" s="22">
        <v>0.106838791979377</v>
      </c>
      <c r="AG58" s="22">
        <v>0.1335600257192</v>
      </c>
      <c r="AH58" s="22">
        <v>0.617508587187456</v>
      </c>
      <c r="AI58" s="22">
        <v>10.0</v>
      </c>
      <c r="AJ58" s="22">
        <v>2.50235444486275</v>
      </c>
      <c r="AK58" s="22">
        <v>9.88250587789677</v>
      </c>
      <c r="AL58" s="22">
        <v>3.14364531680925</v>
      </c>
      <c r="AM58" s="22">
        <v>0.703773205510647</v>
      </c>
      <c r="AN58" s="22">
        <v>2.23672430395879</v>
      </c>
      <c r="AO58" s="22">
        <v>7.45296636997153</v>
      </c>
      <c r="AP58" s="22">
        <v>2.73001215564538</v>
      </c>
      <c r="AQ58" s="22">
        <v>0.775699381435253</v>
      </c>
      <c r="AR58" s="22">
        <v>2.85793768544833</v>
      </c>
      <c r="AS58" s="22">
        <v>12.7644045688955</v>
      </c>
      <c r="AT58" s="22">
        <v>3.57273068798861</v>
      </c>
      <c r="AU58" s="22">
        <v>0.617508587187456</v>
      </c>
      <c r="AV58" s="23">
        <f t="shared" ref="AV58:AW58" si="119">(AC58-AC$289)/AC$290</f>
        <v>-0.5850605882</v>
      </c>
      <c r="AW58" s="24">
        <f t="shared" si="119"/>
        <v>-0.5884443262</v>
      </c>
      <c r="AX58" s="24">
        <f t="shared" si="5"/>
        <v>-0.5886050029</v>
      </c>
      <c r="AY58" s="25">
        <f t="shared" si="6"/>
        <v>-0.6625587048</v>
      </c>
      <c r="AZ58" s="23">
        <f t="shared" si="7"/>
        <v>-0.9549076875</v>
      </c>
      <c r="BA58" s="25">
        <f t="shared" si="8"/>
        <v>-0.9844415166</v>
      </c>
      <c r="BB58" s="23">
        <f t="shared" si="9"/>
        <v>-0.5340223869</v>
      </c>
      <c r="BC58" s="24">
        <f t="shared" si="10"/>
        <v>-0.5866094363</v>
      </c>
      <c r="BD58" s="25">
        <f t="shared" si="11"/>
        <v>-0.8745271269</v>
      </c>
      <c r="BE58" s="26">
        <f t="shared" ref="BE58:BF58" si="120">((S58-S$289)/S$290)</f>
        <v>-0.1344725065</v>
      </c>
      <c r="BF58" s="26">
        <f t="shared" si="120"/>
        <v>-0.9151304579</v>
      </c>
    </row>
    <row r="59">
      <c r="A59" s="16" t="s">
        <v>67</v>
      </c>
      <c r="B59" s="20">
        <f t="shared" si="3"/>
        <v>0.6712337388</v>
      </c>
      <c r="C59" s="16" t="s">
        <v>68</v>
      </c>
      <c r="D59" s="16" t="s">
        <v>69</v>
      </c>
      <c r="E59" s="16">
        <v>18.0</v>
      </c>
      <c r="F59" s="21" t="s">
        <v>70</v>
      </c>
      <c r="G59" s="16" t="s">
        <v>71</v>
      </c>
      <c r="H59" s="21" t="s">
        <v>72</v>
      </c>
      <c r="I59" s="21" t="s">
        <v>88</v>
      </c>
      <c r="J59" s="21" t="s">
        <v>97</v>
      </c>
      <c r="K59" s="21" t="s">
        <v>75</v>
      </c>
      <c r="L59" s="16" t="s">
        <v>76</v>
      </c>
      <c r="M59" s="21" t="s">
        <v>77</v>
      </c>
      <c r="N59" s="16" t="s">
        <v>78</v>
      </c>
      <c r="O59" s="16" t="s">
        <v>92</v>
      </c>
      <c r="P59" s="16" t="s">
        <v>80</v>
      </c>
      <c r="Q59" s="21" t="s">
        <v>104</v>
      </c>
      <c r="R59" s="21" t="s">
        <v>94</v>
      </c>
      <c r="S59" s="22">
        <v>134.419818639755</v>
      </c>
      <c r="T59" s="22">
        <v>138.636174201965</v>
      </c>
      <c r="U59" s="22">
        <v>2.76468823614572</v>
      </c>
      <c r="V59" s="22">
        <v>12.9132836191501</v>
      </c>
      <c r="W59" s="22">
        <v>3.59350575610365</v>
      </c>
      <c r="X59" s="22">
        <v>0.614696095448704</v>
      </c>
      <c r="Y59" s="22">
        <v>0.0824528215739642</v>
      </c>
      <c r="Z59" s="22">
        <v>0.0110471781078435</v>
      </c>
      <c r="AA59" s="22">
        <v>0.105105556978893</v>
      </c>
      <c r="AB59" s="22">
        <v>0.761358629216346</v>
      </c>
      <c r="AC59" s="22">
        <v>0.0829937073611424</v>
      </c>
      <c r="AD59" s="22">
        <v>0.105539409298822</v>
      </c>
      <c r="AE59" s="22">
        <v>0.761491434246426</v>
      </c>
      <c r="AF59" s="22">
        <v>0.0938635669762185</v>
      </c>
      <c r="AG59" s="22">
        <v>0.125812681767333</v>
      </c>
      <c r="AH59" s="22">
        <v>0.662941214370514</v>
      </c>
      <c r="AI59" s="22">
        <v>10.0</v>
      </c>
      <c r="AJ59" s="22">
        <v>2.76468823614572</v>
      </c>
      <c r="AK59" s="22">
        <v>12.9132836191501</v>
      </c>
      <c r="AL59" s="22">
        <v>3.59350575610365</v>
      </c>
      <c r="AM59" s="22">
        <v>0.61464927013974</v>
      </c>
      <c r="AN59" s="22">
        <v>2.22008167191056</v>
      </c>
      <c r="AO59" s="22">
        <v>7.97034078821793</v>
      </c>
      <c r="AP59" s="22">
        <v>2.82317919874349</v>
      </c>
      <c r="AQ59" s="22">
        <v>0.761491434246426</v>
      </c>
      <c r="AR59" s="22">
        <v>2.51085041661384</v>
      </c>
      <c r="AS59" s="22">
        <v>11.3265178062216</v>
      </c>
      <c r="AT59" s="22">
        <v>3.36548923727615</v>
      </c>
      <c r="AU59" s="22">
        <v>0.662941214370514</v>
      </c>
      <c r="AV59" s="23">
        <f t="shared" ref="AV59:AW59" si="121">(AC59-AC$289)/AC$290</f>
        <v>-0.6093562945</v>
      </c>
      <c r="AW59" s="24">
        <f t="shared" si="121"/>
        <v>-0.4761387526</v>
      </c>
      <c r="AX59" s="24">
        <f t="shared" si="5"/>
        <v>-1.181852126</v>
      </c>
      <c r="AY59" s="25">
        <f t="shared" si="6"/>
        <v>-0.9644379704</v>
      </c>
      <c r="AZ59" s="23">
        <f t="shared" si="7"/>
        <v>-0.4708383408</v>
      </c>
      <c r="BA59" s="25">
        <f t="shared" si="8"/>
        <v>-0.2997333415</v>
      </c>
      <c r="BB59" s="23">
        <f t="shared" si="9"/>
        <v>-0.4706629689</v>
      </c>
      <c r="BC59" s="24">
        <f t="shared" si="10"/>
        <v>-0.8161693135</v>
      </c>
      <c r="BD59" s="25">
        <f t="shared" si="11"/>
        <v>-0.3459097985</v>
      </c>
      <c r="BE59" s="26">
        <f t="shared" ref="BE59:BF59" si="122">((S59-S$289)/S$290)</f>
        <v>-0.8133499848</v>
      </c>
      <c r="BF59" s="26">
        <f t="shared" si="122"/>
        <v>-0.9351222355</v>
      </c>
    </row>
    <row r="60">
      <c r="A60" s="16" t="s">
        <v>82</v>
      </c>
      <c r="B60" s="20">
        <f t="shared" si="3"/>
        <v>0.6678788899</v>
      </c>
      <c r="C60" s="16" t="s">
        <v>68</v>
      </c>
      <c r="D60" s="16" t="s">
        <v>69</v>
      </c>
      <c r="E60" s="16">
        <v>48.0</v>
      </c>
      <c r="F60" s="21" t="s">
        <v>70</v>
      </c>
      <c r="G60" s="16" t="s">
        <v>71</v>
      </c>
      <c r="H60" s="21" t="s">
        <v>72</v>
      </c>
      <c r="I60" s="21" t="s">
        <v>88</v>
      </c>
      <c r="J60" s="21" t="s">
        <v>83</v>
      </c>
      <c r="K60" s="21" t="s">
        <v>75</v>
      </c>
      <c r="L60" s="16" t="s">
        <v>84</v>
      </c>
      <c r="M60" s="21" t="s">
        <v>85</v>
      </c>
      <c r="N60" s="16" t="s">
        <v>95</v>
      </c>
      <c r="O60" s="16" t="s">
        <v>79</v>
      </c>
      <c r="P60" s="16" t="s">
        <v>80</v>
      </c>
      <c r="Q60" s="21" t="s">
        <v>98</v>
      </c>
      <c r="S60" s="22">
        <v>322.445186853408</v>
      </c>
      <c r="T60" s="22">
        <v>128.158845901489</v>
      </c>
      <c r="U60" s="22">
        <v>2.51542865899653</v>
      </c>
      <c r="V60" s="22">
        <v>9.81816924388849</v>
      </c>
      <c r="W60" s="22">
        <v>3.13339580070703</v>
      </c>
      <c r="X60" s="22">
        <v>0.70702991780102</v>
      </c>
      <c r="Y60" s="22">
        <v>0.109948714917355</v>
      </c>
      <c r="Z60" s="22">
        <v>0.018360537138691</v>
      </c>
      <c r="AA60" s="22">
        <v>0.135501059548222</v>
      </c>
      <c r="AB60" s="22">
        <v>0.603375295634052</v>
      </c>
      <c r="AC60" s="22">
        <v>0.110406395373101</v>
      </c>
      <c r="AD60" s="22">
        <v>0.135781041329917</v>
      </c>
      <c r="AE60" s="22">
        <v>0.605222008946455</v>
      </c>
      <c r="AF60" s="22">
        <v>0.0876962020336162</v>
      </c>
      <c r="AG60" s="22">
        <v>0.110377236237865</v>
      </c>
      <c r="AH60" s="22">
        <v>0.740572599894173</v>
      </c>
      <c r="AI60" s="22">
        <v>10.0</v>
      </c>
      <c r="AJ60" s="22">
        <v>2.51542865899654</v>
      </c>
      <c r="AK60" s="22">
        <v>9.81816924388849</v>
      </c>
      <c r="AL60" s="22">
        <v>3.13339580070703</v>
      </c>
      <c r="AM60" s="22">
        <v>0.707011880509367</v>
      </c>
      <c r="AN60" s="22">
        <v>2.95337107623046</v>
      </c>
      <c r="AO60" s="22">
        <v>13.1924617233067</v>
      </c>
      <c r="AP60" s="22">
        <v>3.6321428555753</v>
      </c>
      <c r="AQ60" s="22">
        <v>0.605222008946454</v>
      </c>
      <c r="AR60" s="22">
        <v>2.34587340439924</v>
      </c>
      <c r="AS60" s="22">
        <v>8.71779402288151</v>
      </c>
      <c r="AT60" s="22">
        <v>2.95259106936289</v>
      </c>
      <c r="AU60" s="22">
        <v>0.740572599894173</v>
      </c>
      <c r="AV60" s="23">
        <f t="shared" ref="AV60:AW60" si="123">(AC60-AC$289)/AC$290</f>
        <v>0.4611344752</v>
      </c>
      <c r="AW60" s="24">
        <f t="shared" si="123"/>
        <v>0.4990035772</v>
      </c>
      <c r="AX60" s="24">
        <f t="shared" si="5"/>
        <v>-1.463833479</v>
      </c>
      <c r="AY60" s="25">
        <f t="shared" si="6"/>
        <v>-1.565888092</v>
      </c>
      <c r="AZ60" s="23">
        <f t="shared" si="7"/>
        <v>-0.9307825976</v>
      </c>
      <c r="BA60" s="25">
        <f t="shared" si="8"/>
        <v>-1.000041749</v>
      </c>
      <c r="BB60" s="23">
        <f t="shared" si="9"/>
        <v>0.2262103867</v>
      </c>
      <c r="BC60" s="24">
        <f t="shared" si="10"/>
        <v>-1.208421587</v>
      </c>
      <c r="BD60" s="25">
        <f t="shared" si="11"/>
        <v>-0.8937365538</v>
      </c>
      <c r="BE60" s="26">
        <f t="shared" ref="BE60:BF60" si="124">((S60-S$289)/S$290)</f>
        <v>-0.4523512907</v>
      </c>
      <c r="BF60" s="26">
        <f t="shared" si="124"/>
        <v>-1.017960878</v>
      </c>
    </row>
    <row r="61">
      <c r="A61" s="16" t="s">
        <v>67</v>
      </c>
      <c r="B61" s="20">
        <f t="shared" si="3"/>
        <v>0.6575930648</v>
      </c>
      <c r="C61" s="16" t="s">
        <v>68</v>
      </c>
      <c r="D61" s="16" t="s">
        <v>69</v>
      </c>
      <c r="E61" s="16">
        <v>167.0</v>
      </c>
      <c r="F61" s="21" t="s">
        <v>102</v>
      </c>
      <c r="G61" s="16" t="s">
        <v>71</v>
      </c>
      <c r="H61" s="21" t="s">
        <v>103</v>
      </c>
      <c r="I61" s="21" t="s">
        <v>88</v>
      </c>
      <c r="J61" s="21" t="s">
        <v>97</v>
      </c>
      <c r="K61" s="21" t="s">
        <v>75</v>
      </c>
      <c r="L61" s="16" t="s">
        <v>84</v>
      </c>
      <c r="M61" s="21" t="s">
        <v>77</v>
      </c>
      <c r="N61" s="16" t="s">
        <v>95</v>
      </c>
      <c r="O61" s="16" t="s">
        <v>92</v>
      </c>
      <c r="P61" s="16" t="s">
        <v>80</v>
      </c>
      <c r="Q61" s="21" t="s">
        <v>98</v>
      </c>
      <c r="R61" s="21" t="s">
        <v>87</v>
      </c>
      <c r="S61" s="22">
        <v>1345.13669657707</v>
      </c>
      <c r="T61" s="22">
        <v>465.061045646667</v>
      </c>
      <c r="U61" s="22">
        <v>2.29550987745558</v>
      </c>
      <c r="V61" s="22">
        <v>8.41713820394746</v>
      </c>
      <c r="W61" s="22">
        <v>2.90123046377695</v>
      </c>
      <c r="X61" s="22">
        <v>0.746126459327952</v>
      </c>
      <c r="Y61" s="22">
        <v>0.0659337366508048</v>
      </c>
      <c r="Z61" s="22">
        <v>0.00646392625090383</v>
      </c>
      <c r="AA61" s="22">
        <v>0.080398546323325</v>
      </c>
      <c r="AB61" s="22">
        <v>0.848797183122859</v>
      </c>
      <c r="AC61" s="22">
        <v>0.0662200673349335</v>
      </c>
      <c r="AD61" s="22">
        <v>0.080603461577917</v>
      </c>
      <c r="AE61" s="22">
        <v>0.84922679454588</v>
      </c>
      <c r="AF61" s="22">
        <v>0.0918241515617853</v>
      </c>
      <c r="AG61" s="22">
        <v>0.117630027082326</v>
      </c>
      <c r="AH61" s="22">
        <v>0.681794412416597</v>
      </c>
      <c r="AI61" s="22">
        <v>10.0</v>
      </c>
      <c r="AJ61" s="22">
        <v>2.29550987745557</v>
      </c>
      <c r="AK61" s="22">
        <v>8.41713820394746</v>
      </c>
      <c r="AL61" s="22">
        <v>2.90123046377695</v>
      </c>
      <c r="AM61" s="22">
        <v>0.746014504502607</v>
      </c>
      <c r="AN61" s="22">
        <v>1.83208852959979</v>
      </c>
      <c r="AO61" s="22">
        <v>4.97302980315146</v>
      </c>
      <c r="AP61" s="22">
        <v>2.2300291036557</v>
      </c>
      <c r="AQ61" s="22">
        <v>0.84922679454588</v>
      </c>
      <c r="AR61" s="22">
        <v>2.54046819320934</v>
      </c>
      <c r="AS61" s="22">
        <v>10.5913195018442</v>
      </c>
      <c r="AT61" s="22">
        <v>3.2544307492777</v>
      </c>
      <c r="AU61" s="22">
        <v>0.681794412416597</v>
      </c>
      <c r="AV61" s="23">
        <f t="shared" ref="AV61:AW61" si="125">(AC61-AC$289)/AC$290</f>
        <v>-1.26438242</v>
      </c>
      <c r="AW61" s="24">
        <f t="shared" si="125"/>
        <v>-1.280199133</v>
      </c>
      <c r="AX61" s="24">
        <f t="shared" si="5"/>
        <v>-1.131228947</v>
      </c>
      <c r="AY61" s="25">
        <f t="shared" si="6"/>
        <v>-1.126211856</v>
      </c>
      <c r="AZ61" s="23">
        <f t="shared" si="7"/>
        <v>-1.336585984</v>
      </c>
      <c r="BA61" s="25">
        <f t="shared" si="8"/>
        <v>-1.353408016</v>
      </c>
      <c r="BB61" s="23">
        <f t="shared" si="9"/>
        <v>-0.8619131115</v>
      </c>
      <c r="BC61" s="24">
        <f t="shared" si="10"/>
        <v>-0.9114298805</v>
      </c>
      <c r="BD61" s="25">
        <f t="shared" si="11"/>
        <v>-1.125071299</v>
      </c>
      <c r="BE61" s="26">
        <f t="shared" ref="BE61:BF61" si="126">((S61-S$289)/S$290)</f>
        <v>1.511161947</v>
      </c>
      <c r="BF61" s="26">
        <f t="shared" si="126"/>
        <v>1.645744989</v>
      </c>
    </row>
    <row r="62">
      <c r="A62" s="16" t="s">
        <v>82</v>
      </c>
      <c r="B62" s="20">
        <f t="shared" si="3"/>
        <v>0.6503095684</v>
      </c>
      <c r="C62" s="16" t="s">
        <v>68</v>
      </c>
      <c r="D62" s="16" t="s">
        <v>69</v>
      </c>
      <c r="E62" s="16">
        <v>125.0</v>
      </c>
      <c r="F62" s="21" t="s">
        <v>70</v>
      </c>
      <c r="G62" s="16" t="s">
        <v>100</v>
      </c>
      <c r="H62" s="21" t="s">
        <v>101</v>
      </c>
      <c r="I62" s="21" t="s">
        <v>88</v>
      </c>
      <c r="J62" s="21" t="s">
        <v>74</v>
      </c>
      <c r="K62" s="21" t="s">
        <v>75</v>
      </c>
      <c r="L62" s="16" t="s">
        <v>84</v>
      </c>
      <c r="M62" s="21" t="s">
        <v>77</v>
      </c>
      <c r="N62" s="16" t="s">
        <v>78</v>
      </c>
      <c r="O62" s="16" t="s">
        <v>92</v>
      </c>
      <c r="P62" s="16" t="s">
        <v>80</v>
      </c>
      <c r="Q62" s="21" t="s">
        <v>89</v>
      </c>
      <c r="R62" s="21" t="s">
        <v>98</v>
      </c>
      <c r="S62" s="22">
        <v>515.732970714569</v>
      </c>
      <c r="T62" s="22">
        <v>142.921758651733</v>
      </c>
      <c r="U62" s="22">
        <v>2.63456596845943</v>
      </c>
      <c r="V62" s="22">
        <v>11.2576558953931</v>
      </c>
      <c r="W62" s="22">
        <v>3.35524304565155</v>
      </c>
      <c r="X62" s="22">
        <v>0.662619868726355</v>
      </c>
      <c r="Y62" s="22">
        <v>0.0777674144911882</v>
      </c>
      <c r="Z62" s="22">
        <v>0.00942911857735527</v>
      </c>
      <c r="AA62" s="22">
        <v>0.0971036486304983</v>
      </c>
      <c r="AB62" s="22">
        <v>0.793207959570451</v>
      </c>
      <c r="AC62" s="22">
        <v>0.07830541126472</v>
      </c>
      <c r="AD62" s="22">
        <v>0.0974140144285358</v>
      </c>
      <c r="AE62" s="22">
        <v>0.795641943223494</v>
      </c>
      <c r="AF62" s="22">
        <v>0.104686913649855</v>
      </c>
      <c r="AG62" s="22">
        <v>0.132411403904505</v>
      </c>
      <c r="AH62" s="22">
        <v>0.62405918218499</v>
      </c>
      <c r="AI62" s="22">
        <v>10.0</v>
      </c>
      <c r="AJ62" s="22">
        <v>2.63456596845944</v>
      </c>
      <c r="AK62" s="22">
        <v>11.2576558953931</v>
      </c>
      <c r="AL62" s="22">
        <v>3.35524304565155</v>
      </c>
      <c r="AM62" s="22">
        <v>0.662553267302867</v>
      </c>
      <c r="AN62" s="22">
        <v>2.09466975133126</v>
      </c>
      <c r="AO62" s="22">
        <v>6.79032333630582</v>
      </c>
      <c r="AP62" s="22">
        <v>2.60582488596333</v>
      </c>
      <c r="AQ62" s="22">
        <v>0.795641943223494</v>
      </c>
      <c r="AR62" s="22">
        <v>2.80037494013362</v>
      </c>
      <c r="AS62" s="22">
        <v>12.5457998057176</v>
      </c>
      <c r="AT62" s="22">
        <v>3.54200505444551</v>
      </c>
      <c r="AU62" s="22">
        <v>0.62405918218499</v>
      </c>
      <c r="AV62" s="23">
        <f t="shared" ref="AV62:AW62" si="127">(AC62-AC$289)/AC$290</f>
        <v>-0.7924385845</v>
      </c>
      <c r="AW62" s="24">
        <f t="shared" si="127"/>
        <v>-0.7381423533</v>
      </c>
      <c r="AX62" s="24">
        <f t="shared" si="5"/>
        <v>-0.6869921698</v>
      </c>
      <c r="AY62" s="25">
        <f t="shared" si="6"/>
        <v>-0.7073153481</v>
      </c>
      <c r="AZ62" s="23">
        <f t="shared" si="7"/>
        <v>-0.7109454227</v>
      </c>
      <c r="BA62" s="25">
        <f t="shared" si="8"/>
        <v>-0.6623800902</v>
      </c>
      <c r="BB62" s="23">
        <f t="shared" si="9"/>
        <v>-0.6229549463</v>
      </c>
      <c r="BC62" s="24">
        <f t="shared" si="10"/>
        <v>-0.6197079797</v>
      </c>
      <c r="BD62" s="25">
        <f t="shared" si="11"/>
        <v>-0.630040912</v>
      </c>
      <c r="BE62" s="26">
        <f t="shared" ref="BE62:BF62" si="128">((S62-S$289)/S$290)</f>
        <v>-0.08124903884</v>
      </c>
      <c r="BF62" s="26">
        <f t="shared" si="128"/>
        <v>-0.9012384067</v>
      </c>
    </row>
    <row r="63">
      <c r="A63" s="16" t="s">
        <v>82</v>
      </c>
      <c r="B63" s="20">
        <f t="shared" si="3"/>
        <v>0.6458971837</v>
      </c>
      <c r="C63" s="16" t="s">
        <v>68</v>
      </c>
      <c r="D63" s="16" t="s">
        <v>69</v>
      </c>
      <c r="E63" s="16">
        <v>121.0</v>
      </c>
      <c r="F63" s="21" t="s">
        <v>70</v>
      </c>
      <c r="G63" s="16" t="s">
        <v>100</v>
      </c>
      <c r="H63" s="21" t="s">
        <v>101</v>
      </c>
      <c r="I63" s="21" t="s">
        <v>88</v>
      </c>
      <c r="J63" s="21" t="s">
        <v>97</v>
      </c>
      <c r="K63" s="21" t="s">
        <v>75</v>
      </c>
      <c r="L63" s="16" t="s">
        <v>90</v>
      </c>
      <c r="M63" s="21" t="s">
        <v>77</v>
      </c>
      <c r="N63" s="16" t="s">
        <v>78</v>
      </c>
      <c r="O63" s="16" t="s">
        <v>92</v>
      </c>
      <c r="P63" s="16" t="s">
        <v>80</v>
      </c>
      <c r="Q63" s="21" t="s">
        <v>104</v>
      </c>
      <c r="R63" s="21" t="s">
        <v>94</v>
      </c>
      <c r="S63" s="22">
        <v>146.031223773956</v>
      </c>
      <c r="T63" s="22">
        <v>132.280516862869</v>
      </c>
      <c r="U63" s="22">
        <v>2.73152481013267</v>
      </c>
      <c r="V63" s="22">
        <v>13.1077490258786</v>
      </c>
      <c r="W63" s="22">
        <v>3.6204625430846</v>
      </c>
      <c r="X63" s="22">
        <v>0.607161266250084</v>
      </c>
      <c r="Y63" s="22">
        <v>0.0703465958262099</v>
      </c>
      <c r="Z63" s="22">
        <v>0.0086697684267896</v>
      </c>
      <c r="AA63" s="22">
        <v>0.093111591259035</v>
      </c>
      <c r="AB63" s="22">
        <v>0.809861432081982</v>
      </c>
      <c r="AC63" s="22">
        <v>0.0710792344628484</v>
      </c>
      <c r="AD63" s="22">
        <v>0.0936082700608946</v>
      </c>
      <c r="AE63" s="22">
        <v>0.811297644654716</v>
      </c>
      <c r="AF63" s="22">
        <v>0.106399678620848</v>
      </c>
      <c r="AG63" s="22">
        <v>0.137213223787275</v>
      </c>
      <c r="AH63" s="22">
        <v>0.596298244877717</v>
      </c>
      <c r="AI63" s="22">
        <v>10.0</v>
      </c>
      <c r="AJ63" s="22">
        <v>2.73152481013268</v>
      </c>
      <c r="AK63" s="22">
        <v>13.1077490258786</v>
      </c>
      <c r="AL63" s="22">
        <v>3.6204625430846</v>
      </c>
      <c r="AM63" s="22">
        <v>0.607096972682669</v>
      </c>
      <c r="AN63" s="22">
        <v>1.90136952188119</v>
      </c>
      <c r="AO63" s="22">
        <v>6.27012229088816</v>
      </c>
      <c r="AP63" s="22">
        <v>2.50402122412893</v>
      </c>
      <c r="AQ63" s="22">
        <v>0.811297644654716</v>
      </c>
      <c r="AR63" s="22">
        <v>2.8461914031077</v>
      </c>
      <c r="AS63" s="22">
        <v>13.4722306303893</v>
      </c>
      <c r="AT63" s="22">
        <v>3.67045373630963</v>
      </c>
      <c r="AU63" s="22">
        <v>0.596298244877717</v>
      </c>
      <c r="AV63" s="23">
        <f t="shared" ref="AV63:AW63" si="129">(AC63-AC$289)/AC$290</f>
        <v>-1.074627459</v>
      </c>
      <c r="AW63" s="24">
        <f t="shared" si="129"/>
        <v>-0.8608586944</v>
      </c>
      <c r="AX63" s="24">
        <f t="shared" si="5"/>
        <v>-0.6086819369</v>
      </c>
      <c r="AY63" s="25">
        <f t="shared" si="6"/>
        <v>-0.5202099519</v>
      </c>
      <c r="AZ63" s="23">
        <f t="shared" si="7"/>
        <v>-0.5320328895</v>
      </c>
      <c r="BA63" s="25">
        <f t="shared" si="8"/>
        <v>-0.2587038781</v>
      </c>
      <c r="BB63" s="23">
        <f t="shared" si="9"/>
        <v>-0.6927705303</v>
      </c>
      <c r="BC63" s="24">
        <f t="shared" si="10"/>
        <v>-0.4794387998</v>
      </c>
      <c r="BD63" s="25">
        <f t="shared" si="11"/>
        <v>-0.3011151506</v>
      </c>
      <c r="BE63" s="26">
        <f t="shared" ref="BE63:BF63" si="130">((S63-S$289)/S$290)</f>
        <v>-0.7910567053</v>
      </c>
      <c r="BF63" s="26">
        <f t="shared" si="130"/>
        <v>-0.9853730256</v>
      </c>
    </row>
    <row r="64">
      <c r="A64" s="16" t="s">
        <v>82</v>
      </c>
      <c r="B64" s="20">
        <f t="shared" si="3"/>
        <v>0.640442815</v>
      </c>
      <c r="C64" s="16" t="s">
        <v>68</v>
      </c>
      <c r="D64" s="16" t="s">
        <v>69</v>
      </c>
      <c r="E64" s="16">
        <v>188.0</v>
      </c>
      <c r="F64" s="21" t="s">
        <v>102</v>
      </c>
      <c r="G64" s="16" t="s">
        <v>71</v>
      </c>
      <c r="H64" s="21" t="s">
        <v>103</v>
      </c>
      <c r="I64" s="21" t="s">
        <v>73</v>
      </c>
      <c r="J64" s="21" t="s">
        <v>83</v>
      </c>
      <c r="K64" s="21" t="s">
        <v>75</v>
      </c>
      <c r="L64" s="16" t="s">
        <v>76</v>
      </c>
      <c r="M64" s="21" t="s">
        <v>77</v>
      </c>
      <c r="N64" s="16" t="s">
        <v>95</v>
      </c>
      <c r="O64" s="16" t="s">
        <v>92</v>
      </c>
      <c r="P64" s="16" t="s">
        <v>80</v>
      </c>
      <c r="Q64" s="21" t="s">
        <v>94</v>
      </c>
      <c r="R64" s="21" t="s">
        <v>81</v>
      </c>
      <c r="S64" s="22">
        <v>232.009321689605</v>
      </c>
      <c r="T64" s="22">
        <v>327.969938993454</v>
      </c>
      <c r="U64" s="22">
        <v>2.56489074758203</v>
      </c>
      <c r="V64" s="22">
        <v>10.3660679940237</v>
      </c>
      <c r="W64" s="22">
        <v>3.21963786690735</v>
      </c>
      <c r="X64" s="22">
        <v>0.687329864929474</v>
      </c>
      <c r="Y64" s="22">
        <v>0.0834794525544208</v>
      </c>
      <c r="Z64" s="22">
        <v>0.0105021976207427</v>
      </c>
      <c r="AA64" s="22">
        <v>0.102480230389781</v>
      </c>
      <c r="AB64" s="22">
        <v>0.755559300812572</v>
      </c>
      <c r="AC64" s="22">
        <v>0.0838343989289038</v>
      </c>
      <c r="AD64" s="22">
        <v>0.102719155655835</v>
      </c>
      <c r="AE64" s="22">
        <v>0.756280583185888</v>
      </c>
      <c r="AF64" s="22">
        <v>0.0935300654008279</v>
      </c>
      <c r="AG64" s="22">
        <v>0.120298764555741</v>
      </c>
      <c r="AH64" s="22">
        <v>0.666733840847642</v>
      </c>
      <c r="AI64" s="22">
        <v>10.0</v>
      </c>
      <c r="AJ64" s="22">
        <v>2.56489074758202</v>
      </c>
      <c r="AK64" s="22">
        <v>10.3660679940237</v>
      </c>
      <c r="AL64" s="22">
        <v>3.21963786690735</v>
      </c>
      <c r="AM64" s="22">
        <v>0.687305807448904</v>
      </c>
      <c r="AN64" s="22">
        <v>2.31941837036629</v>
      </c>
      <c r="AO64" s="22">
        <v>8.07637651137168</v>
      </c>
      <c r="AP64" s="22">
        <v>2.84189663981146</v>
      </c>
      <c r="AQ64" s="22">
        <v>0.756280583185888</v>
      </c>
      <c r="AR64" s="22">
        <v>2.58766514275619</v>
      </c>
      <c r="AS64" s="22">
        <v>11.0773533644232</v>
      </c>
      <c r="AT64" s="22">
        <v>3.3282658193755</v>
      </c>
      <c r="AU64" s="22">
        <v>0.666733840847642</v>
      </c>
      <c r="AV64" s="23">
        <f t="shared" ref="AV64:AW64" si="131">(AC64-AC$289)/AC$290</f>
        <v>-0.5765265128</v>
      </c>
      <c r="AW64" s="24">
        <f t="shared" si="131"/>
        <v>-0.5670779157</v>
      </c>
      <c r="AX64" s="24">
        <f t="shared" si="5"/>
        <v>-1.050559165</v>
      </c>
      <c r="AY64" s="25">
        <f t="shared" si="6"/>
        <v>-1.018659643</v>
      </c>
      <c r="AZ64" s="23">
        <f t="shared" si="7"/>
        <v>-0.8395130712</v>
      </c>
      <c r="BA64" s="25">
        <f t="shared" si="8"/>
        <v>-0.8687773778</v>
      </c>
      <c r="BB64" s="23">
        <f t="shared" si="9"/>
        <v>-0.4474255169</v>
      </c>
      <c r="BC64" s="24">
        <f t="shared" si="10"/>
        <v>-0.8353325211</v>
      </c>
      <c r="BD64" s="25">
        <f t="shared" si="11"/>
        <v>-0.7768546898</v>
      </c>
      <c r="BE64" s="26">
        <f t="shared" ref="BE64:BF64" si="132">((S64-S$289)/S$290)</f>
        <v>-0.6259833359</v>
      </c>
      <c r="BF64" s="26">
        <f t="shared" si="132"/>
        <v>0.5618387832</v>
      </c>
    </row>
    <row r="65">
      <c r="A65" s="16" t="s">
        <v>67</v>
      </c>
      <c r="B65" s="20">
        <f t="shared" si="3"/>
        <v>0.635076359</v>
      </c>
      <c r="C65" s="16" t="s">
        <v>68</v>
      </c>
      <c r="D65" s="16" t="s">
        <v>69</v>
      </c>
      <c r="E65" s="16">
        <v>150.0</v>
      </c>
      <c r="F65" s="21" t="s">
        <v>102</v>
      </c>
      <c r="G65" s="16" t="s">
        <v>71</v>
      </c>
      <c r="H65" s="21" t="s">
        <v>103</v>
      </c>
      <c r="I65" s="21" t="s">
        <v>73</v>
      </c>
      <c r="J65" s="21" t="s">
        <v>83</v>
      </c>
      <c r="K65" s="21" t="s">
        <v>75</v>
      </c>
      <c r="L65" s="16" t="s">
        <v>76</v>
      </c>
      <c r="M65" s="21" t="s">
        <v>85</v>
      </c>
      <c r="N65" s="16" t="s">
        <v>95</v>
      </c>
      <c r="O65" s="16" t="s">
        <v>86</v>
      </c>
      <c r="P65" s="16" t="s">
        <v>80</v>
      </c>
      <c r="Q65" s="21" t="s">
        <v>81</v>
      </c>
      <c r="S65" s="22">
        <v>273.096668720245</v>
      </c>
      <c r="T65" s="22">
        <v>397.907005310058</v>
      </c>
      <c r="U65" s="22">
        <v>2.40299623783814</v>
      </c>
      <c r="V65" s="22">
        <v>9.25698341229361</v>
      </c>
      <c r="W65" s="22">
        <v>3.04252911445291</v>
      </c>
      <c r="X65" s="22">
        <v>0.720805885133064</v>
      </c>
      <c r="Y65" s="22">
        <v>0.0720843935310741</v>
      </c>
      <c r="Z65" s="22">
        <v>0.00759714069525625</v>
      </c>
      <c r="AA65" s="22">
        <v>0.0871615780906716</v>
      </c>
      <c r="AB65" s="22">
        <v>0.82317506769194</v>
      </c>
      <c r="AC65" s="22">
        <v>0.0722921280011334</v>
      </c>
      <c r="AD65" s="22">
        <v>0.0872662295553796</v>
      </c>
      <c r="AE65" s="22">
        <v>0.824094397064819</v>
      </c>
      <c r="AF65" s="22">
        <v>0.105797109188371</v>
      </c>
      <c r="AG65" s="22">
        <v>0.132705817764278</v>
      </c>
      <c r="AH65" s="22">
        <v>0.594445890057499</v>
      </c>
      <c r="AI65" s="22">
        <v>10.0</v>
      </c>
      <c r="AJ65" s="22">
        <v>2.40299623783813</v>
      </c>
      <c r="AK65" s="22">
        <v>9.25698341229361</v>
      </c>
      <c r="AL65" s="22">
        <v>3.04252911445291</v>
      </c>
      <c r="AM65" s="22">
        <v>0.7207615312542</v>
      </c>
      <c r="AN65" s="22">
        <v>2.0000822080313</v>
      </c>
      <c r="AO65" s="22">
        <v>5.82916165784172</v>
      </c>
      <c r="AP65" s="22">
        <v>2.4143656843655</v>
      </c>
      <c r="AQ65" s="22">
        <v>0.824094397064819</v>
      </c>
      <c r="AR65" s="22">
        <v>2.92705335421163</v>
      </c>
      <c r="AS65" s="22">
        <v>13.4801150997556</v>
      </c>
      <c r="AT65" s="22">
        <v>3.67152762481172</v>
      </c>
      <c r="AU65" s="22">
        <v>0.594445890057499</v>
      </c>
      <c r="AV65" s="23">
        <f t="shared" ref="AV65:AW65" si="133">(AC65-AC$289)/AC$290</f>
        <v>-1.027262846</v>
      </c>
      <c r="AW65" s="24">
        <f t="shared" si="133"/>
        <v>-1.06535798</v>
      </c>
      <c r="AX65" s="24">
        <f t="shared" si="5"/>
        <v>-0.470471394</v>
      </c>
      <c r="AY65" s="25">
        <f t="shared" si="6"/>
        <v>-0.518645667</v>
      </c>
      <c r="AZ65" s="23">
        <f t="shared" si="7"/>
        <v>-1.138247631</v>
      </c>
      <c r="BA65" s="25">
        <f t="shared" si="8"/>
        <v>-1.138345004</v>
      </c>
      <c r="BB65" s="23">
        <f t="shared" si="9"/>
        <v>-0.7498368168</v>
      </c>
      <c r="BC65" s="24">
        <f t="shared" si="10"/>
        <v>-0.470079307</v>
      </c>
      <c r="BD65" s="25">
        <f t="shared" si="11"/>
        <v>-0.975289322</v>
      </c>
      <c r="BE65" s="26">
        <f t="shared" ref="BE65:BF65" si="134">((S65-S$289)/S$290)</f>
        <v>-0.5470978176</v>
      </c>
      <c r="BF65" s="26">
        <f t="shared" si="134"/>
        <v>1.114793837</v>
      </c>
    </row>
    <row r="66">
      <c r="A66" s="16" t="s">
        <v>67</v>
      </c>
      <c r="B66" s="20">
        <f t="shared" si="3"/>
        <v>0.6283920542</v>
      </c>
      <c r="C66" s="16" t="s">
        <v>68</v>
      </c>
      <c r="D66" s="16" t="s">
        <v>69</v>
      </c>
      <c r="E66" s="16">
        <v>11.0</v>
      </c>
      <c r="F66" s="21" t="s">
        <v>70</v>
      </c>
      <c r="G66" s="16" t="s">
        <v>71</v>
      </c>
      <c r="H66" s="21" t="s">
        <v>72</v>
      </c>
      <c r="I66" s="21" t="s">
        <v>88</v>
      </c>
      <c r="J66" s="21" t="s">
        <v>97</v>
      </c>
      <c r="K66" s="21" t="s">
        <v>75</v>
      </c>
      <c r="L66" s="16" t="s">
        <v>84</v>
      </c>
      <c r="M66" s="21" t="s">
        <v>85</v>
      </c>
      <c r="N66" s="16" t="s">
        <v>78</v>
      </c>
      <c r="O66" s="16" t="s">
        <v>79</v>
      </c>
      <c r="P66" s="16" t="s">
        <v>80</v>
      </c>
      <c r="Q66" s="21" t="s">
        <v>87</v>
      </c>
      <c r="S66" s="22">
        <v>477.494987487792</v>
      </c>
      <c r="T66" s="22">
        <v>134.54316663742</v>
      </c>
      <c r="U66" s="22">
        <v>2.51670664038989</v>
      </c>
      <c r="V66" s="22">
        <v>10.4020353227978</v>
      </c>
      <c r="W66" s="22">
        <v>3.22521864728545</v>
      </c>
      <c r="X66" s="22">
        <v>0.689661496029603</v>
      </c>
      <c r="Y66" s="22">
        <v>0.0962405683099786</v>
      </c>
      <c r="Z66" s="22">
        <v>0.0139774444712073</v>
      </c>
      <c r="AA66" s="22">
        <v>0.118226242734882</v>
      </c>
      <c r="AB66" s="22">
        <v>0.698058954413612</v>
      </c>
      <c r="AC66" s="22">
        <v>0.0967722653801111</v>
      </c>
      <c r="AD66" s="22">
        <v>0.118645115476958</v>
      </c>
      <c r="AE66" s="22">
        <v>0.69857838714465</v>
      </c>
      <c r="AF66" s="22">
        <v>0.0959988017829597</v>
      </c>
      <c r="AG66" s="22">
        <v>0.125338525483102</v>
      </c>
      <c r="AH66" s="22">
        <v>0.665477006171814</v>
      </c>
      <c r="AI66" s="22">
        <v>10.0</v>
      </c>
      <c r="AJ66" s="22">
        <v>2.5167066403899</v>
      </c>
      <c r="AK66" s="22">
        <v>10.4020353227978</v>
      </c>
      <c r="AL66" s="22">
        <v>3.22521864728545</v>
      </c>
      <c r="AM66" s="22">
        <v>0.689588487181686</v>
      </c>
      <c r="AN66" s="22">
        <v>2.58865809891797</v>
      </c>
      <c r="AO66" s="22">
        <v>10.072732473154</v>
      </c>
      <c r="AP66" s="22">
        <v>3.17375683900863</v>
      </c>
      <c r="AQ66" s="22">
        <v>0.69857838714465</v>
      </c>
      <c r="AR66" s="22">
        <v>2.56796794769417</v>
      </c>
      <c r="AS66" s="22">
        <v>11.2413051008573</v>
      </c>
      <c r="AT66" s="22">
        <v>3.352805556673</v>
      </c>
      <c r="AU66" s="22">
        <v>0.665477006171814</v>
      </c>
      <c r="AV66" s="23">
        <f t="shared" ref="AV66:AW66" si="135">(AC66-AC$289)/AC$290</f>
        <v>-0.07129088577</v>
      </c>
      <c r="AW66" s="24">
        <f t="shared" si="135"/>
        <v>-0.05354486473</v>
      </c>
      <c r="AX66" s="24">
        <f t="shared" si="5"/>
        <v>-1.084225926</v>
      </c>
      <c r="AY66" s="25">
        <f t="shared" si="6"/>
        <v>-0.9829137153</v>
      </c>
      <c r="AZ66" s="23">
        <f t="shared" si="7"/>
        <v>-0.9284244126</v>
      </c>
      <c r="BA66" s="25">
        <f t="shared" si="8"/>
        <v>-0.8602831746</v>
      </c>
      <c r="BB66" s="23">
        <f t="shared" si="9"/>
        <v>-0.1901063203</v>
      </c>
      <c r="BC66" s="24">
        <f t="shared" si="10"/>
        <v>-0.828982045</v>
      </c>
      <c r="BD66" s="25">
        <f t="shared" si="11"/>
        <v>-0.7903938593</v>
      </c>
      <c r="BE66" s="26">
        <f t="shared" ref="BE66:BF66" si="136">((S66-S$289)/S$290)</f>
        <v>-0.1546639304</v>
      </c>
      <c r="BF66" s="26">
        <f t="shared" si="136"/>
        <v>-0.9674834616</v>
      </c>
    </row>
    <row r="67">
      <c r="A67" s="16" t="s">
        <v>67</v>
      </c>
      <c r="B67" s="20">
        <f t="shared" si="3"/>
        <v>0.6272878818</v>
      </c>
      <c r="C67" s="16" t="s">
        <v>68</v>
      </c>
      <c r="D67" s="16" t="s">
        <v>69</v>
      </c>
      <c r="E67" s="16">
        <v>104.0</v>
      </c>
      <c r="F67" s="21" t="s">
        <v>70</v>
      </c>
      <c r="G67" s="16" t="s">
        <v>100</v>
      </c>
      <c r="H67" s="21" t="s">
        <v>101</v>
      </c>
      <c r="I67" s="21" t="s">
        <v>73</v>
      </c>
      <c r="J67" s="21" t="s">
        <v>97</v>
      </c>
      <c r="K67" s="21" t="s">
        <v>75</v>
      </c>
      <c r="L67" s="16" t="s">
        <v>76</v>
      </c>
      <c r="M67" s="21" t="s">
        <v>77</v>
      </c>
      <c r="N67" s="16" t="s">
        <v>95</v>
      </c>
      <c r="O67" s="16" t="s">
        <v>86</v>
      </c>
      <c r="P67" s="16" t="s">
        <v>80</v>
      </c>
      <c r="Q67" s="21" t="s">
        <v>81</v>
      </c>
      <c r="R67" s="21" t="s">
        <v>81</v>
      </c>
      <c r="S67" s="22">
        <v>137.705936908721</v>
      </c>
      <c r="T67" s="22">
        <v>133.7348279953</v>
      </c>
      <c r="U67" s="22">
        <v>2.66992439987046</v>
      </c>
      <c r="V67" s="22">
        <v>11.8058674412152</v>
      </c>
      <c r="W67" s="22">
        <v>3.43596674041168</v>
      </c>
      <c r="X67" s="22">
        <v>0.650863048422605</v>
      </c>
      <c r="Y67" s="22">
        <v>0.096898304613063</v>
      </c>
      <c r="Z67" s="22">
        <v>0.0139624608348788</v>
      </c>
      <c r="AA67" s="22">
        <v>0.118162857255902</v>
      </c>
      <c r="AB67" s="22">
        <v>0.697606888936303</v>
      </c>
      <c r="AC67" s="22">
        <v>0.0975794996802189</v>
      </c>
      <c r="AD67" s="22">
        <v>0.118609927256476</v>
      </c>
      <c r="AE67" s="22">
        <v>0.700351627795749</v>
      </c>
      <c r="AF67" s="22">
        <v>0.0955718697564829</v>
      </c>
      <c r="AG67" s="22">
        <v>0.123007967332628</v>
      </c>
      <c r="AH67" s="22">
        <v>0.680387287068442</v>
      </c>
      <c r="AI67" s="22">
        <v>10.0</v>
      </c>
      <c r="AJ67" s="22">
        <v>2.66992439987046</v>
      </c>
      <c r="AK67" s="22">
        <v>11.8058674412152</v>
      </c>
      <c r="AL67" s="22">
        <v>3.43596674041168</v>
      </c>
      <c r="AM67" s="22">
        <v>0.650708019719315</v>
      </c>
      <c r="AN67" s="22">
        <v>2.61025161644585</v>
      </c>
      <c r="AO67" s="22">
        <v>10.0667585404071</v>
      </c>
      <c r="AP67" s="22">
        <v>3.17281555411076</v>
      </c>
      <c r="AQ67" s="22">
        <v>0.700351627795748</v>
      </c>
      <c r="AR67" s="22">
        <v>2.55654751598591</v>
      </c>
      <c r="AS67" s="22">
        <v>10.8271475845383</v>
      </c>
      <c r="AT67" s="22">
        <v>3.2904631261478</v>
      </c>
      <c r="AU67" s="22">
        <v>0.680387287068442</v>
      </c>
      <c r="AV67" s="23">
        <f t="shared" ref="AV67:AW67" si="137">(AC67-AC$289)/AC$290</f>
        <v>-0.03976764125</v>
      </c>
      <c r="AW67" s="24">
        <f t="shared" si="137"/>
        <v>-0.05467950995</v>
      </c>
      <c r="AX67" s="24">
        <f t="shared" si="5"/>
        <v>-1.103745911</v>
      </c>
      <c r="AY67" s="25">
        <f t="shared" si="6"/>
        <v>-1.073725119</v>
      </c>
      <c r="AZ67" s="23">
        <f t="shared" si="7"/>
        <v>-0.6457005577</v>
      </c>
      <c r="BA67" s="25">
        <f t="shared" si="8"/>
        <v>-0.5395149327</v>
      </c>
      <c r="BB67" s="23">
        <f t="shared" si="9"/>
        <v>-0.1980139718</v>
      </c>
      <c r="BC67" s="24">
        <f t="shared" si="10"/>
        <v>-0.9043200226</v>
      </c>
      <c r="BD67" s="25">
        <f t="shared" si="11"/>
        <v>-0.5597836562</v>
      </c>
      <c r="BE67" s="26">
        <f t="shared" ref="BE67:BF67" si="138">((S67-S$289)/S$290)</f>
        <v>-0.8070408127</v>
      </c>
      <c r="BF67" s="26">
        <f t="shared" si="138"/>
        <v>-0.9738745638</v>
      </c>
    </row>
    <row r="68">
      <c r="A68" s="16" t="s">
        <v>67</v>
      </c>
      <c r="B68" s="20">
        <f t="shared" si="3"/>
        <v>0.6268990037</v>
      </c>
      <c r="C68" s="16" t="s">
        <v>68</v>
      </c>
      <c r="D68" s="16" t="s">
        <v>69</v>
      </c>
      <c r="E68" s="16">
        <v>1.0</v>
      </c>
      <c r="F68" s="21" t="s">
        <v>70</v>
      </c>
      <c r="G68" s="16" t="s">
        <v>71</v>
      </c>
      <c r="H68" s="21" t="s">
        <v>72</v>
      </c>
      <c r="I68" s="21" t="s">
        <v>88</v>
      </c>
      <c r="J68" s="21" t="s">
        <v>97</v>
      </c>
      <c r="K68" s="21" t="s">
        <v>99</v>
      </c>
      <c r="L68" s="16" t="s">
        <v>76</v>
      </c>
      <c r="M68" s="21" t="s">
        <v>85</v>
      </c>
      <c r="N68" s="16" t="s">
        <v>95</v>
      </c>
      <c r="O68" s="16" t="s">
        <v>92</v>
      </c>
      <c r="P68" s="16" t="s">
        <v>80</v>
      </c>
      <c r="Q68" s="21" t="s">
        <v>104</v>
      </c>
      <c r="S68" s="22">
        <v>506.918899059295</v>
      </c>
      <c r="T68" s="22">
        <v>142.376575231552</v>
      </c>
      <c r="U68" s="22">
        <v>2.40607704028801</v>
      </c>
      <c r="V68" s="22">
        <v>9.32843088636024</v>
      </c>
      <c r="W68" s="22">
        <v>3.05424800668843</v>
      </c>
      <c r="X68" s="22">
        <v>0.721667162540584</v>
      </c>
      <c r="Y68" s="22">
        <v>0.0897758281656973</v>
      </c>
      <c r="Z68" s="22">
        <v>0.0117619916447488</v>
      </c>
      <c r="AA68" s="22">
        <v>0.108452716170453</v>
      </c>
      <c r="AB68" s="22">
        <v>0.745917212355266</v>
      </c>
      <c r="AC68" s="22">
        <v>0.0900923513264773</v>
      </c>
      <c r="AD68" s="22">
        <v>0.108637641448324</v>
      </c>
      <c r="AE68" s="22">
        <v>0.747282498421664</v>
      </c>
      <c r="AF68" s="22">
        <v>0.107839700025607</v>
      </c>
      <c r="AG68" s="22">
        <v>0.137411616443008</v>
      </c>
      <c r="AH68" s="22">
        <v>0.597928111895173</v>
      </c>
      <c r="AI68" s="22">
        <v>10.0</v>
      </c>
      <c r="AJ68" s="22">
        <v>2.40607704028801</v>
      </c>
      <c r="AK68" s="22">
        <v>9.32843088636024</v>
      </c>
      <c r="AL68" s="22">
        <v>3.05424800668842</v>
      </c>
      <c r="AM68" s="22">
        <v>0.721626368898223</v>
      </c>
      <c r="AN68" s="22">
        <v>2.40997039798327</v>
      </c>
      <c r="AO68" s="22">
        <v>8.44516675685117</v>
      </c>
      <c r="AP68" s="22">
        <v>2.9060569087427</v>
      </c>
      <c r="AQ68" s="22">
        <v>0.747282498421664</v>
      </c>
      <c r="AR68" s="22">
        <v>2.88471197568499</v>
      </c>
      <c r="AS68" s="22">
        <v>13.5112170166262</v>
      </c>
      <c r="AT68" s="22">
        <v>3.67576073985049</v>
      </c>
      <c r="AU68" s="22">
        <v>0.597928111895173</v>
      </c>
      <c r="AV68" s="23">
        <f t="shared" ref="AV68:AW68" si="139">(AC68-AC$289)/AC$290</f>
        <v>-0.3321476953</v>
      </c>
      <c r="AW68" s="24">
        <f t="shared" si="139"/>
        <v>-0.3762361642</v>
      </c>
      <c r="AX68" s="24">
        <f t="shared" si="5"/>
        <v>-0.5428419569</v>
      </c>
      <c r="AY68" s="25">
        <f t="shared" si="6"/>
        <v>-0.5124794794</v>
      </c>
      <c r="AZ68" s="23">
        <f t="shared" si="7"/>
        <v>-1.132562804</v>
      </c>
      <c r="BA68" s="25">
        <f t="shared" si="8"/>
        <v>-1.120508314</v>
      </c>
      <c r="BB68" s="23">
        <f t="shared" si="9"/>
        <v>-0.4072991422</v>
      </c>
      <c r="BC68" s="24">
        <f t="shared" si="10"/>
        <v>-0.4876741165</v>
      </c>
      <c r="BD68" s="25">
        <f t="shared" si="11"/>
        <v>-0.9804188999</v>
      </c>
      <c r="BE68" s="26">
        <f t="shared" ref="BE68:BF68" si="140">((S68-S$289)/S$290)</f>
        <v>-0.09817158705</v>
      </c>
      <c r="BF68" s="26">
        <f t="shared" si="140"/>
        <v>-0.905548881</v>
      </c>
    </row>
    <row r="69">
      <c r="A69" s="16" t="s">
        <v>82</v>
      </c>
      <c r="B69" s="20">
        <f t="shared" si="3"/>
        <v>0.6211884806</v>
      </c>
      <c r="C69" s="16" t="s">
        <v>68</v>
      </c>
      <c r="D69" s="16" t="s">
        <v>69</v>
      </c>
      <c r="E69" s="16">
        <v>59.0</v>
      </c>
      <c r="F69" s="21" t="s">
        <v>70</v>
      </c>
      <c r="G69" s="16" t="s">
        <v>71</v>
      </c>
      <c r="H69" s="21" t="s">
        <v>72</v>
      </c>
      <c r="I69" s="21" t="s">
        <v>73</v>
      </c>
      <c r="J69" s="21" t="s">
        <v>97</v>
      </c>
      <c r="K69" s="21" t="s">
        <v>75</v>
      </c>
      <c r="L69" s="16" t="s">
        <v>90</v>
      </c>
      <c r="M69" s="21" t="s">
        <v>85</v>
      </c>
      <c r="N69" s="16" t="s">
        <v>78</v>
      </c>
      <c r="O69" s="16" t="s">
        <v>79</v>
      </c>
      <c r="P69" s="16" t="s">
        <v>80</v>
      </c>
      <c r="Q69" s="21" t="s">
        <v>94</v>
      </c>
      <c r="S69" s="22">
        <v>61.7866520881652</v>
      </c>
      <c r="T69" s="22">
        <v>125.424331903457</v>
      </c>
      <c r="U69" s="22">
        <v>2.80077767150032</v>
      </c>
      <c r="V69" s="22">
        <v>13.5921489167823</v>
      </c>
      <c r="W69" s="22">
        <v>3.68675316732519</v>
      </c>
      <c r="X69" s="22">
        <v>0.59912197840861</v>
      </c>
      <c r="Y69" s="22">
        <v>0.0975393400717032</v>
      </c>
      <c r="Z69" s="22">
        <v>0.01677341589277</v>
      </c>
      <c r="AA69" s="22">
        <v>0.129512222947372</v>
      </c>
      <c r="AB69" s="22">
        <v>0.641725998274215</v>
      </c>
      <c r="AC69" s="22">
        <v>0.0982832118558398</v>
      </c>
      <c r="AD69" s="22">
        <v>0.130110858892579</v>
      </c>
      <c r="AE69" s="22">
        <v>0.641282437290094</v>
      </c>
      <c r="AF69" s="22">
        <v>0.0851647178314187</v>
      </c>
      <c r="AG69" s="22">
        <v>0.109999792863092</v>
      </c>
      <c r="AH69" s="22">
        <v>0.745637019656485</v>
      </c>
      <c r="AI69" s="22">
        <v>10.0</v>
      </c>
      <c r="AJ69" s="22">
        <v>2.80077767150032</v>
      </c>
      <c r="AK69" s="22">
        <v>13.5921489167823</v>
      </c>
      <c r="AL69" s="22">
        <v>3.68675316732519</v>
      </c>
      <c r="AM69" s="22">
        <v>0.599109391449951</v>
      </c>
      <c r="AN69" s="22">
        <v>2.62907591714371</v>
      </c>
      <c r="AO69" s="22">
        <v>12.1136399252878</v>
      </c>
      <c r="AP69" s="22">
        <v>3.4804654753765</v>
      </c>
      <c r="AQ69" s="22">
        <v>0.641282437290094</v>
      </c>
      <c r="AR69" s="22">
        <v>2.27815620199045</v>
      </c>
      <c r="AS69" s="22">
        <v>8.65827364176192</v>
      </c>
      <c r="AT69" s="22">
        <v>2.94249445908771</v>
      </c>
      <c r="AU69" s="22">
        <v>0.745637019656485</v>
      </c>
      <c r="AV69" s="23">
        <f t="shared" ref="AV69:AW69" si="141">(AC69-AC$289)/AC$290</f>
        <v>-0.01228703124</v>
      </c>
      <c r="AW69" s="24">
        <f t="shared" si="141"/>
        <v>0.3161683748</v>
      </c>
      <c r="AX69" s="24">
        <f t="shared" si="5"/>
        <v>-1.579576807</v>
      </c>
      <c r="AY69" s="25">
        <f t="shared" si="6"/>
        <v>-1.580595368</v>
      </c>
      <c r="AZ69" s="23">
        <f t="shared" si="7"/>
        <v>-0.4042445966</v>
      </c>
      <c r="BA69" s="25">
        <f t="shared" si="8"/>
        <v>-0.1578065145</v>
      </c>
      <c r="BB69" s="23">
        <f t="shared" si="9"/>
        <v>0.06540124787</v>
      </c>
      <c r="BC69" s="24">
        <f t="shared" si="10"/>
        <v>-1.234010853</v>
      </c>
      <c r="BD69" s="25">
        <f t="shared" si="11"/>
        <v>-0.253738721</v>
      </c>
      <c r="BE69" s="26">
        <f t="shared" ref="BE69:BF69" si="142">((S69-S$289)/S$290)</f>
        <v>-0.9528017967</v>
      </c>
      <c r="BF69" s="26">
        <f t="shared" si="142"/>
        <v>-1.039581221</v>
      </c>
    </row>
    <row r="70">
      <c r="A70" s="16" t="s">
        <v>67</v>
      </c>
      <c r="B70" s="20">
        <f t="shared" si="3"/>
        <v>0.5720457528</v>
      </c>
      <c r="C70" s="16" t="s">
        <v>68</v>
      </c>
      <c r="D70" s="16" t="s">
        <v>69</v>
      </c>
      <c r="E70" s="16">
        <v>90.0</v>
      </c>
      <c r="F70" s="21" t="s">
        <v>70</v>
      </c>
      <c r="G70" s="16" t="s">
        <v>100</v>
      </c>
      <c r="H70" s="21" t="s">
        <v>101</v>
      </c>
      <c r="I70" s="21" t="s">
        <v>73</v>
      </c>
      <c r="J70" s="21" t="s">
        <v>74</v>
      </c>
      <c r="K70" s="21" t="s">
        <v>75</v>
      </c>
      <c r="L70" s="16" t="s">
        <v>90</v>
      </c>
      <c r="M70" s="21" t="s">
        <v>85</v>
      </c>
      <c r="N70" s="16" t="s">
        <v>78</v>
      </c>
      <c r="O70" s="16" t="s">
        <v>92</v>
      </c>
      <c r="P70" s="16" t="s">
        <v>80</v>
      </c>
      <c r="Q70" s="21" t="s">
        <v>94</v>
      </c>
      <c r="S70" s="22">
        <v>101.897434234619</v>
      </c>
      <c r="T70" s="22">
        <v>127.157936096191</v>
      </c>
      <c r="U70" s="22">
        <v>2.64535696895355</v>
      </c>
      <c r="V70" s="22">
        <v>11.6604574072365</v>
      </c>
      <c r="W70" s="22">
        <v>3.41474119183819</v>
      </c>
      <c r="X70" s="22">
        <v>0.655172641417887</v>
      </c>
      <c r="Y70" s="22">
        <v>0.0885912410122463</v>
      </c>
      <c r="Z70" s="22">
        <v>0.0122020690753749</v>
      </c>
      <c r="AA70" s="22">
        <v>0.110462976038919</v>
      </c>
      <c r="AB70" s="22">
        <v>0.735732714114447</v>
      </c>
      <c r="AC70" s="22">
        <v>0.0895225300737726</v>
      </c>
      <c r="AD70" s="22">
        <v>0.111233363347653</v>
      </c>
      <c r="AE70" s="22">
        <v>0.73646398052831</v>
      </c>
      <c r="AF70" s="22">
        <v>0.108245216447245</v>
      </c>
      <c r="AG70" s="22">
        <v>0.137471163810425</v>
      </c>
      <c r="AH70" s="22">
        <v>0.600808964189054</v>
      </c>
      <c r="AI70" s="22">
        <v>10.0</v>
      </c>
      <c r="AJ70" s="22">
        <v>2.64535696895356</v>
      </c>
      <c r="AK70" s="22">
        <v>11.6604574072365</v>
      </c>
      <c r="AL70" s="22">
        <v>3.41474119183819</v>
      </c>
      <c r="AM70" s="22">
        <v>0.655010165154543</v>
      </c>
      <c r="AN70" s="22">
        <v>2.39472767947341</v>
      </c>
      <c r="AO70" s="22">
        <v>8.85355543634721</v>
      </c>
      <c r="AP70" s="22">
        <v>2.97549246954974</v>
      </c>
      <c r="AQ70" s="22">
        <v>0.73646398052831</v>
      </c>
      <c r="AR70" s="22">
        <v>2.89555953996381</v>
      </c>
      <c r="AS70" s="22">
        <v>13.5229297342605</v>
      </c>
      <c r="AT70" s="22">
        <v>3.67735363192888</v>
      </c>
      <c r="AU70" s="22">
        <v>0.600808964189054</v>
      </c>
      <c r="AV70" s="23">
        <f t="shared" ref="AV70:AW70" si="143">(AC70-AC$289)/AC$290</f>
        <v>-0.3543997412</v>
      </c>
      <c r="AW70" s="24">
        <f t="shared" si="143"/>
        <v>-0.2925370339</v>
      </c>
      <c r="AX70" s="24">
        <f t="shared" si="5"/>
        <v>-0.5243011261</v>
      </c>
      <c r="AY70" s="25">
        <f t="shared" si="6"/>
        <v>-0.5101591854</v>
      </c>
      <c r="AZ70" s="23">
        <f t="shared" si="7"/>
        <v>-0.6910334147</v>
      </c>
      <c r="BA70" s="25">
        <f t="shared" si="8"/>
        <v>-0.5718211889</v>
      </c>
      <c r="BB70" s="23">
        <f t="shared" si="9"/>
        <v>-0.3590546641</v>
      </c>
      <c r="BC70" s="24">
        <f t="shared" si="10"/>
        <v>-0.5022303537</v>
      </c>
      <c r="BD70" s="25">
        <f t="shared" si="11"/>
        <v>-0.5853008039</v>
      </c>
      <c r="BE70" s="26">
        <f t="shared" ref="BE70:BF70" si="144">((S70-S$289)/S$290)</f>
        <v>-0.875791231</v>
      </c>
      <c r="BF70" s="26">
        <f t="shared" si="144"/>
        <v>-1.025874538</v>
      </c>
    </row>
    <row r="71">
      <c r="A71" s="16" t="s">
        <v>82</v>
      </c>
      <c r="B71" s="20">
        <f t="shared" si="3"/>
        <v>0.5670699539</v>
      </c>
      <c r="C71" s="16" t="s">
        <v>68</v>
      </c>
      <c r="D71" s="16" t="s">
        <v>69</v>
      </c>
      <c r="E71" s="16">
        <v>260.0</v>
      </c>
      <c r="F71" s="21" t="s">
        <v>102</v>
      </c>
      <c r="G71" s="16" t="s">
        <v>100</v>
      </c>
      <c r="H71" s="21" t="s">
        <v>105</v>
      </c>
      <c r="I71" s="21" t="s">
        <v>73</v>
      </c>
      <c r="J71" s="21" t="s">
        <v>97</v>
      </c>
      <c r="K71" s="21" t="s">
        <v>75</v>
      </c>
      <c r="L71" s="16" t="s">
        <v>76</v>
      </c>
      <c r="M71" s="21" t="s">
        <v>77</v>
      </c>
      <c r="N71" s="16" t="s">
        <v>95</v>
      </c>
      <c r="O71" s="16" t="s">
        <v>86</v>
      </c>
      <c r="P71" s="16" t="s">
        <v>80</v>
      </c>
      <c r="Q71" s="21" t="s">
        <v>94</v>
      </c>
      <c r="R71" s="21" t="s">
        <v>104</v>
      </c>
      <c r="S71" s="22">
        <v>160.829890727996</v>
      </c>
      <c r="T71" s="22">
        <v>317.332544803619</v>
      </c>
      <c r="U71" s="22">
        <v>2.55818640947772</v>
      </c>
      <c r="V71" s="22">
        <v>10.6655704925388</v>
      </c>
      <c r="W71" s="22">
        <v>3.26581850269405</v>
      </c>
      <c r="X71" s="22">
        <v>0.677577119623555</v>
      </c>
      <c r="Y71" s="22">
        <v>0.0841490945354705</v>
      </c>
      <c r="Z71" s="22">
        <v>0.0104281906746949</v>
      </c>
      <c r="AA71" s="22">
        <v>0.102118512889167</v>
      </c>
      <c r="AB71" s="22">
        <v>0.754099423020802</v>
      </c>
      <c r="AC71" s="22">
        <v>0.0846802424323194</v>
      </c>
      <c r="AD71" s="22">
        <v>0.102453332173019</v>
      </c>
      <c r="AE71" s="22">
        <v>0.756376436644146</v>
      </c>
      <c r="AF71" s="22">
        <v>0.101296876484914</v>
      </c>
      <c r="AG71" s="22">
        <v>0.127861424856322</v>
      </c>
      <c r="AH71" s="22">
        <v>0.624060353277762</v>
      </c>
      <c r="AI71" s="22">
        <v>10.0</v>
      </c>
      <c r="AJ71" s="22">
        <v>2.55818640947771</v>
      </c>
      <c r="AK71" s="22">
        <v>10.6655704925388</v>
      </c>
      <c r="AL71" s="22">
        <v>3.26581850269405</v>
      </c>
      <c r="AM71" s="22">
        <v>0.677487102133768</v>
      </c>
      <c r="AN71" s="22">
        <v>2.34282004062747</v>
      </c>
      <c r="AO71" s="22">
        <v>8.0346294275714</v>
      </c>
      <c r="AP71" s="22">
        <v>2.83454219012019</v>
      </c>
      <c r="AQ71" s="22">
        <v>0.756376436644146</v>
      </c>
      <c r="AR71" s="22">
        <v>2.80254691608259</v>
      </c>
      <c r="AS71" s="22">
        <v>12.5139021537517</v>
      </c>
      <c r="AT71" s="22">
        <v>3.53749942102493</v>
      </c>
      <c r="AU71" s="22">
        <v>0.624060353277762</v>
      </c>
      <c r="AV71" s="23">
        <f t="shared" ref="AV71:AW71" si="145">(AC71-AC$289)/AC$290</f>
        <v>-0.5434955432</v>
      </c>
      <c r="AW71" s="24">
        <f t="shared" si="145"/>
        <v>-0.5756494019</v>
      </c>
      <c r="AX71" s="24">
        <f t="shared" si="5"/>
        <v>-0.6832797937</v>
      </c>
      <c r="AY71" s="25">
        <f t="shared" si="6"/>
        <v>-0.7138785009</v>
      </c>
      <c r="AZ71" s="23">
        <f t="shared" si="7"/>
        <v>-0.8518841978</v>
      </c>
      <c r="BA71" s="25">
        <f t="shared" si="8"/>
        <v>-0.7984883368</v>
      </c>
      <c r="BB71" s="23">
        <f t="shared" si="9"/>
        <v>-0.4478529692</v>
      </c>
      <c r="BC71" s="24">
        <f t="shared" si="10"/>
        <v>-0.619713897</v>
      </c>
      <c r="BD71" s="25">
        <f t="shared" si="11"/>
        <v>-0.7186173852</v>
      </c>
      <c r="BE71" s="26">
        <f t="shared" ref="BE71:BF71" si="146">((S71-S$289)/S$290)</f>
        <v>-0.7626440528</v>
      </c>
      <c r="BF71" s="26">
        <f t="shared" si="146"/>
        <v>0.4777345852</v>
      </c>
    </row>
    <row r="72">
      <c r="A72" s="16" t="s">
        <v>82</v>
      </c>
      <c r="B72" s="20">
        <f t="shared" si="3"/>
        <v>0.5617690281</v>
      </c>
      <c r="C72" s="16" t="s">
        <v>68</v>
      </c>
      <c r="D72" s="16" t="s">
        <v>69</v>
      </c>
      <c r="E72" s="16">
        <v>39.0</v>
      </c>
      <c r="F72" s="21" t="s">
        <v>70</v>
      </c>
      <c r="G72" s="16" t="s">
        <v>71</v>
      </c>
      <c r="H72" s="21" t="s">
        <v>72</v>
      </c>
      <c r="I72" s="21" t="s">
        <v>73</v>
      </c>
      <c r="J72" s="21" t="s">
        <v>74</v>
      </c>
      <c r="K72" s="21" t="s">
        <v>99</v>
      </c>
      <c r="L72" s="16" t="s">
        <v>76</v>
      </c>
      <c r="M72" s="21" t="s">
        <v>85</v>
      </c>
      <c r="N72" s="16" t="s">
        <v>78</v>
      </c>
      <c r="O72" s="16" t="s">
        <v>79</v>
      </c>
      <c r="P72" s="16" t="s">
        <v>80</v>
      </c>
      <c r="Q72" s="21" t="s">
        <v>81</v>
      </c>
      <c r="S72" s="22">
        <v>232.600381374359</v>
      </c>
      <c r="T72" s="22">
        <v>124.386967182159</v>
      </c>
      <c r="U72" s="22">
        <v>2.78593101529089</v>
      </c>
      <c r="V72" s="22">
        <v>12.0318826142718</v>
      </c>
      <c r="W72" s="22">
        <v>3.46870042152272</v>
      </c>
      <c r="X72" s="22">
        <v>0.645264868198987</v>
      </c>
      <c r="Y72" s="22">
        <v>0.0792487944448818</v>
      </c>
      <c r="Z72" s="22">
        <v>0.00927418183008008</v>
      </c>
      <c r="AA72" s="22">
        <v>0.0963025536010342</v>
      </c>
      <c r="AB72" s="22">
        <v>0.80190688299647</v>
      </c>
      <c r="AC72" s="22">
        <v>0.0795374667499771</v>
      </c>
      <c r="AD72" s="22">
        <v>0.0964776462515562</v>
      </c>
      <c r="AE72" s="22">
        <v>0.802767285625473</v>
      </c>
      <c r="AF72" s="22">
        <v>0.114295989150157</v>
      </c>
      <c r="AG72" s="22">
        <v>0.142973362054162</v>
      </c>
      <c r="AH72" s="22">
        <v>0.570285083025513</v>
      </c>
      <c r="AI72" s="22">
        <v>10.0</v>
      </c>
      <c r="AJ72" s="22">
        <v>2.7859310152909</v>
      </c>
      <c r="AK72" s="22">
        <v>12.0318826142719</v>
      </c>
      <c r="AL72" s="22">
        <v>3.46870042152272</v>
      </c>
      <c r="AM72" s="22">
        <v>0.645128318357179</v>
      </c>
      <c r="AN72" s="22">
        <v>2.12762723556189</v>
      </c>
      <c r="AO72" s="22">
        <v>6.66041011588916</v>
      </c>
      <c r="AP72" s="22">
        <v>2.58077703722913</v>
      </c>
      <c r="AQ72" s="22">
        <v>0.802767285625472</v>
      </c>
      <c r="AR72" s="22">
        <v>3.05741770976671</v>
      </c>
      <c r="AS72" s="22">
        <v>14.627086591325</v>
      </c>
      <c r="AT72" s="22">
        <v>3.82453743494884</v>
      </c>
      <c r="AU72" s="22">
        <v>0.570285083025513</v>
      </c>
      <c r="AV72" s="23">
        <f t="shared" ref="AV72:AW72" si="147">(AC72-AC$289)/AC$290</f>
        <v>-0.7443256805</v>
      </c>
      <c r="AW72" s="24">
        <f t="shared" si="147"/>
        <v>-0.7683355732</v>
      </c>
      <c r="AX72" s="24">
        <f t="shared" si="5"/>
        <v>-0.247650548</v>
      </c>
      <c r="AY72" s="25">
        <f t="shared" si="6"/>
        <v>-0.295763184</v>
      </c>
      <c r="AZ72" s="23">
        <f t="shared" si="7"/>
        <v>-0.4316402712</v>
      </c>
      <c r="BA72" s="25">
        <f t="shared" si="8"/>
        <v>-0.4896927721</v>
      </c>
      <c r="BB72" s="23">
        <f t="shared" si="9"/>
        <v>-0.6547299481</v>
      </c>
      <c r="BC72" s="24">
        <f t="shared" si="10"/>
        <v>-0.3480006988</v>
      </c>
      <c r="BD72" s="25">
        <f t="shared" si="11"/>
        <v>-0.5266889907</v>
      </c>
      <c r="BE72" s="26">
        <f t="shared" ref="BE72:BF72" si="148">((S72-S$289)/S$290)</f>
        <v>-0.6248485328</v>
      </c>
      <c r="BF72" s="26">
        <f t="shared" si="148"/>
        <v>-1.04778311</v>
      </c>
    </row>
    <row r="73">
      <c r="A73" s="16" t="s">
        <v>67</v>
      </c>
      <c r="B73" s="20">
        <f t="shared" si="3"/>
        <v>0.5589580666</v>
      </c>
      <c r="C73" s="16" t="s">
        <v>68</v>
      </c>
      <c r="D73" s="16" t="s">
        <v>69</v>
      </c>
      <c r="E73" s="16">
        <v>239.0</v>
      </c>
      <c r="F73" s="21" t="s">
        <v>102</v>
      </c>
      <c r="G73" s="16" t="s">
        <v>100</v>
      </c>
      <c r="H73" s="21" t="s">
        <v>105</v>
      </c>
      <c r="I73" s="21" t="s">
        <v>88</v>
      </c>
      <c r="J73" s="21" t="s">
        <v>74</v>
      </c>
      <c r="K73" s="21" t="s">
        <v>75</v>
      </c>
      <c r="L73" s="16" t="s">
        <v>84</v>
      </c>
      <c r="M73" s="21" t="s">
        <v>85</v>
      </c>
      <c r="N73" s="16" t="s">
        <v>95</v>
      </c>
      <c r="O73" s="16" t="s">
        <v>92</v>
      </c>
      <c r="P73" s="16" t="s">
        <v>80</v>
      </c>
      <c r="Q73" s="21" t="s">
        <v>89</v>
      </c>
      <c r="S73" s="22">
        <v>950.914519071579</v>
      </c>
      <c r="T73" s="22">
        <v>401.271761417388</v>
      </c>
      <c r="U73" s="22">
        <v>2.53548010498642</v>
      </c>
      <c r="V73" s="22">
        <v>10.4004422762606</v>
      </c>
      <c r="W73" s="22">
        <v>3.22497167061366</v>
      </c>
      <c r="X73" s="22">
        <v>0.685644311579161</v>
      </c>
      <c r="Y73" s="22">
        <v>0.074947948838921</v>
      </c>
      <c r="Z73" s="22">
        <v>0.00820423294948697</v>
      </c>
      <c r="AA73" s="22">
        <v>0.0905772209194286</v>
      </c>
      <c r="AB73" s="22">
        <v>0.805474223982382</v>
      </c>
      <c r="AC73" s="22">
        <v>0.0754220632197426</v>
      </c>
      <c r="AD73" s="22">
        <v>0.0908833063315327</v>
      </c>
      <c r="AE73" s="22">
        <v>0.807355834945914</v>
      </c>
      <c r="AF73" s="22">
        <v>0.0933387705525995</v>
      </c>
      <c r="AG73" s="22">
        <v>0.119123033345126</v>
      </c>
      <c r="AH73" s="22">
        <v>0.67345716469297</v>
      </c>
      <c r="AI73" s="22">
        <v>10.0</v>
      </c>
      <c r="AJ73" s="22">
        <v>2.53548010498641</v>
      </c>
      <c r="AK73" s="22">
        <v>10.4004422762606</v>
      </c>
      <c r="AL73" s="22">
        <v>3.22497167061366</v>
      </c>
      <c r="AM73" s="22">
        <v>0.68545301868762</v>
      </c>
      <c r="AN73" s="22">
        <v>2.08667708241282</v>
      </c>
      <c r="AO73" s="22">
        <v>6.32239916913514</v>
      </c>
      <c r="AP73" s="22">
        <v>2.51443814183907</v>
      </c>
      <c r="AQ73" s="22">
        <v>0.807355834945913</v>
      </c>
      <c r="AR73" s="22">
        <v>2.58237265195519</v>
      </c>
      <c r="AS73" s="22">
        <v>10.8618840598075</v>
      </c>
      <c r="AT73" s="22">
        <v>3.29573725588184</v>
      </c>
      <c r="AU73" s="22">
        <v>0.67345716469297</v>
      </c>
      <c r="AV73" s="23">
        <f t="shared" ref="AV73:AW73" si="149">(AC73-AC$289)/AC$290</f>
        <v>-0.9050359871</v>
      </c>
      <c r="AW73" s="24">
        <f t="shared" si="149"/>
        <v>-0.9487252314</v>
      </c>
      <c r="AX73" s="24">
        <f t="shared" si="5"/>
        <v>-1.059605175</v>
      </c>
      <c r="AY73" s="25">
        <f t="shared" si="6"/>
        <v>-1.066042533</v>
      </c>
      <c r="AZ73" s="23">
        <f t="shared" si="7"/>
        <v>-0.893782826</v>
      </c>
      <c r="BA73" s="25">
        <f t="shared" si="8"/>
        <v>-0.8606590844</v>
      </c>
      <c r="BB73" s="23">
        <f t="shared" si="9"/>
        <v>-0.6751922859</v>
      </c>
      <c r="BC73" s="24">
        <f t="shared" si="10"/>
        <v>-0.8693038208</v>
      </c>
      <c r="BD73" s="25">
        <f t="shared" si="11"/>
        <v>-0.765865316</v>
      </c>
      <c r="BE73" s="26">
        <f t="shared" ref="BE73:BF73" si="150">((S73-S$289)/S$290)</f>
        <v>0.7542763593</v>
      </c>
      <c r="BF73" s="26">
        <f t="shared" si="150"/>
        <v>1.141397167</v>
      </c>
    </row>
    <row r="74">
      <c r="A74" s="16" t="s">
        <v>67</v>
      </c>
      <c r="B74" s="20">
        <f t="shared" si="3"/>
        <v>0.5402250352</v>
      </c>
      <c r="C74" s="16" t="s">
        <v>68</v>
      </c>
      <c r="D74" s="16" t="s">
        <v>69</v>
      </c>
      <c r="E74" s="16">
        <v>143.0</v>
      </c>
      <c r="F74" s="21" t="s">
        <v>102</v>
      </c>
      <c r="G74" s="16" t="s">
        <v>71</v>
      </c>
      <c r="H74" s="21" t="s">
        <v>103</v>
      </c>
      <c r="I74" s="21" t="s">
        <v>73</v>
      </c>
      <c r="J74" s="21" t="s">
        <v>83</v>
      </c>
      <c r="K74" s="21" t="s">
        <v>75</v>
      </c>
      <c r="L74" s="16" t="s">
        <v>84</v>
      </c>
      <c r="M74" s="21" t="s">
        <v>85</v>
      </c>
      <c r="N74" s="16" t="s">
        <v>78</v>
      </c>
      <c r="O74" s="16" t="s">
        <v>79</v>
      </c>
      <c r="P74" s="16" t="s">
        <v>80</v>
      </c>
      <c r="Q74" s="21" t="s">
        <v>89</v>
      </c>
      <c r="S74" s="22">
        <v>630.298013210296</v>
      </c>
      <c r="T74" s="22">
        <v>321.262234687805</v>
      </c>
      <c r="U74" s="22">
        <v>2.61824132570009</v>
      </c>
      <c r="V74" s="22">
        <v>10.5663543398353</v>
      </c>
      <c r="W74" s="22">
        <v>3.2505929212738</v>
      </c>
      <c r="X74" s="22">
        <v>0.681285736126906</v>
      </c>
      <c r="Y74" s="22">
        <v>0.0853523940897028</v>
      </c>
      <c r="Z74" s="22">
        <v>0.0103682997273988</v>
      </c>
      <c r="AA74" s="22">
        <v>0.101824848280755</v>
      </c>
      <c r="AB74" s="22">
        <v>0.758675800411098</v>
      </c>
      <c r="AC74" s="22">
        <v>0.0855957899388389</v>
      </c>
      <c r="AD74" s="22">
        <v>0.101952862142251</v>
      </c>
      <c r="AE74" s="22">
        <v>0.75990335407323</v>
      </c>
      <c r="AF74" s="22">
        <v>0.0961800674138353</v>
      </c>
      <c r="AG74" s="22">
        <v>0.121119168784486</v>
      </c>
      <c r="AH74" s="22">
        <v>0.662172775443507</v>
      </c>
      <c r="AI74" s="22">
        <v>10.0</v>
      </c>
      <c r="AJ74" s="22">
        <v>2.61824132570008</v>
      </c>
      <c r="AK74" s="22">
        <v>10.5663543398353</v>
      </c>
      <c r="AL74" s="22">
        <v>3.2505929212738</v>
      </c>
      <c r="AM74" s="22">
        <v>0.681264135985947</v>
      </c>
      <c r="AN74" s="22">
        <v>2.36815018830788</v>
      </c>
      <c r="AO74" s="22">
        <v>7.95632509288772</v>
      </c>
      <c r="AP74" s="22">
        <v>2.82069585260228</v>
      </c>
      <c r="AQ74" s="22">
        <v>0.75990335407323</v>
      </c>
      <c r="AR74" s="22">
        <v>2.66098186511609</v>
      </c>
      <c r="AS74" s="22">
        <v>11.2289575156769</v>
      </c>
      <c r="AT74" s="22">
        <v>3.35096366970412</v>
      </c>
      <c r="AU74" s="22">
        <v>0.662172775443507</v>
      </c>
      <c r="AV74" s="23">
        <f t="shared" ref="AV74:AW74" si="151">(AC74-AC$289)/AC$290</f>
        <v>-0.507742568</v>
      </c>
      <c r="AW74" s="24">
        <f t="shared" si="151"/>
        <v>-0.591787073</v>
      </c>
      <c r="AX74" s="24">
        <f t="shared" si="5"/>
        <v>-0.9252450478</v>
      </c>
      <c r="AY74" s="25">
        <f t="shared" si="6"/>
        <v>-0.9855967089</v>
      </c>
      <c r="AZ74" s="23">
        <f t="shared" si="7"/>
        <v>-0.7410683402</v>
      </c>
      <c r="BA74" s="25">
        <f t="shared" si="8"/>
        <v>-0.8216623684</v>
      </c>
      <c r="BB74" s="23">
        <f t="shared" si="9"/>
        <v>-0.4635810285</v>
      </c>
      <c r="BC74" s="24">
        <f t="shared" si="10"/>
        <v>-0.8122865808</v>
      </c>
      <c r="BD74" s="25">
        <f t="shared" si="11"/>
        <v>-0.7410199591</v>
      </c>
      <c r="BE74" s="26">
        <f t="shared" ref="BE74:BF74" si="152">((S74-S$289)/S$290)</f>
        <v>0.1387097418</v>
      </c>
      <c r="BF74" s="26">
        <f t="shared" si="152"/>
        <v>0.5088045456</v>
      </c>
    </row>
    <row r="75">
      <c r="A75" s="16" t="s">
        <v>82</v>
      </c>
      <c r="B75" s="20">
        <f t="shared" si="3"/>
        <v>0.5341227109</v>
      </c>
      <c r="C75" s="16" t="s">
        <v>68</v>
      </c>
      <c r="D75" s="16" t="s">
        <v>69</v>
      </c>
      <c r="E75" s="16">
        <v>258.0</v>
      </c>
      <c r="F75" s="21" t="s">
        <v>102</v>
      </c>
      <c r="G75" s="16" t="s">
        <v>100</v>
      </c>
      <c r="H75" s="21" t="s">
        <v>105</v>
      </c>
      <c r="I75" s="21" t="s">
        <v>73</v>
      </c>
      <c r="J75" s="21" t="s">
        <v>74</v>
      </c>
      <c r="K75" s="21" t="s">
        <v>75</v>
      </c>
      <c r="L75" s="16" t="s">
        <v>90</v>
      </c>
      <c r="M75" s="21" t="s">
        <v>85</v>
      </c>
      <c r="N75" s="16" t="s">
        <v>95</v>
      </c>
      <c r="O75" s="16" t="s">
        <v>92</v>
      </c>
      <c r="P75" s="16" t="s">
        <v>80</v>
      </c>
      <c r="Q75" s="21" t="s">
        <v>93</v>
      </c>
      <c r="S75" s="22">
        <v>206.912825584411</v>
      </c>
      <c r="T75" s="22">
        <v>360.65058350563</v>
      </c>
      <c r="U75" s="22">
        <v>2.78286271399914</v>
      </c>
      <c r="V75" s="22">
        <v>12.381084359799</v>
      </c>
      <c r="W75" s="22">
        <v>3.5186765068416</v>
      </c>
      <c r="X75" s="22">
        <v>0.625738578933989</v>
      </c>
      <c r="Y75" s="22">
        <v>0.0818802306453339</v>
      </c>
      <c r="Z75" s="22">
        <v>0.0099576350968295</v>
      </c>
      <c r="AA75" s="22">
        <v>0.0997879506595335</v>
      </c>
      <c r="AB75" s="22">
        <v>0.765195296860037</v>
      </c>
      <c r="AC75" s="22">
        <v>0.0826176791938785</v>
      </c>
      <c r="AD75" s="22">
        <v>0.100387276759573</v>
      </c>
      <c r="AE75" s="22">
        <v>0.766103102272834</v>
      </c>
      <c r="AF75" s="22">
        <v>0.0925130837822979</v>
      </c>
      <c r="AG75" s="22">
        <v>0.119610460394956</v>
      </c>
      <c r="AH75" s="22">
        <v>0.671014032942225</v>
      </c>
      <c r="AI75" s="22">
        <v>10.0</v>
      </c>
      <c r="AJ75" s="22">
        <v>2.78286271399913</v>
      </c>
      <c r="AK75" s="22">
        <v>12.381084359799</v>
      </c>
      <c r="AL75" s="22">
        <v>3.5186765068416</v>
      </c>
      <c r="AM75" s="22">
        <v>0.62561220720463</v>
      </c>
      <c r="AN75" s="22">
        <v>2.28575579103058</v>
      </c>
      <c r="AO75" s="22">
        <v>7.71384701713494</v>
      </c>
      <c r="AP75" s="22">
        <v>2.77738132368152</v>
      </c>
      <c r="AQ75" s="22">
        <v>0.766103102272834</v>
      </c>
      <c r="AR75" s="22">
        <v>2.55952865131017</v>
      </c>
      <c r="AS75" s="22">
        <v>10.9509551270077</v>
      </c>
      <c r="AT75" s="22">
        <v>3.30922273759379</v>
      </c>
      <c r="AU75" s="22">
        <v>0.671014032942225</v>
      </c>
      <c r="AV75" s="23">
        <f t="shared" ref="AV75:AW75" si="153">(AC75-AC$289)/AC$290</f>
        <v>-0.6240405415</v>
      </c>
      <c r="AW75" s="24">
        <f t="shared" si="153"/>
        <v>-0.6422694205</v>
      </c>
      <c r="AX75" s="24">
        <f t="shared" si="5"/>
        <v>-1.098650507</v>
      </c>
      <c r="AY75" s="25">
        <f t="shared" si="6"/>
        <v>-1.04639884</v>
      </c>
      <c r="AZ75" s="23">
        <f t="shared" si="7"/>
        <v>-0.4373020298</v>
      </c>
      <c r="BA75" s="25">
        <f t="shared" si="8"/>
        <v>-0.4136268832</v>
      </c>
      <c r="BB75" s="23">
        <f t="shared" si="9"/>
        <v>-0.491228403</v>
      </c>
      <c r="BC75" s="24">
        <f t="shared" si="10"/>
        <v>-0.8569592777</v>
      </c>
      <c r="BD75" s="25">
        <f t="shared" si="11"/>
        <v>-0.4109338403</v>
      </c>
      <c r="BE75" s="26">
        <f t="shared" ref="BE75:BF75" si="154">((S75-S$289)/S$290)</f>
        <v>-0.6741672719</v>
      </c>
      <c r="BF75" s="26">
        <f t="shared" si="154"/>
        <v>0.8202271956</v>
      </c>
    </row>
    <row r="76">
      <c r="A76" s="16" t="s">
        <v>82</v>
      </c>
      <c r="B76" s="20">
        <f t="shared" si="3"/>
        <v>0.5298959503</v>
      </c>
      <c r="C76" s="16" t="s">
        <v>68</v>
      </c>
      <c r="D76" s="16" t="s">
        <v>69</v>
      </c>
      <c r="E76" s="16">
        <v>204.0</v>
      </c>
      <c r="F76" s="21" t="s">
        <v>102</v>
      </c>
      <c r="G76" s="16" t="s">
        <v>71</v>
      </c>
      <c r="H76" s="21" t="s">
        <v>103</v>
      </c>
      <c r="I76" s="21" t="s">
        <v>88</v>
      </c>
      <c r="J76" s="21" t="s">
        <v>83</v>
      </c>
      <c r="K76" s="21" t="s">
        <v>75</v>
      </c>
      <c r="L76" s="16" t="s">
        <v>76</v>
      </c>
      <c r="M76" s="21" t="s">
        <v>77</v>
      </c>
      <c r="N76" s="16" t="s">
        <v>78</v>
      </c>
      <c r="O76" s="16" t="s">
        <v>86</v>
      </c>
      <c r="P76" s="16" t="s">
        <v>80</v>
      </c>
      <c r="Q76" s="21" t="s">
        <v>104</v>
      </c>
      <c r="R76" s="21" t="s">
        <v>94</v>
      </c>
      <c r="S76" s="22">
        <v>375.725408315658</v>
      </c>
      <c r="T76" s="22">
        <v>414.0446331501</v>
      </c>
      <c r="U76" s="22">
        <v>2.57739624886356</v>
      </c>
      <c r="V76" s="22">
        <v>10.6708658961687</v>
      </c>
      <c r="W76" s="22">
        <v>3.2666291335517</v>
      </c>
      <c r="X76" s="22">
        <v>0.678114110708726</v>
      </c>
      <c r="Y76" s="22">
        <v>0.0817718025032376</v>
      </c>
      <c r="Z76" s="22">
        <v>0.0101182450251458</v>
      </c>
      <c r="AA76" s="22">
        <v>0.100589487647297</v>
      </c>
      <c r="AB76" s="22">
        <v>0.76331611929495</v>
      </c>
      <c r="AC76" s="22">
        <v>0.0820629502074972</v>
      </c>
      <c r="AD76" s="22">
        <v>0.100752939570317</v>
      </c>
      <c r="AE76" s="22">
        <v>0.764423354462894</v>
      </c>
      <c r="AF76" s="22">
        <v>0.0961958842410081</v>
      </c>
      <c r="AG76" s="22">
        <v>0.122560014885088</v>
      </c>
      <c r="AH76" s="22">
        <v>0.654562869408774</v>
      </c>
      <c r="AI76" s="22">
        <v>10.0</v>
      </c>
      <c r="AJ76" s="22">
        <v>2.57739624886355</v>
      </c>
      <c r="AK76" s="22">
        <v>10.6708658961687</v>
      </c>
      <c r="AL76" s="22">
        <v>3.2666291335517</v>
      </c>
      <c r="AM76" s="22">
        <v>0.678008713133213</v>
      </c>
      <c r="AN76" s="22">
        <v>2.27040828907403</v>
      </c>
      <c r="AO76" s="22">
        <v>7.77014507089569</v>
      </c>
      <c r="AP76" s="22">
        <v>2.78749799477877</v>
      </c>
      <c r="AQ76" s="22">
        <v>0.764423354462894</v>
      </c>
      <c r="AR76" s="22">
        <v>2.66141946400119</v>
      </c>
      <c r="AS76" s="22">
        <v>11.4977082762037</v>
      </c>
      <c r="AT76" s="22">
        <v>3.39082707848744</v>
      </c>
      <c r="AU76" s="22">
        <v>0.654562869408774</v>
      </c>
      <c r="AV76" s="23">
        <f t="shared" ref="AV76:AW76" si="155">(AC76-AC$289)/AC$290</f>
        <v>-0.6457032204</v>
      </c>
      <c r="AW76" s="24">
        <f t="shared" si="155"/>
        <v>-0.6304786122</v>
      </c>
      <c r="AX76" s="24">
        <f t="shared" si="5"/>
        <v>-0.9244970968</v>
      </c>
      <c r="AY76" s="25">
        <f t="shared" si="6"/>
        <v>-0.9275294809</v>
      </c>
      <c r="AZ76" s="23">
        <f t="shared" si="7"/>
        <v>-0.8164373941</v>
      </c>
      <c r="BA76" s="25">
        <f t="shared" si="8"/>
        <v>-0.7972545195</v>
      </c>
      <c r="BB76" s="23">
        <f t="shared" si="9"/>
        <v>-0.4837376767</v>
      </c>
      <c r="BC76" s="24">
        <f t="shared" si="10"/>
        <v>-0.7738355996</v>
      </c>
      <c r="BD76" s="25">
        <f t="shared" si="11"/>
        <v>-0.7217111962</v>
      </c>
      <c r="BE76" s="26">
        <f t="shared" ref="BE76:BF76" si="156">((S76-S$289)/S$290)</f>
        <v>-0.3500561028</v>
      </c>
      <c r="BF76" s="26">
        <f t="shared" si="156"/>
        <v>1.242385446</v>
      </c>
    </row>
    <row r="77">
      <c r="A77" s="16" t="s">
        <v>82</v>
      </c>
      <c r="B77" s="20">
        <f t="shared" si="3"/>
        <v>0.5273706237</v>
      </c>
      <c r="C77" s="16" t="s">
        <v>68</v>
      </c>
      <c r="D77" s="16" t="s">
        <v>69</v>
      </c>
      <c r="E77" s="16">
        <v>190.0</v>
      </c>
      <c r="F77" s="21" t="s">
        <v>102</v>
      </c>
      <c r="G77" s="16" t="s">
        <v>71</v>
      </c>
      <c r="H77" s="21" t="s">
        <v>103</v>
      </c>
      <c r="I77" s="21" t="s">
        <v>73</v>
      </c>
      <c r="J77" s="21" t="s">
        <v>97</v>
      </c>
      <c r="K77" s="21" t="s">
        <v>75</v>
      </c>
      <c r="L77" s="16" t="s">
        <v>90</v>
      </c>
      <c r="M77" s="21" t="s">
        <v>77</v>
      </c>
      <c r="N77" s="16" t="s">
        <v>78</v>
      </c>
      <c r="O77" s="16" t="s">
        <v>86</v>
      </c>
      <c r="P77" s="16" t="s">
        <v>80</v>
      </c>
      <c r="Q77" s="21" t="s">
        <v>94</v>
      </c>
      <c r="R77" s="21" t="s">
        <v>93</v>
      </c>
      <c r="S77" s="22">
        <v>157.403620719909</v>
      </c>
      <c r="T77" s="22">
        <v>327.443349361419</v>
      </c>
      <c r="U77" s="22">
        <v>2.61171149145775</v>
      </c>
      <c r="V77" s="22">
        <v>11.1052886458276</v>
      </c>
      <c r="W77" s="22">
        <v>3.3324598490946</v>
      </c>
      <c r="X77" s="22">
        <v>0.665020953879523</v>
      </c>
      <c r="Y77" s="22">
        <v>0.0935944878399295</v>
      </c>
      <c r="Z77" s="22">
        <v>0.0138037628621749</v>
      </c>
      <c r="AA77" s="22">
        <v>0.117489415958097</v>
      </c>
      <c r="AB77" s="22">
        <v>0.678714725498674</v>
      </c>
      <c r="AC77" s="22">
        <v>0.0940867253858857</v>
      </c>
      <c r="AD77" s="22">
        <v>0.11784597787852</v>
      </c>
      <c r="AE77" s="22">
        <v>0.679212987094113</v>
      </c>
      <c r="AF77" s="22">
        <v>0.0914759726074548</v>
      </c>
      <c r="AG77" s="22">
        <v>0.118332336268836</v>
      </c>
      <c r="AH77" s="22">
        <v>0.677540066681564</v>
      </c>
      <c r="AI77" s="22">
        <v>10.0</v>
      </c>
      <c r="AJ77" s="22">
        <v>2.61171149145774</v>
      </c>
      <c r="AK77" s="22">
        <v>11.1052886458276</v>
      </c>
      <c r="AL77" s="22">
        <v>3.3324598490946</v>
      </c>
      <c r="AM77" s="22">
        <v>0.665007091584203</v>
      </c>
      <c r="AN77" s="22">
        <v>2.60306606900948</v>
      </c>
      <c r="AO77" s="22">
        <v>10.6302432939194</v>
      </c>
      <c r="AP77" s="22">
        <v>3.2604053879724</v>
      </c>
      <c r="AQ77" s="22">
        <v>0.679212987094113</v>
      </c>
      <c r="AR77" s="22">
        <v>2.53083524213952</v>
      </c>
      <c r="AS77" s="22">
        <v>10.7181678341475</v>
      </c>
      <c r="AT77" s="22">
        <v>3.27386130343781</v>
      </c>
      <c r="AU77" s="22">
        <v>0.677540066681563</v>
      </c>
      <c r="AV77" s="23">
        <f t="shared" ref="AV77:AW77" si="157">(AC77-AC$289)/AC$290</f>
        <v>-0.1761637014</v>
      </c>
      <c r="AW77" s="24">
        <f t="shared" si="157"/>
        <v>-0.0793130805</v>
      </c>
      <c r="AX77" s="24">
        <f t="shared" si="5"/>
        <v>-1.147693742</v>
      </c>
      <c r="AY77" s="25">
        <f t="shared" si="6"/>
        <v>-1.097908245</v>
      </c>
      <c r="AZ77" s="23">
        <f t="shared" si="7"/>
        <v>-0.753117465</v>
      </c>
      <c r="BA77" s="25">
        <f t="shared" si="8"/>
        <v>-0.6970571579</v>
      </c>
      <c r="BB77" s="23">
        <f t="shared" si="9"/>
        <v>-0.1037475762</v>
      </c>
      <c r="BC77" s="24">
        <f t="shared" si="10"/>
        <v>-0.8899337191</v>
      </c>
      <c r="BD77" s="25">
        <f t="shared" si="11"/>
        <v>-0.6445951845</v>
      </c>
      <c r="BE77" s="26">
        <f t="shared" ref="BE77:BF77" si="158">((S77-S$289)/S$290)</f>
        <v>-0.7692223088</v>
      </c>
      <c r="BF77" s="26">
        <f t="shared" si="158"/>
        <v>0.5576753201</v>
      </c>
    </row>
    <row r="78">
      <c r="A78" s="16" t="s">
        <v>67</v>
      </c>
      <c r="B78" s="20">
        <f t="shared" si="3"/>
        <v>0.5258755266</v>
      </c>
      <c r="C78" s="16" t="s">
        <v>68</v>
      </c>
      <c r="D78" s="16" t="s">
        <v>69</v>
      </c>
      <c r="E78" s="16">
        <v>23.0</v>
      </c>
      <c r="F78" s="21" t="s">
        <v>70</v>
      </c>
      <c r="G78" s="16" t="s">
        <v>71</v>
      </c>
      <c r="H78" s="21" t="s">
        <v>72</v>
      </c>
      <c r="I78" s="21" t="s">
        <v>88</v>
      </c>
      <c r="J78" s="21" t="s">
        <v>83</v>
      </c>
      <c r="K78" s="21" t="s">
        <v>75</v>
      </c>
      <c r="L78" s="16" t="s">
        <v>76</v>
      </c>
      <c r="M78" s="21" t="s">
        <v>77</v>
      </c>
      <c r="N78" s="16" t="s">
        <v>95</v>
      </c>
      <c r="O78" s="16" t="s">
        <v>92</v>
      </c>
      <c r="P78" s="16" t="s">
        <v>80</v>
      </c>
      <c r="Q78" s="21" t="s">
        <v>94</v>
      </c>
      <c r="R78" s="21" t="s">
        <v>94</v>
      </c>
      <c r="S78" s="22">
        <v>211.506340265274</v>
      </c>
      <c r="T78" s="22">
        <v>139.434917688369</v>
      </c>
      <c r="U78" s="22">
        <v>2.52674089178708</v>
      </c>
      <c r="V78" s="22">
        <v>10.2824342390115</v>
      </c>
      <c r="W78" s="22">
        <v>3.20662349505076</v>
      </c>
      <c r="X78" s="22">
        <v>0.693185185352805</v>
      </c>
      <c r="Y78" s="22">
        <v>0.0972802994366331</v>
      </c>
      <c r="Z78" s="22">
        <v>0.0138745715488924</v>
      </c>
      <c r="AA78" s="22">
        <v>0.117790371206191</v>
      </c>
      <c r="AB78" s="22">
        <v>0.700281217416714</v>
      </c>
      <c r="AC78" s="22">
        <v>0.0975378543212483</v>
      </c>
      <c r="AD78" s="22">
        <v>0.117891779290153</v>
      </c>
      <c r="AE78" s="22">
        <v>0.702393983130161</v>
      </c>
      <c r="AF78" s="22">
        <v>0.108636331412106</v>
      </c>
      <c r="AG78" s="22">
        <v>0.141074903983796</v>
      </c>
      <c r="AH78" s="22">
        <v>0.57620450175608</v>
      </c>
      <c r="AI78" s="22">
        <v>10.0</v>
      </c>
      <c r="AJ78" s="22">
        <v>2.52674089178709</v>
      </c>
      <c r="AK78" s="22">
        <v>10.2824342390115</v>
      </c>
      <c r="AL78" s="22">
        <v>3.20662349505076</v>
      </c>
      <c r="AM78" s="22">
        <v>0.693157553446192</v>
      </c>
      <c r="AN78" s="22">
        <v>2.60913760309339</v>
      </c>
      <c r="AO78" s="22">
        <v>9.94522510159032</v>
      </c>
      <c r="AP78" s="22">
        <v>3.15360509601159</v>
      </c>
      <c r="AQ78" s="22">
        <v>0.702393983130161</v>
      </c>
      <c r="AR78" s="22">
        <v>2.90602186527384</v>
      </c>
      <c r="AS78" s="22">
        <v>14.2412168491371</v>
      </c>
      <c r="AT78" s="22">
        <v>3.77375368156655</v>
      </c>
      <c r="AU78" s="22">
        <v>0.576204501756081</v>
      </c>
      <c r="AV78" s="23">
        <f t="shared" ref="AV78:AW78" si="159">(AC78-AC$289)/AC$290</f>
        <v>-0.04139393095</v>
      </c>
      <c r="AW78" s="24">
        <f t="shared" si="159"/>
        <v>-0.07783621261</v>
      </c>
      <c r="AX78" s="24">
        <f t="shared" si="5"/>
        <v>-0.506418752</v>
      </c>
      <c r="AY78" s="25">
        <f t="shared" si="6"/>
        <v>-0.369737585</v>
      </c>
      <c r="AZ78" s="23">
        <f t="shared" si="7"/>
        <v>-0.9099087898</v>
      </c>
      <c r="BA78" s="25">
        <f t="shared" si="8"/>
        <v>-0.8885858473</v>
      </c>
      <c r="BB78" s="23">
        <f t="shared" si="9"/>
        <v>-0.2071217228</v>
      </c>
      <c r="BC78" s="24">
        <f t="shared" si="10"/>
        <v>-0.377910064</v>
      </c>
      <c r="BD78" s="25">
        <f t="shared" si="11"/>
        <v>-0.8115629231</v>
      </c>
      <c r="BE78" s="26">
        <f t="shared" ref="BE78:BF78" si="160">((S78-S$289)/S$290)</f>
        <v>-0.6653479684</v>
      </c>
      <c r="BF78" s="26">
        <f t="shared" si="160"/>
        <v>-0.9288069971</v>
      </c>
    </row>
    <row r="79">
      <c r="A79" s="16" t="s">
        <v>67</v>
      </c>
      <c r="B79" s="20">
        <f t="shared" si="3"/>
        <v>0.5252927196</v>
      </c>
      <c r="C79" s="16" t="s">
        <v>68</v>
      </c>
      <c r="D79" s="16" t="s">
        <v>69</v>
      </c>
      <c r="E79" s="16">
        <v>25.0</v>
      </c>
      <c r="F79" s="21" t="s">
        <v>70</v>
      </c>
      <c r="G79" s="16" t="s">
        <v>71</v>
      </c>
      <c r="H79" s="21" t="s">
        <v>72</v>
      </c>
      <c r="I79" s="21" t="s">
        <v>73</v>
      </c>
      <c r="J79" s="21" t="s">
        <v>74</v>
      </c>
      <c r="K79" s="21" t="s">
        <v>99</v>
      </c>
      <c r="L79" s="16" t="s">
        <v>84</v>
      </c>
      <c r="M79" s="21" t="s">
        <v>85</v>
      </c>
      <c r="N79" s="16" t="s">
        <v>78</v>
      </c>
      <c r="O79" s="16" t="s">
        <v>86</v>
      </c>
      <c r="P79" s="16" t="s">
        <v>80</v>
      </c>
      <c r="Q79" s="21" t="s">
        <v>89</v>
      </c>
      <c r="S79" s="22">
        <v>360.979863643646</v>
      </c>
      <c r="T79" s="22">
        <v>127.863754749298</v>
      </c>
      <c r="U79" s="22">
        <v>2.76333122314235</v>
      </c>
      <c r="V79" s="22">
        <v>11.8393350068477</v>
      </c>
      <c r="W79" s="22">
        <v>3.44083347560554</v>
      </c>
      <c r="X79" s="22">
        <v>0.650973960569191</v>
      </c>
      <c r="Y79" s="22">
        <v>0.0781514312579634</v>
      </c>
      <c r="Z79" s="22">
        <v>0.00885712035130749</v>
      </c>
      <c r="AA79" s="22">
        <v>0.0941122752424331</v>
      </c>
      <c r="AB79" s="22">
        <v>0.810815162974786</v>
      </c>
      <c r="AC79" s="22">
        <v>0.078407554003569</v>
      </c>
      <c r="AD79" s="22">
        <v>0.0942580406157109</v>
      </c>
      <c r="AE79" s="22">
        <v>0.811738130134157</v>
      </c>
      <c r="AF79" s="22">
        <v>0.117451202084223</v>
      </c>
      <c r="AG79" s="22">
        <v>0.146652012203077</v>
      </c>
      <c r="AH79" s="22">
        <v>0.547887803753809</v>
      </c>
      <c r="AI79" s="22">
        <v>10.0</v>
      </c>
      <c r="AJ79" s="22">
        <v>2.76333122314236</v>
      </c>
      <c r="AK79" s="22">
        <v>11.8393350068477</v>
      </c>
      <c r="AL79" s="22">
        <v>3.44083347560554</v>
      </c>
      <c r="AM79" s="22">
        <v>0.65080737087402</v>
      </c>
      <c r="AN79" s="22">
        <v>2.09740206959547</v>
      </c>
      <c r="AO79" s="22">
        <v>6.35747100305896</v>
      </c>
      <c r="AP79" s="22">
        <v>2.52140258647027</v>
      </c>
      <c r="AQ79" s="22">
        <v>0.811738130134157</v>
      </c>
      <c r="AR79" s="22">
        <v>3.14181965575298</v>
      </c>
      <c r="AS79" s="22">
        <v>15.3894686506305</v>
      </c>
      <c r="AT79" s="22">
        <v>3.92294132643232</v>
      </c>
      <c r="AU79" s="22">
        <v>0.547887803753809</v>
      </c>
      <c r="AV79" s="23">
        <f t="shared" ref="AV79:AW79" si="161">(AC79-AC$289)/AC$290</f>
        <v>-0.7884498162</v>
      </c>
      <c r="AW79" s="24">
        <f t="shared" si="161"/>
        <v>-0.8399068234</v>
      </c>
      <c r="AX79" s="24">
        <f t="shared" si="5"/>
        <v>-0.1033893891</v>
      </c>
      <c r="AY79" s="25">
        <f t="shared" si="6"/>
        <v>-0.1524226776</v>
      </c>
      <c r="AZ79" s="23">
        <f t="shared" si="7"/>
        <v>-0.4733423583</v>
      </c>
      <c r="BA79" s="25">
        <f t="shared" si="8"/>
        <v>-0.532107539</v>
      </c>
      <c r="BB79" s="23">
        <f t="shared" si="9"/>
        <v>-0.6947348467</v>
      </c>
      <c r="BC79" s="24">
        <f t="shared" si="10"/>
        <v>-0.2348327621</v>
      </c>
      <c r="BD79" s="25">
        <f t="shared" si="11"/>
        <v>-0.5603729338</v>
      </c>
      <c r="BE79" s="26">
        <f t="shared" ref="BE79:BF79" si="162">((S79-S$289)/S$290)</f>
        <v>-0.3783667634</v>
      </c>
      <c r="BF79" s="26">
        <f t="shared" si="162"/>
        <v>-1.020294006</v>
      </c>
    </row>
    <row r="80">
      <c r="A80" s="16" t="s">
        <v>82</v>
      </c>
      <c r="B80" s="20">
        <f t="shared" si="3"/>
        <v>0.5221404933</v>
      </c>
      <c r="C80" s="16" t="s">
        <v>68</v>
      </c>
      <c r="D80" s="16" t="s">
        <v>69</v>
      </c>
      <c r="E80" s="16">
        <v>128.0</v>
      </c>
      <c r="F80" s="21" t="s">
        <v>70</v>
      </c>
      <c r="G80" s="16" t="s">
        <v>100</v>
      </c>
      <c r="H80" s="21" t="s">
        <v>101</v>
      </c>
      <c r="I80" s="21" t="s">
        <v>73</v>
      </c>
      <c r="J80" s="21" t="s">
        <v>97</v>
      </c>
      <c r="K80" s="21" t="s">
        <v>99</v>
      </c>
      <c r="L80" s="16" t="s">
        <v>90</v>
      </c>
      <c r="M80" s="21" t="s">
        <v>77</v>
      </c>
      <c r="N80" s="16" t="s">
        <v>95</v>
      </c>
      <c r="O80" s="16" t="s">
        <v>86</v>
      </c>
      <c r="P80" s="16" t="s">
        <v>80</v>
      </c>
      <c r="Q80" s="21" t="s">
        <v>96</v>
      </c>
      <c r="R80" s="21" t="s">
        <v>104</v>
      </c>
      <c r="S80" s="22">
        <v>200.121384382247</v>
      </c>
      <c r="T80" s="22">
        <v>128.748400211334</v>
      </c>
      <c r="U80" s="22">
        <v>2.74435958831128</v>
      </c>
      <c r="V80" s="22">
        <v>12.8314438653684</v>
      </c>
      <c r="W80" s="22">
        <v>3.5821004823104</v>
      </c>
      <c r="X80" s="22">
        <v>0.620456079514458</v>
      </c>
      <c r="Y80" s="22">
        <v>0.0882612795208991</v>
      </c>
      <c r="Z80" s="22">
        <v>0.0128285681316153</v>
      </c>
      <c r="AA80" s="22">
        <v>0.113263269119407</v>
      </c>
      <c r="AB80" s="22">
        <v>0.722164260749713</v>
      </c>
      <c r="AC80" s="22">
        <v>0.0890387656170457</v>
      </c>
      <c r="AD80" s="22">
        <v>0.1137703975007</v>
      </c>
      <c r="AE80" s="22">
        <v>0.724305314358507</v>
      </c>
      <c r="AF80" s="22">
        <v>0.102897717980495</v>
      </c>
      <c r="AG80" s="22">
        <v>0.135006043772955</v>
      </c>
      <c r="AH80" s="22">
        <v>0.614997115560363</v>
      </c>
      <c r="AI80" s="22">
        <v>10.0</v>
      </c>
      <c r="AJ80" s="22">
        <v>2.74435958831129</v>
      </c>
      <c r="AK80" s="22">
        <v>12.8314438653684</v>
      </c>
      <c r="AL80" s="22">
        <v>3.5821004823104</v>
      </c>
      <c r="AM80" s="22">
        <v>0.620365004103959</v>
      </c>
      <c r="AN80" s="22">
        <v>2.38178698025597</v>
      </c>
      <c r="AO80" s="22">
        <v>9.26202872657218</v>
      </c>
      <c r="AP80" s="22">
        <v>3.04335813314374</v>
      </c>
      <c r="AQ80" s="22">
        <v>0.724305314358507</v>
      </c>
      <c r="AR80" s="22">
        <v>2.75251395597824</v>
      </c>
      <c r="AS80" s="22">
        <v>13.0422942569045</v>
      </c>
      <c r="AT80" s="22">
        <v>3.61141167092655</v>
      </c>
      <c r="AU80" s="22">
        <v>0.614997115560363</v>
      </c>
      <c r="AV80" s="23">
        <f t="shared" ref="AV80:AW80" si="163">(AC80-AC$289)/AC$290</f>
        <v>-0.3732911898</v>
      </c>
      <c r="AW80" s="24">
        <f t="shared" si="163"/>
        <v>-0.2107302917</v>
      </c>
      <c r="AX80" s="24">
        <f t="shared" si="5"/>
        <v>-0.768796931</v>
      </c>
      <c r="AY80" s="25">
        <f t="shared" si="6"/>
        <v>-0.6062138631</v>
      </c>
      <c r="AZ80" s="23">
        <f t="shared" si="7"/>
        <v>-0.5083496169</v>
      </c>
      <c r="BA80" s="25">
        <f t="shared" si="8"/>
        <v>-0.3170926902</v>
      </c>
      <c r="BB80" s="23">
        <f t="shared" si="9"/>
        <v>-0.3048338818</v>
      </c>
      <c r="BC80" s="24">
        <f t="shared" si="10"/>
        <v>-0.5739195886</v>
      </c>
      <c r="BD80" s="25">
        <f t="shared" si="11"/>
        <v>-0.3798113089</v>
      </c>
      <c r="BE80" s="26">
        <f t="shared" ref="BE80:BF80" si="164">((S80-S$289)/S$290)</f>
        <v>-0.6872064774</v>
      </c>
      <c r="BF80" s="26">
        <f t="shared" si="164"/>
        <v>-1.013299587</v>
      </c>
    </row>
    <row r="81">
      <c r="A81" s="16" t="s">
        <v>82</v>
      </c>
      <c r="B81" s="20">
        <f t="shared" si="3"/>
        <v>0.5188353094</v>
      </c>
      <c r="C81" s="16" t="s">
        <v>68</v>
      </c>
      <c r="D81" s="16" t="s">
        <v>69</v>
      </c>
      <c r="E81" s="16">
        <v>186.0</v>
      </c>
      <c r="F81" s="21" t="s">
        <v>102</v>
      </c>
      <c r="G81" s="16" t="s">
        <v>71</v>
      </c>
      <c r="H81" s="21" t="s">
        <v>103</v>
      </c>
      <c r="I81" s="21" t="s">
        <v>73</v>
      </c>
      <c r="J81" s="21" t="s">
        <v>97</v>
      </c>
      <c r="K81" s="21" t="s">
        <v>75</v>
      </c>
      <c r="L81" s="16" t="s">
        <v>84</v>
      </c>
      <c r="M81" s="21" t="s">
        <v>77</v>
      </c>
      <c r="N81" s="16" t="s">
        <v>78</v>
      </c>
      <c r="O81" s="16" t="s">
        <v>86</v>
      </c>
      <c r="P81" s="16" t="s">
        <v>80</v>
      </c>
      <c r="Q81" s="21" t="s">
        <v>89</v>
      </c>
      <c r="R81" s="21" t="s">
        <v>98</v>
      </c>
      <c r="S81" s="22">
        <v>471.027339696884</v>
      </c>
      <c r="T81" s="22">
        <v>339.933345556259</v>
      </c>
      <c r="U81" s="22">
        <v>2.47089262673315</v>
      </c>
      <c r="V81" s="22">
        <v>9.76819465746647</v>
      </c>
      <c r="W81" s="22">
        <v>3.12541111815173</v>
      </c>
      <c r="X81" s="22">
        <v>0.705367537737398</v>
      </c>
      <c r="Y81" s="22">
        <v>0.0792067534531998</v>
      </c>
      <c r="Z81" s="22">
        <v>0.00960222767451605</v>
      </c>
      <c r="AA81" s="22">
        <v>0.0979909571058271</v>
      </c>
      <c r="AB81" s="22">
        <v>0.776506276945341</v>
      </c>
      <c r="AC81" s="22">
        <v>0.0795294254960363</v>
      </c>
      <c r="AD81" s="22">
        <v>0.0981940296685865</v>
      </c>
      <c r="AE81" s="22">
        <v>0.777280924961737</v>
      </c>
      <c r="AF81" s="22">
        <v>0.106811480998945</v>
      </c>
      <c r="AG81" s="22">
        <v>0.134420256093331</v>
      </c>
      <c r="AH81" s="22">
        <v>0.583899422272689</v>
      </c>
      <c r="AI81" s="22">
        <v>10.0</v>
      </c>
      <c r="AJ81" s="22">
        <v>2.47089262673314</v>
      </c>
      <c r="AK81" s="22">
        <v>9.76819465746648</v>
      </c>
      <c r="AL81" s="22">
        <v>3.12541111815173</v>
      </c>
      <c r="AM81" s="22">
        <v>0.705340757666323</v>
      </c>
      <c r="AN81" s="22">
        <v>2.20031410539027</v>
      </c>
      <c r="AO81" s="22">
        <v>7.38046697217149</v>
      </c>
      <c r="AP81" s="22">
        <v>2.71670148749756</v>
      </c>
      <c r="AQ81" s="22">
        <v>0.777280924961737</v>
      </c>
      <c r="AR81" s="22">
        <v>2.95511764097084</v>
      </c>
      <c r="AS81" s="22">
        <v>13.8306665949809</v>
      </c>
      <c r="AT81" s="22">
        <v>3.71896041858217</v>
      </c>
      <c r="AU81" s="22">
        <v>0.583899422272689</v>
      </c>
      <c r="AV81" s="23">
        <f t="shared" ref="AV81:AW81" si="165">(AC81-AC$289)/AC$290</f>
        <v>-0.7446396989</v>
      </c>
      <c r="AW81" s="24">
        <f t="shared" si="165"/>
        <v>-0.7129907386</v>
      </c>
      <c r="AX81" s="24">
        <f t="shared" si="5"/>
        <v>-0.4225034653</v>
      </c>
      <c r="AY81" s="25">
        <f t="shared" si="6"/>
        <v>-0.4495524576</v>
      </c>
      <c r="AZ81" s="23">
        <f t="shared" si="7"/>
        <v>-1.012962358</v>
      </c>
      <c r="BA81" s="25">
        <f t="shared" si="8"/>
        <v>-1.012194801</v>
      </c>
      <c r="BB81" s="23">
        <f t="shared" si="9"/>
        <v>-0.5410751775</v>
      </c>
      <c r="BC81" s="24">
        <f t="shared" si="10"/>
        <v>-0.4167906024</v>
      </c>
      <c r="BD81" s="25">
        <f t="shared" si="11"/>
        <v>-0.883824688</v>
      </c>
      <c r="BE81" s="26">
        <f t="shared" ref="BE81:BF81" si="166">((S81-S$289)/S$290)</f>
        <v>-0.1670814697</v>
      </c>
      <c r="BF81" s="26">
        <f t="shared" si="166"/>
        <v>0.6564270533</v>
      </c>
    </row>
    <row r="82">
      <c r="A82" s="16" t="s">
        <v>82</v>
      </c>
      <c r="B82" s="20">
        <f t="shared" si="3"/>
        <v>0.5168641498</v>
      </c>
      <c r="C82" s="16" t="s">
        <v>68</v>
      </c>
      <c r="D82" s="16" t="s">
        <v>69</v>
      </c>
      <c r="E82" s="16">
        <v>107.0</v>
      </c>
      <c r="F82" s="21" t="s">
        <v>70</v>
      </c>
      <c r="G82" s="16" t="s">
        <v>100</v>
      </c>
      <c r="H82" s="21" t="s">
        <v>101</v>
      </c>
      <c r="I82" s="21" t="s">
        <v>88</v>
      </c>
      <c r="J82" s="21" t="s">
        <v>74</v>
      </c>
      <c r="K82" s="21" t="s">
        <v>75</v>
      </c>
      <c r="L82" s="16" t="s">
        <v>76</v>
      </c>
      <c r="M82" s="21" t="s">
        <v>77</v>
      </c>
      <c r="N82" s="16" t="s">
        <v>78</v>
      </c>
      <c r="O82" s="16" t="s">
        <v>92</v>
      </c>
      <c r="P82" s="16" t="s">
        <v>80</v>
      </c>
      <c r="Q82" s="21" t="s">
        <v>81</v>
      </c>
      <c r="R82" s="21" t="s">
        <v>94</v>
      </c>
      <c r="S82" s="22">
        <v>314.520727396011</v>
      </c>
      <c r="T82" s="22">
        <v>132.66083073616</v>
      </c>
      <c r="U82" s="22">
        <v>2.68292914536878</v>
      </c>
      <c r="V82" s="22">
        <v>11.5539527015838</v>
      </c>
      <c r="W82" s="22">
        <v>3.39911057507457</v>
      </c>
      <c r="X82" s="22">
        <v>0.653736650267733</v>
      </c>
      <c r="Y82" s="22">
        <v>0.0857359428329555</v>
      </c>
      <c r="Z82" s="22">
        <v>0.0112585830864251</v>
      </c>
      <c r="AA82" s="22">
        <v>0.106106470521006</v>
      </c>
      <c r="AB82" s="22">
        <v>0.753085577438937</v>
      </c>
      <c r="AC82" s="22">
        <v>0.0863502544099252</v>
      </c>
      <c r="AD82" s="22">
        <v>0.106487578285094</v>
      </c>
      <c r="AE82" s="22">
        <v>0.755799368066777</v>
      </c>
      <c r="AF82" s="22">
        <v>0.112489573340108</v>
      </c>
      <c r="AG82" s="22">
        <v>0.140948569438653</v>
      </c>
      <c r="AH82" s="22">
        <v>0.574019179167506</v>
      </c>
      <c r="AI82" s="22">
        <v>10.0</v>
      </c>
      <c r="AJ82" s="22">
        <v>2.68292914536879</v>
      </c>
      <c r="AK82" s="22">
        <v>11.5539527015838</v>
      </c>
      <c r="AL82" s="22">
        <v>3.39911057507458</v>
      </c>
      <c r="AM82" s="22">
        <v>0.653671810089509</v>
      </c>
      <c r="AN82" s="22">
        <v>2.3098693054655</v>
      </c>
      <c r="AO82" s="22">
        <v>8.11419562268725</v>
      </c>
      <c r="AP82" s="22">
        <v>2.84854271912626</v>
      </c>
      <c r="AQ82" s="22">
        <v>0.755799368066777</v>
      </c>
      <c r="AR82" s="22">
        <v>3.00909608684788</v>
      </c>
      <c r="AS82" s="22">
        <v>14.2157218529792</v>
      </c>
      <c r="AT82" s="22">
        <v>3.77037423248398</v>
      </c>
      <c r="AU82" s="22">
        <v>0.574019179167506</v>
      </c>
      <c r="AV82" s="23">
        <f t="shared" ref="AV82:AW82" si="167">(AC82-AC$289)/AC$290</f>
        <v>-0.478280034</v>
      </c>
      <c r="AW82" s="24">
        <f t="shared" si="167"/>
        <v>-0.4455650153</v>
      </c>
      <c r="AX82" s="24">
        <f t="shared" si="5"/>
        <v>-0.3302426404</v>
      </c>
      <c r="AY82" s="25">
        <f t="shared" si="6"/>
        <v>-0.3746602759</v>
      </c>
      <c r="AZ82" s="23">
        <f t="shared" si="7"/>
        <v>-0.6217036543</v>
      </c>
      <c r="BA82" s="25">
        <f t="shared" si="8"/>
        <v>-0.5956117029</v>
      </c>
      <c r="BB82" s="23">
        <f t="shared" si="9"/>
        <v>-0.4452795694</v>
      </c>
      <c r="BC82" s="24">
        <f t="shared" si="10"/>
        <v>-0.3668681671</v>
      </c>
      <c r="BD82" s="25">
        <f t="shared" si="11"/>
        <v>-0.5773626706</v>
      </c>
      <c r="BE82" s="26">
        <f t="shared" ref="BE82:BF82" si="168">((S82-S$289)/S$290)</f>
        <v>-0.4675658309</v>
      </c>
      <c r="BF82" s="26">
        <f t="shared" si="168"/>
        <v>-0.9823660868</v>
      </c>
    </row>
    <row r="83">
      <c r="A83" s="16" t="s">
        <v>67</v>
      </c>
      <c r="B83" s="20">
        <f t="shared" si="3"/>
        <v>0.5118276064</v>
      </c>
      <c r="C83" s="16" t="s">
        <v>68</v>
      </c>
      <c r="D83" s="16" t="s">
        <v>69</v>
      </c>
      <c r="E83" s="16">
        <v>33.0</v>
      </c>
      <c r="F83" s="21" t="s">
        <v>70</v>
      </c>
      <c r="G83" s="16" t="s">
        <v>71</v>
      </c>
      <c r="H83" s="21" t="s">
        <v>72</v>
      </c>
      <c r="I83" s="21" t="s">
        <v>73</v>
      </c>
      <c r="J83" s="21" t="s">
        <v>74</v>
      </c>
      <c r="K83" s="21" t="s">
        <v>99</v>
      </c>
      <c r="L83" s="16" t="s">
        <v>76</v>
      </c>
      <c r="M83" s="21" t="s">
        <v>85</v>
      </c>
      <c r="N83" s="16" t="s">
        <v>78</v>
      </c>
      <c r="O83" s="16" t="s">
        <v>86</v>
      </c>
      <c r="P83" s="16" t="s">
        <v>80</v>
      </c>
      <c r="Q83" s="21" t="s">
        <v>94</v>
      </c>
      <c r="S83" s="22">
        <v>302.832805633544</v>
      </c>
      <c r="T83" s="22">
        <v>125.415813446044</v>
      </c>
      <c r="U83" s="22">
        <v>2.80557806661073</v>
      </c>
      <c r="V83" s="22">
        <v>12.1097129166152</v>
      </c>
      <c r="W83" s="22">
        <v>3.47990127972263</v>
      </c>
      <c r="X83" s="22">
        <v>0.642964944959387</v>
      </c>
      <c r="Y83" s="22">
        <v>0.0855165165613301</v>
      </c>
      <c r="Z83" s="22">
        <v>0.0105196062786324</v>
      </c>
      <c r="AA83" s="22">
        <v>0.102565131885219</v>
      </c>
      <c r="AB83" s="22">
        <v>0.77530507428425</v>
      </c>
      <c r="AC83" s="22">
        <v>0.0858039765214551</v>
      </c>
      <c r="AD83" s="22">
        <v>0.10273500584407</v>
      </c>
      <c r="AE83" s="22">
        <v>0.776353321528594</v>
      </c>
      <c r="AF83" s="22">
        <v>0.112718799996355</v>
      </c>
      <c r="AG83" s="22">
        <v>0.140763629117887</v>
      </c>
      <c r="AH83" s="22">
        <v>0.583465401924709</v>
      </c>
      <c r="AI83" s="22">
        <v>10.0</v>
      </c>
      <c r="AJ83" s="22">
        <v>2.80557806661073</v>
      </c>
      <c r="AK83" s="22">
        <v>12.1097129166152</v>
      </c>
      <c r="AL83" s="22">
        <v>3.47990127972263</v>
      </c>
      <c r="AM83" s="22">
        <v>0.642832769841556</v>
      </c>
      <c r="AN83" s="22">
        <v>2.29525637194892</v>
      </c>
      <c r="AO83" s="22">
        <v>7.55239111523549</v>
      </c>
      <c r="AP83" s="22">
        <v>2.74816140632887</v>
      </c>
      <c r="AQ83" s="22">
        <v>0.776353321528594</v>
      </c>
      <c r="AR83" s="22">
        <v>3.0152278999025</v>
      </c>
      <c r="AS83" s="22">
        <v>14.1784410865397</v>
      </c>
      <c r="AT83" s="22">
        <v>3.76542707890349</v>
      </c>
      <c r="AU83" s="22">
        <v>0.583465401924709</v>
      </c>
      <c r="AV83" s="23">
        <f t="shared" ref="AV83:AW83" si="169">(AC83-AC$289)/AC$290</f>
        <v>-0.4996126898</v>
      </c>
      <c r="AW83" s="24">
        <f t="shared" si="169"/>
        <v>-0.5665668259</v>
      </c>
      <c r="AX83" s="24">
        <f t="shared" si="5"/>
        <v>-0.3197620473</v>
      </c>
      <c r="AY83" s="25">
        <f t="shared" si="6"/>
        <v>-0.3818665712</v>
      </c>
      <c r="AZ83" s="23">
        <f t="shared" si="7"/>
        <v>-0.3953867056</v>
      </c>
      <c r="BA83" s="25">
        <f t="shared" si="8"/>
        <v>-0.4726445533</v>
      </c>
      <c r="BB83" s="23">
        <f t="shared" si="9"/>
        <v>-0.5369385903</v>
      </c>
      <c r="BC83" s="24">
        <f t="shared" si="10"/>
        <v>-0.4145976045</v>
      </c>
      <c r="BD83" s="25">
        <f t="shared" si="11"/>
        <v>-0.5130734931</v>
      </c>
      <c r="BE83" s="26">
        <f t="shared" ref="BE83:BF83" si="170">((S83-S$289)/S$290)</f>
        <v>-0.4900060183</v>
      </c>
      <c r="BF83" s="26">
        <f t="shared" si="170"/>
        <v>-1.039648571</v>
      </c>
    </row>
    <row r="84">
      <c r="A84" s="16" t="s">
        <v>82</v>
      </c>
      <c r="B84" s="20">
        <f t="shared" si="3"/>
        <v>0.4997706851</v>
      </c>
      <c r="C84" s="16" t="s">
        <v>68</v>
      </c>
      <c r="D84" s="16" t="s">
        <v>69</v>
      </c>
      <c r="E84" s="16">
        <v>117.0</v>
      </c>
      <c r="F84" s="21" t="s">
        <v>70</v>
      </c>
      <c r="G84" s="16" t="s">
        <v>100</v>
      </c>
      <c r="H84" s="21" t="s">
        <v>101</v>
      </c>
      <c r="I84" s="21" t="s">
        <v>73</v>
      </c>
      <c r="J84" s="21" t="s">
        <v>97</v>
      </c>
      <c r="K84" s="21" t="s">
        <v>99</v>
      </c>
      <c r="L84" s="16" t="s">
        <v>76</v>
      </c>
      <c r="M84" s="21" t="s">
        <v>85</v>
      </c>
      <c r="N84" s="16" t="s">
        <v>95</v>
      </c>
      <c r="O84" s="16" t="s">
        <v>86</v>
      </c>
      <c r="P84" s="16" t="s">
        <v>80</v>
      </c>
      <c r="Q84" s="21" t="s">
        <v>104</v>
      </c>
      <c r="S84" s="22">
        <v>187.459290504455</v>
      </c>
      <c r="T84" s="22">
        <v>125.829756021499</v>
      </c>
      <c r="U84" s="22">
        <v>2.75968273443578</v>
      </c>
      <c r="V84" s="22">
        <v>12.9600031902911</v>
      </c>
      <c r="W84" s="22">
        <v>3.60000044309596</v>
      </c>
      <c r="X84" s="22">
        <v>0.616701845165658</v>
      </c>
      <c r="Y84" s="22">
        <v>0.0848290666929099</v>
      </c>
      <c r="Z84" s="22">
        <v>0.0115704955665057</v>
      </c>
      <c r="AA84" s="22">
        <v>0.107566238041988</v>
      </c>
      <c r="AB84" s="22">
        <v>0.749411067842415</v>
      </c>
      <c r="AC84" s="22">
        <v>0.0855575696755334</v>
      </c>
      <c r="AD84" s="22">
        <v>0.108053135802579</v>
      </c>
      <c r="AE84" s="22">
        <v>0.751317861270039</v>
      </c>
      <c r="AF84" s="22">
        <v>0.107529286262648</v>
      </c>
      <c r="AG84" s="22">
        <v>0.141495434181441</v>
      </c>
      <c r="AH84" s="22">
        <v>0.577095395367867</v>
      </c>
      <c r="AI84" s="22">
        <v>10.0</v>
      </c>
      <c r="AJ84" s="22">
        <v>2.75968273443579</v>
      </c>
      <c r="AK84" s="22">
        <v>12.9600031902911</v>
      </c>
      <c r="AL84" s="22">
        <v>3.60000044309596</v>
      </c>
      <c r="AM84" s="22">
        <v>0.616561408865456</v>
      </c>
      <c r="AN84" s="22">
        <v>2.28866498882052</v>
      </c>
      <c r="AO84" s="22">
        <v>8.35453576967915</v>
      </c>
      <c r="AP84" s="22">
        <v>2.89042138271898</v>
      </c>
      <c r="AQ84" s="22">
        <v>0.751317861270039</v>
      </c>
      <c r="AR84" s="22">
        <v>2.87640840752583</v>
      </c>
      <c r="AS84" s="22">
        <v>14.3262466831645</v>
      </c>
      <c r="AT84" s="22">
        <v>3.78500286435354</v>
      </c>
      <c r="AU84" s="22">
        <v>0.577095395367867</v>
      </c>
      <c r="AV84" s="23">
        <f t="shared" ref="AV84:AW84" si="171">(AC84-AC$289)/AC$290</f>
        <v>-0.5092351046</v>
      </c>
      <c r="AW84" s="24">
        <f t="shared" si="171"/>
        <v>-0.3950835663</v>
      </c>
      <c r="AX84" s="24">
        <f t="shared" si="5"/>
        <v>-0.5570345486</v>
      </c>
      <c r="AY84" s="25">
        <f t="shared" si="6"/>
        <v>-0.3533514082</v>
      </c>
      <c r="AZ84" s="23">
        <f t="shared" si="7"/>
        <v>-0.4800747031</v>
      </c>
      <c r="BA84" s="25">
        <f t="shared" si="8"/>
        <v>-0.2898481307</v>
      </c>
      <c r="BB84" s="23">
        <f t="shared" si="9"/>
        <v>-0.4252945808</v>
      </c>
      <c r="BC84" s="24">
        <f t="shared" si="10"/>
        <v>-0.38241153</v>
      </c>
      <c r="BD84" s="25">
        <f t="shared" si="11"/>
        <v>-0.3572511925</v>
      </c>
      <c r="BE84" s="26">
        <f t="shared" ref="BE84:BF84" si="172">((S84-S$289)/S$290)</f>
        <v>-0.7115170233</v>
      </c>
      <c r="BF84" s="26">
        <f t="shared" si="172"/>
        <v>-1.036375748</v>
      </c>
    </row>
    <row r="85">
      <c r="A85" s="16" t="s">
        <v>67</v>
      </c>
      <c r="B85" s="20">
        <f t="shared" si="3"/>
        <v>0.4843027331</v>
      </c>
      <c r="C85" s="16" t="s">
        <v>68</v>
      </c>
      <c r="D85" s="16" t="s">
        <v>69</v>
      </c>
      <c r="E85" s="16">
        <v>144.0</v>
      </c>
      <c r="F85" s="21" t="s">
        <v>102</v>
      </c>
      <c r="G85" s="16" t="s">
        <v>71</v>
      </c>
      <c r="H85" s="21" t="s">
        <v>103</v>
      </c>
      <c r="I85" s="21" t="s">
        <v>88</v>
      </c>
      <c r="J85" s="21" t="s">
        <v>97</v>
      </c>
      <c r="K85" s="21" t="s">
        <v>75</v>
      </c>
      <c r="L85" s="16" t="s">
        <v>90</v>
      </c>
      <c r="M85" s="21" t="s">
        <v>77</v>
      </c>
      <c r="N85" s="16" t="s">
        <v>78</v>
      </c>
      <c r="O85" s="16" t="s">
        <v>79</v>
      </c>
      <c r="P85" s="16" t="s">
        <v>80</v>
      </c>
      <c r="Q85" s="21" t="s">
        <v>94</v>
      </c>
      <c r="R85" s="21" t="s">
        <v>94</v>
      </c>
      <c r="S85" s="22">
        <v>393.432429075241</v>
      </c>
      <c r="T85" s="22">
        <v>354.61014008522</v>
      </c>
      <c r="U85" s="22">
        <v>2.52820254305277</v>
      </c>
      <c r="V85" s="22">
        <v>9.94155878423598</v>
      </c>
      <c r="W85" s="22">
        <v>3.1530237525645</v>
      </c>
      <c r="X85" s="22">
        <v>0.700100195686331</v>
      </c>
      <c r="Y85" s="22">
        <v>0.0848471190596834</v>
      </c>
      <c r="Z85" s="22">
        <v>0.0105095571730194</v>
      </c>
      <c r="AA85" s="22">
        <v>0.102516131281957</v>
      </c>
      <c r="AB85" s="22">
        <v>0.754162627014857</v>
      </c>
      <c r="AC85" s="22">
        <v>0.0852087531208532</v>
      </c>
      <c r="AD85" s="22">
        <v>0.102773670464037</v>
      </c>
      <c r="AE85" s="22">
        <v>0.754879002162262</v>
      </c>
      <c r="AF85" s="22">
        <v>0.106486894169957</v>
      </c>
      <c r="AG85" s="22">
        <v>0.131362226889517</v>
      </c>
      <c r="AH85" s="22">
        <v>0.603162768032882</v>
      </c>
      <c r="AI85" s="22">
        <v>10.0</v>
      </c>
      <c r="AJ85" s="22">
        <v>2.52820254305276</v>
      </c>
      <c r="AK85" s="22">
        <v>9.94155878423597</v>
      </c>
      <c r="AL85" s="22">
        <v>3.1530237525645</v>
      </c>
      <c r="AM85" s="22">
        <v>0.700015412287462</v>
      </c>
      <c r="AN85" s="22">
        <v>2.3574421696769</v>
      </c>
      <c r="AO85" s="22">
        <v>8.08495132774922</v>
      </c>
      <c r="AP85" s="22">
        <v>2.84340488283839</v>
      </c>
      <c r="AQ85" s="22">
        <v>0.754879002162262</v>
      </c>
      <c r="AR85" s="22">
        <v>2.94613740536889</v>
      </c>
      <c r="AS85" s="22">
        <v>13.2085358585653</v>
      </c>
      <c r="AT85" s="22">
        <v>3.63435494394332</v>
      </c>
      <c r="AU85" s="22">
        <v>0.603162768032882</v>
      </c>
      <c r="AV85" s="23">
        <f t="shared" ref="AV85:AW85" si="173">(AC85-AC$289)/AC$290</f>
        <v>-0.522856713</v>
      </c>
      <c r="AW85" s="24">
        <f t="shared" si="173"/>
        <v>-0.5653200841</v>
      </c>
      <c r="AX85" s="24">
        <f t="shared" si="5"/>
        <v>-0.4378526279</v>
      </c>
      <c r="AY85" s="25">
        <f t="shared" si="6"/>
        <v>-0.5727934331</v>
      </c>
      <c r="AZ85" s="23">
        <f t="shared" si="7"/>
        <v>-0.9072116894</v>
      </c>
      <c r="BA85" s="25">
        <f t="shared" si="8"/>
        <v>-0.9701671082</v>
      </c>
      <c r="BB85" s="23">
        <f t="shared" si="9"/>
        <v>-0.4411752574</v>
      </c>
      <c r="BC85" s="24">
        <f t="shared" si="10"/>
        <v>-0.5141235449</v>
      </c>
      <c r="BD85" s="25">
        <f t="shared" si="11"/>
        <v>-0.8522386742</v>
      </c>
      <c r="BE85" s="26">
        <f t="shared" ref="BE85:BF85" si="174">((S85-S$289)/S$290)</f>
        <v>-0.3160595659</v>
      </c>
      <c r="BF85" s="26">
        <f t="shared" si="174"/>
        <v>0.7724686337</v>
      </c>
    </row>
    <row r="86">
      <c r="A86" s="16" t="s">
        <v>67</v>
      </c>
      <c r="B86" s="20">
        <f t="shared" si="3"/>
        <v>0.4813162639</v>
      </c>
      <c r="C86" s="16" t="s">
        <v>68</v>
      </c>
      <c r="D86" s="16" t="s">
        <v>69</v>
      </c>
      <c r="E86" s="16">
        <v>97.0</v>
      </c>
      <c r="F86" s="21" t="s">
        <v>70</v>
      </c>
      <c r="G86" s="16" t="s">
        <v>100</v>
      </c>
      <c r="H86" s="21" t="s">
        <v>101</v>
      </c>
      <c r="I86" s="21" t="s">
        <v>73</v>
      </c>
      <c r="J86" s="21" t="s">
        <v>97</v>
      </c>
      <c r="K86" s="21" t="s">
        <v>99</v>
      </c>
      <c r="L86" s="16" t="s">
        <v>90</v>
      </c>
      <c r="M86" s="21" t="s">
        <v>85</v>
      </c>
      <c r="N86" s="16" t="s">
        <v>91</v>
      </c>
      <c r="O86" s="16" t="s">
        <v>92</v>
      </c>
      <c r="P86" s="16" t="s">
        <v>80</v>
      </c>
      <c r="Q86" s="21" t="s">
        <v>94</v>
      </c>
      <c r="S86" s="22">
        <v>273.451188325881</v>
      </c>
      <c r="T86" s="22">
        <v>128.729250669479</v>
      </c>
      <c r="U86" s="22">
        <v>2.75640361086303</v>
      </c>
      <c r="V86" s="22">
        <v>12.4339135697201</v>
      </c>
      <c r="W86" s="22">
        <v>3.52617548765232</v>
      </c>
      <c r="X86" s="22">
        <v>0.632246906550253</v>
      </c>
      <c r="Y86" s="22">
        <v>0.09045210416259</v>
      </c>
      <c r="Z86" s="22">
        <v>0.0125065191801567</v>
      </c>
      <c r="AA86" s="22">
        <v>0.111832549734666</v>
      </c>
      <c r="AB86" s="22">
        <v>0.729139061646063</v>
      </c>
      <c r="AC86" s="22">
        <v>0.0911443767236899</v>
      </c>
      <c r="AD86" s="22">
        <v>0.112293286839088</v>
      </c>
      <c r="AE86" s="22">
        <v>0.731417673491838</v>
      </c>
      <c r="AF86" s="22">
        <v>0.10859430825867</v>
      </c>
      <c r="AG86" s="22">
        <v>0.137617593547732</v>
      </c>
      <c r="AH86" s="22">
        <v>0.599958101095692</v>
      </c>
      <c r="AI86" s="22">
        <v>10.0</v>
      </c>
      <c r="AJ86" s="22">
        <v>2.75640361086304</v>
      </c>
      <c r="AK86" s="22">
        <v>12.4339135697201</v>
      </c>
      <c r="AL86" s="22">
        <v>3.52617548765232</v>
      </c>
      <c r="AM86" s="22">
        <v>0.632126456185303</v>
      </c>
      <c r="AN86" s="22">
        <v>2.4381120773587</v>
      </c>
      <c r="AO86" s="22">
        <v>9.02308732495128</v>
      </c>
      <c r="AP86" s="22">
        <v>3.0038454229456</v>
      </c>
      <c r="AQ86" s="22">
        <v>0.731417673491838</v>
      </c>
      <c r="AR86" s="22">
        <v>2.90489774591943</v>
      </c>
      <c r="AS86" s="22">
        <v>13.5517534321716</v>
      </c>
      <c r="AT86" s="22">
        <v>3.68127062740185</v>
      </c>
      <c r="AU86" s="22">
        <v>0.599958101095692</v>
      </c>
      <c r="AV86" s="23">
        <f t="shared" ref="AV86:AW86" si="175">(AC86-AC$289)/AC$290</f>
        <v>-0.2910651325</v>
      </c>
      <c r="AW86" s="24">
        <f t="shared" si="175"/>
        <v>-0.2583597692</v>
      </c>
      <c r="AX86" s="24">
        <f t="shared" si="5"/>
        <v>-0.5083401148</v>
      </c>
      <c r="AY86" s="25">
        <f t="shared" si="6"/>
        <v>-0.5044534749</v>
      </c>
      <c r="AZ86" s="23">
        <f t="shared" si="7"/>
        <v>-0.4861254799</v>
      </c>
      <c r="BA86" s="25">
        <f t="shared" si="8"/>
        <v>-0.4022130913</v>
      </c>
      <c r="BB86" s="23">
        <f t="shared" si="9"/>
        <v>-0.3365509855</v>
      </c>
      <c r="BC86" s="24">
        <f t="shared" si="10"/>
        <v>-0.497931152</v>
      </c>
      <c r="BD86" s="25">
        <f t="shared" si="11"/>
        <v>-0.4495715517</v>
      </c>
      <c r="BE86" s="26">
        <f t="shared" ref="BE86:BF86" si="176">((S86-S$289)/S$290)</f>
        <v>-0.5464171588</v>
      </c>
      <c r="BF86" s="26">
        <f t="shared" si="176"/>
        <v>-1.013450992</v>
      </c>
    </row>
    <row r="87">
      <c r="A87" s="16" t="s">
        <v>67</v>
      </c>
      <c r="B87" s="20">
        <f t="shared" si="3"/>
        <v>0.4731820031</v>
      </c>
      <c r="C87" s="16" t="s">
        <v>68</v>
      </c>
      <c r="D87" s="16" t="s">
        <v>69</v>
      </c>
      <c r="E87" s="16">
        <v>22.0</v>
      </c>
      <c r="F87" s="21" t="s">
        <v>70</v>
      </c>
      <c r="G87" s="16" t="s">
        <v>71</v>
      </c>
      <c r="H87" s="21" t="s">
        <v>72</v>
      </c>
      <c r="I87" s="21" t="s">
        <v>73</v>
      </c>
      <c r="J87" s="21" t="s">
        <v>97</v>
      </c>
      <c r="K87" s="21" t="s">
        <v>99</v>
      </c>
      <c r="L87" s="16" t="s">
        <v>76</v>
      </c>
      <c r="M87" s="21" t="s">
        <v>85</v>
      </c>
      <c r="N87" s="16" t="s">
        <v>91</v>
      </c>
      <c r="O87" s="16" t="s">
        <v>86</v>
      </c>
      <c r="P87" s="16" t="s">
        <v>80</v>
      </c>
      <c r="Q87" s="21" t="s">
        <v>81</v>
      </c>
      <c r="S87" s="22">
        <v>276.336486816406</v>
      </c>
      <c r="T87" s="22">
        <v>125.994185447692</v>
      </c>
      <c r="U87" s="22">
        <v>2.82642016454465</v>
      </c>
      <c r="V87" s="22">
        <v>12.4319371722502</v>
      </c>
      <c r="W87" s="22">
        <v>3.52589522990264</v>
      </c>
      <c r="X87" s="22">
        <v>0.633427769535472</v>
      </c>
      <c r="Y87" s="22">
        <v>0.0946965697141179</v>
      </c>
      <c r="Z87" s="22">
        <v>0.0129723968170573</v>
      </c>
      <c r="AA87" s="22">
        <v>0.113896430220869</v>
      </c>
      <c r="AB87" s="22">
        <v>0.722914369420405</v>
      </c>
      <c r="AC87" s="22">
        <v>0.0949897852705965</v>
      </c>
      <c r="AD87" s="22">
        <v>0.114051092471095</v>
      </c>
      <c r="AE87" s="22">
        <v>0.724371290385092</v>
      </c>
      <c r="AF87" s="22">
        <v>0.106538736620798</v>
      </c>
      <c r="AG87" s="22">
        <v>0.135400706197759</v>
      </c>
      <c r="AH87" s="22">
        <v>0.614599717064514</v>
      </c>
      <c r="AI87" s="22">
        <v>10.0</v>
      </c>
      <c r="AJ87" s="22">
        <v>2.82642016454466</v>
      </c>
      <c r="AK87" s="22">
        <v>12.4319371722502</v>
      </c>
      <c r="AL87" s="22">
        <v>3.52589522990264</v>
      </c>
      <c r="AM87" s="22">
        <v>0.633328998309771</v>
      </c>
      <c r="AN87" s="22">
        <v>2.54097675598846</v>
      </c>
      <c r="AO87" s="22">
        <v>9.30778776518074</v>
      </c>
      <c r="AP87" s="22">
        <v>3.05086672360179</v>
      </c>
      <c r="AQ87" s="22">
        <v>0.724371290385092</v>
      </c>
      <c r="AR87" s="22">
        <v>2.84991120460636</v>
      </c>
      <c r="AS87" s="22">
        <v>13.118658645851</v>
      </c>
      <c r="AT87" s="22">
        <v>3.62196889079007</v>
      </c>
      <c r="AU87" s="22">
        <v>0.614599717064514</v>
      </c>
      <c r="AV87" s="23">
        <f t="shared" ref="AV87:AW87" si="177">(AC87-AC$289)/AC$290</f>
        <v>-0.1408983793</v>
      </c>
      <c r="AW87" s="24">
        <f t="shared" si="177"/>
        <v>-0.201679274</v>
      </c>
      <c r="AX87" s="24">
        <f t="shared" si="5"/>
        <v>-0.6023239926</v>
      </c>
      <c r="AY87" s="25">
        <f t="shared" si="6"/>
        <v>-0.5908356375</v>
      </c>
      <c r="AZ87" s="23">
        <f t="shared" si="7"/>
        <v>-0.3569279898</v>
      </c>
      <c r="BA87" s="25">
        <f t="shared" si="8"/>
        <v>-0.4026396564</v>
      </c>
      <c r="BB87" s="23">
        <f t="shared" si="9"/>
        <v>-0.3051280976</v>
      </c>
      <c r="BC87" s="24">
        <f t="shared" si="10"/>
        <v>-0.5719116319</v>
      </c>
      <c r="BD87" s="25">
        <f t="shared" si="11"/>
        <v>-0.456704143</v>
      </c>
      <c r="BE87" s="26">
        <f t="shared" ref="BE87:BF87" si="178">((S87-S$289)/S$290)</f>
        <v>-0.5408775394</v>
      </c>
      <c r="BF87" s="26">
        <f t="shared" si="178"/>
        <v>-1.035075693</v>
      </c>
    </row>
    <row r="88">
      <c r="A88" s="16" t="s">
        <v>67</v>
      </c>
      <c r="B88" s="20">
        <f t="shared" si="3"/>
        <v>0.4694832641</v>
      </c>
      <c r="C88" s="16" t="s">
        <v>68</v>
      </c>
      <c r="D88" s="16" t="s">
        <v>69</v>
      </c>
      <c r="E88" s="16">
        <v>83.0</v>
      </c>
      <c r="F88" s="21" t="s">
        <v>70</v>
      </c>
      <c r="G88" s="16" t="s">
        <v>100</v>
      </c>
      <c r="H88" s="21" t="s">
        <v>101</v>
      </c>
      <c r="I88" s="21" t="s">
        <v>88</v>
      </c>
      <c r="J88" s="21" t="s">
        <v>97</v>
      </c>
      <c r="K88" s="21" t="s">
        <v>99</v>
      </c>
      <c r="L88" s="16" t="s">
        <v>90</v>
      </c>
      <c r="M88" s="21" t="s">
        <v>85</v>
      </c>
      <c r="N88" s="16" t="s">
        <v>78</v>
      </c>
      <c r="O88" s="16" t="s">
        <v>86</v>
      </c>
      <c r="P88" s="16" t="s">
        <v>80</v>
      </c>
      <c r="Q88" s="21" t="s">
        <v>93</v>
      </c>
      <c r="S88" s="22">
        <v>486.737803459167</v>
      </c>
      <c r="T88" s="22">
        <v>130.259140253067</v>
      </c>
      <c r="U88" s="22">
        <v>2.74180795376515</v>
      </c>
      <c r="V88" s="22">
        <v>11.9930781336549</v>
      </c>
      <c r="W88" s="22">
        <v>3.46310238567312</v>
      </c>
      <c r="X88" s="22">
        <v>0.640584100186191</v>
      </c>
      <c r="Y88" s="22">
        <v>0.104142049402224</v>
      </c>
      <c r="Z88" s="22">
        <v>0.0157790028874996</v>
      </c>
      <c r="AA88" s="22">
        <v>0.125614501103573</v>
      </c>
      <c r="AB88" s="22">
        <v>0.653947272347802</v>
      </c>
      <c r="AC88" s="22">
        <v>0.104898917197982</v>
      </c>
      <c r="AD88" s="22">
        <v>0.126139516164787</v>
      </c>
      <c r="AE88" s="22">
        <v>0.657349630823872</v>
      </c>
      <c r="AF88" s="22">
        <v>0.0970436567425676</v>
      </c>
      <c r="AG88" s="22">
        <v>0.123718796737353</v>
      </c>
      <c r="AH88" s="22">
        <v>0.671798866701853</v>
      </c>
      <c r="AI88" s="22">
        <v>10.0</v>
      </c>
      <c r="AJ88" s="22">
        <v>2.74180795376516</v>
      </c>
      <c r="AK88" s="22">
        <v>11.9930781336549</v>
      </c>
      <c r="AL88" s="22">
        <v>3.46310238567312</v>
      </c>
      <c r="AM88" s="22">
        <v>0.640509083881361</v>
      </c>
      <c r="AN88" s="22">
        <v>2.80604603504604</v>
      </c>
      <c r="AO88" s="22">
        <v>11.3854419772402</v>
      </c>
      <c r="AP88" s="22">
        <v>3.37423205740806</v>
      </c>
      <c r="AQ88" s="22">
        <v>0.657349630823872</v>
      </c>
      <c r="AR88" s="22">
        <v>2.59591781786368</v>
      </c>
      <c r="AS88" s="22">
        <v>10.9526433929138</v>
      </c>
      <c r="AT88" s="22">
        <v>3.30947781272421</v>
      </c>
      <c r="AU88" s="22">
        <v>0.671798866701853</v>
      </c>
      <c r="AV88" s="23">
        <f t="shared" ref="AV88:AW88" si="179">(AC88-AC$289)/AC$290</f>
        <v>0.2460623689</v>
      </c>
      <c r="AW88" s="24">
        <f t="shared" si="179"/>
        <v>0.1881123097</v>
      </c>
      <c r="AX88" s="24">
        <f t="shared" si="5"/>
        <v>-1.03645356</v>
      </c>
      <c r="AY88" s="25">
        <f t="shared" si="6"/>
        <v>-1.046027284</v>
      </c>
      <c r="AZ88" s="23">
        <f t="shared" si="7"/>
        <v>-0.5130580003</v>
      </c>
      <c r="BA88" s="25">
        <f t="shared" si="8"/>
        <v>-0.4982132388</v>
      </c>
      <c r="BB88" s="23">
        <f t="shared" si="9"/>
        <v>-0.006249358455</v>
      </c>
      <c r="BC88" s="24">
        <f t="shared" si="10"/>
        <v>-0.8609248494</v>
      </c>
      <c r="BD88" s="25">
        <f t="shared" si="11"/>
        <v>-0.4992911051</v>
      </c>
      <c r="BE88" s="26">
        <f t="shared" ref="BE88:BF88" si="180">((S88-S$289)/S$290)</f>
        <v>-0.1369182159</v>
      </c>
      <c r="BF88" s="26">
        <f t="shared" si="180"/>
        <v>-1.001354972</v>
      </c>
    </row>
    <row r="89">
      <c r="A89" s="16" t="s">
        <v>82</v>
      </c>
      <c r="B89" s="20">
        <f t="shared" si="3"/>
        <v>0.4496470277</v>
      </c>
      <c r="C89" s="16" t="s">
        <v>68</v>
      </c>
      <c r="D89" s="16" t="s">
        <v>69</v>
      </c>
      <c r="E89" s="16">
        <v>62.0</v>
      </c>
      <c r="F89" s="21" t="s">
        <v>70</v>
      </c>
      <c r="G89" s="16" t="s">
        <v>71</v>
      </c>
      <c r="H89" s="21" t="s">
        <v>72</v>
      </c>
      <c r="I89" s="21" t="s">
        <v>73</v>
      </c>
      <c r="J89" s="21" t="s">
        <v>83</v>
      </c>
      <c r="K89" s="21" t="s">
        <v>99</v>
      </c>
      <c r="L89" s="16" t="s">
        <v>90</v>
      </c>
      <c r="M89" s="21" t="s">
        <v>85</v>
      </c>
      <c r="N89" s="16" t="s">
        <v>78</v>
      </c>
      <c r="O89" s="16" t="s">
        <v>79</v>
      </c>
      <c r="P89" s="16" t="s">
        <v>80</v>
      </c>
      <c r="Q89" s="21" t="s">
        <v>93</v>
      </c>
      <c r="S89" s="22">
        <v>177.932101488113</v>
      </c>
      <c r="T89" s="22">
        <v>126.431599140167</v>
      </c>
      <c r="U89" s="22">
        <v>2.84567439231144</v>
      </c>
      <c r="V89" s="22">
        <v>12.5524501685555</v>
      </c>
      <c r="W89" s="22">
        <v>3.54294371512666</v>
      </c>
      <c r="X89" s="22">
        <v>0.629898535488566</v>
      </c>
      <c r="Y89" s="22">
        <v>0.0871576718076901</v>
      </c>
      <c r="Z89" s="22">
        <v>0.0113547552246183</v>
      </c>
      <c r="AA89" s="22">
        <v>0.106558693801202</v>
      </c>
      <c r="AB89" s="22">
        <v>0.757466599591422</v>
      </c>
      <c r="AC89" s="22">
        <v>0.0874936184805176</v>
      </c>
      <c r="AD89" s="22">
        <v>0.106764239412369</v>
      </c>
      <c r="AE89" s="22">
        <v>0.758466611815022</v>
      </c>
      <c r="AF89" s="22">
        <v>0.115541472821833</v>
      </c>
      <c r="AG89" s="22">
        <v>0.144569422126737</v>
      </c>
      <c r="AH89" s="22">
        <v>0.560637425529178</v>
      </c>
      <c r="AI89" s="22">
        <v>10.0</v>
      </c>
      <c r="AJ89" s="22">
        <v>2.84567439231145</v>
      </c>
      <c r="AK89" s="22">
        <v>12.5524501685555</v>
      </c>
      <c r="AL89" s="22">
        <v>3.54294371512666</v>
      </c>
      <c r="AM89" s="22">
        <v>0.629774554584733</v>
      </c>
      <c r="AN89" s="22">
        <v>2.34045429435385</v>
      </c>
      <c r="AO89" s="22">
        <v>8.15641272845545</v>
      </c>
      <c r="AP89" s="22">
        <v>2.85594340428087</v>
      </c>
      <c r="AQ89" s="22">
        <v>0.758466611815022</v>
      </c>
      <c r="AR89" s="22">
        <v>3.09073439798404</v>
      </c>
      <c r="AS89" s="22">
        <v>14.9554836658225</v>
      </c>
      <c r="AT89" s="22">
        <v>3.86723204189023</v>
      </c>
      <c r="AU89" s="22">
        <v>0.560637425529178</v>
      </c>
      <c r="AV89" s="23">
        <f t="shared" ref="AV89:AW89" si="181">(AC89-AC$289)/AC$290</f>
        <v>-0.4336306117</v>
      </c>
      <c r="AW89" s="24">
        <f t="shared" si="181"/>
        <v>-0.4366440689</v>
      </c>
      <c r="AX89" s="24">
        <f t="shared" si="5"/>
        <v>-0.1907051305</v>
      </c>
      <c r="AY89" s="25">
        <f t="shared" si="6"/>
        <v>-0.2335718774</v>
      </c>
      <c r="AZ89" s="23">
        <f t="shared" si="7"/>
        <v>-0.3213992788</v>
      </c>
      <c r="BA89" s="25">
        <f t="shared" si="8"/>
        <v>-0.3766910817</v>
      </c>
      <c r="BB89" s="23">
        <f t="shared" si="9"/>
        <v>-0.4571739697</v>
      </c>
      <c r="BC89" s="24">
        <f t="shared" si="10"/>
        <v>-0.2992534613</v>
      </c>
      <c r="BD89" s="25">
        <f t="shared" si="11"/>
        <v>-0.4356218093</v>
      </c>
      <c r="BE89" s="26">
        <f t="shared" ref="BE89:BF89" si="182">((S89-S$289)/S$290)</f>
        <v>-0.7298087189</v>
      </c>
      <c r="BF89" s="26">
        <f t="shared" si="182"/>
        <v>-1.031617296</v>
      </c>
    </row>
    <row r="90">
      <c r="A90" s="16" t="s">
        <v>82</v>
      </c>
      <c r="B90" s="20">
        <f t="shared" si="3"/>
        <v>0.4486009363</v>
      </c>
      <c r="C90" s="16" t="s">
        <v>68</v>
      </c>
      <c r="D90" s="16" t="s">
        <v>69</v>
      </c>
      <c r="E90" s="16">
        <v>180.0</v>
      </c>
      <c r="F90" s="21" t="s">
        <v>102</v>
      </c>
      <c r="G90" s="16" t="s">
        <v>71</v>
      </c>
      <c r="H90" s="21" t="s">
        <v>103</v>
      </c>
      <c r="I90" s="21" t="s">
        <v>88</v>
      </c>
      <c r="J90" s="21" t="s">
        <v>83</v>
      </c>
      <c r="K90" s="21" t="s">
        <v>99</v>
      </c>
      <c r="L90" s="16" t="s">
        <v>90</v>
      </c>
      <c r="M90" s="21" t="s">
        <v>85</v>
      </c>
      <c r="N90" s="16" t="s">
        <v>95</v>
      </c>
      <c r="O90" s="16" t="s">
        <v>86</v>
      </c>
      <c r="P90" s="16" t="s">
        <v>80</v>
      </c>
      <c r="Q90" s="21" t="s">
        <v>94</v>
      </c>
      <c r="S90" s="22">
        <v>678.125138521194</v>
      </c>
      <c r="T90" s="22">
        <v>328.975394010543</v>
      </c>
      <c r="U90" s="22">
        <v>2.66299124521438</v>
      </c>
      <c r="V90" s="22">
        <v>11.1707081762185</v>
      </c>
      <c r="W90" s="22">
        <v>3.34226093778127</v>
      </c>
      <c r="X90" s="22">
        <v>0.663049863062855</v>
      </c>
      <c r="Y90" s="22">
        <v>0.0822912762052966</v>
      </c>
      <c r="Z90" s="22">
        <v>0.00999139811501503</v>
      </c>
      <c r="AA90" s="22">
        <v>0.0999569813220419</v>
      </c>
      <c r="AB90" s="22">
        <v>0.766283295803385</v>
      </c>
      <c r="AC90" s="22">
        <v>0.0826047309108109</v>
      </c>
      <c r="AD90" s="22">
        <v>0.100156871921277</v>
      </c>
      <c r="AE90" s="22">
        <v>0.767202514007101</v>
      </c>
      <c r="AF90" s="22">
        <v>0.100838039210417</v>
      </c>
      <c r="AG90" s="22">
        <v>0.128528482707661</v>
      </c>
      <c r="AH90" s="22">
        <v>0.620099234390648</v>
      </c>
      <c r="AI90" s="22">
        <v>10.0</v>
      </c>
      <c r="AJ90" s="22">
        <v>2.66299124521436</v>
      </c>
      <c r="AK90" s="22">
        <v>11.1707081762185</v>
      </c>
      <c r="AL90" s="22">
        <v>3.34226093778127</v>
      </c>
      <c r="AM90" s="22">
        <v>0.662926070304625</v>
      </c>
      <c r="AN90" s="22">
        <v>2.28539755519905</v>
      </c>
      <c r="AO90" s="22">
        <v>7.67847862923966</v>
      </c>
      <c r="AP90" s="22">
        <v>2.771006789822</v>
      </c>
      <c r="AQ90" s="22">
        <v>0.767202514007101</v>
      </c>
      <c r="AR90" s="22">
        <v>2.78985241815486</v>
      </c>
      <c r="AS90" s="22">
        <v>12.6448137448537</v>
      </c>
      <c r="AT90" s="22">
        <v>3.5559546882453</v>
      </c>
      <c r="AU90" s="22">
        <v>0.620099234390648</v>
      </c>
      <c r="AV90" s="23">
        <f t="shared" ref="AV90:AW90" si="183">(AC90-AC$289)/AC$290</f>
        <v>-0.6245461839</v>
      </c>
      <c r="AW90" s="24">
        <f t="shared" si="183"/>
        <v>-0.6496988314</v>
      </c>
      <c r="AX90" s="24">
        <f t="shared" si="5"/>
        <v>-0.704977433</v>
      </c>
      <c r="AY90" s="25">
        <f t="shared" si="6"/>
        <v>-0.6869955463</v>
      </c>
      <c r="AZ90" s="23">
        <f t="shared" si="7"/>
        <v>-0.6584939063</v>
      </c>
      <c r="BA90" s="25">
        <f t="shared" si="8"/>
        <v>-0.6821394524</v>
      </c>
      <c r="BB90" s="23">
        <f t="shared" si="9"/>
        <v>-0.4961311583</v>
      </c>
      <c r="BC90" s="24">
        <f t="shared" si="10"/>
        <v>-0.5996993387</v>
      </c>
      <c r="BD90" s="25">
        <f t="shared" si="11"/>
        <v>-0.632252104</v>
      </c>
      <c r="BE90" s="26">
        <f t="shared" ref="BE90:BF90" si="184">((S90-S$289)/S$290)</f>
        <v>0.2305352755</v>
      </c>
      <c r="BF90" s="26">
        <f t="shared" si="184"/>
        <v>0.5697883794</v>
      </c>
    </row>
    <row r="91">
      <c r="A91" s="16" t="s">
        <v>82</v>
      </c>
      <c r="B91" s="20">
        <f t="shared" si="3"/>
        <v>0.4451727105</v>
      </c>
      <c r="C91" s="16" t="s">
        <v>68</v>
      </c>
      <c r="D91" s="16" t="s">
        <v>69</v>
      </c>
      <c r="E91" s="16">
        <v>60.0</v>
      </c>
      <c r="F91" s="21" t="s">
        <v>70</v>
      </c>
      <c r="G91" s="16" t="s">
        <v>71</v>
      </c>
      <c r="H91" s="21" t="s">
        <v>72</v>
      </c>
      <c r="I91" s="21" t="s">
        <v>88</v>
      </c>
      <c r="J91" s="21" t="s">
        <v>97</v>
      </c>
      <c r="K91" s="21" t="s">
        <v>99</v>
      </c>
      <c r="L91" s="16" t="s">
        <v>84</v>
      </c>
      <c r="M91" s="21" t="s">
        <v>85</v>
      </c>
      <c r="N91" s="16" t="s">
        <v>78</v>
      </c>
      <c r="O91" s="16" t="s">
        <v>86</v>
      </c>
      <c r="P91" s="16" t="s">
        <v>80</v>
      </c>
      <c r="Q91" s="21" t="s">
        <v>87</v>
      </c>
      <c r="S91" s="22">
        <v>778.89140343666</v>
      </c>
      <c r="T91" s="22">
        <v>135.885980129241</v>
      </c>
      <c r="U91" s="22">
        <v>2.73587746700347</v>
      </c>
      <c r="V91" s="22">
        <v>11.7179157359911</v>
      </c>
      <c r="W91" s="22">
        <v>3.42314413018077</v>
      </c>
      <c r="X91" s="22">
        <v>0.65040164305461</v>
      </c>
      <c r="Y91" s="22">
        <v>0.0906609032389004</v>
      </c>
      <c r="Z91" s="22">
        <v>0.0123450034935674</v>
      </c>
      <c r="AA91" s="22">
        <v>0.111108071235025</v>
      </c>
      <c r="AB91" s="22">
        <v>0.733322978295946</v>
      </c>
      <c r="AC91" s="22">
        <v>0.090982783379662</v>
      </c>
      <c r="AD91" s="22">
        <v>0.111283397045392</v>
      </c>
      <c r="AE91" s="22">
        <v>0.73482326954889</v>
      </c>
      <c r="AF91" s="22">
        <v>0.10639664646326</v>
      </c>
      <c r="AG91" s="22">
        <v>0.134855144937663</v>
      </c>
      <c r="AH91" s="22">
        <v>0.612749619945654</v>
      </c>
      <c r="AI91" s="22">
        <v>10.0</v>
      </c>
      <c r="AJ91" s="22">
        <v>2.73587746700348</v>
      </c>
      <c r="AK91" s="22">
        <v>11.7179157359911</v>
      </c>
      <c r="AL91" s="22">
        <v>3.42314413018077</v>
      </c>
      <c r="AM91" s="22">
        <v>0.650320746102967</v>
      </c>
      <c r="AN91" s="22">
        <v>2.43378945540596</v>
      </c>
      <c r="AO91" s="22">
        <v>8.86152203432584</v>
      </c>
      <c r="AP91" s="22">
        <v>2.97683087096426</v>
      </c>
      <c r="AQ91" s="22">
        <v>0.73482326954889</v>
      </c>
      <c r="AR91" s="22">
        <v>2.84611029289221</v>
      </c>
      <c r="AS91" s="22">
        <v>13.0131553074934</v>
      </c>
      <c r="AT91" s="22">
        <v>3.60737512708249</v>
      </c>
      <c r="AU91" s="22">
        <v>0.612749619945654</v>
      </c>
      <c r="AV91" s="23">
        <f t="shared" ref="AV91:AW91" si="185">(AC91-AC$289)/AC$290</f>
        <v>-0.2973755018</v>
      </c>
      <c r="AW91" s="24">
        <f t="shared" si="185"/>
        <v>-0.2909236958</v>
      </c>
      <c r="AX91" s="24">
        <f t="shared" si="5"/>
        <v>-0.6088205718</v>
      </c>
      <c r="AY91" s="25">
        <f t="shared" si="6"/>
        <v>-0.6120937143</v>
      </c>
      <c r="AZ91" s="23">
        <f t="shared" si="7"/>
        <v>-0.524001184</v>
      </c>
      <c r="BA91" s="25">
        <f t="shared" si="8"/>
        <v>-0.5590315322</v>
      </c>
      <c r="BB91" s="23">
        <f t="shared" si="9"/>
        <v>-0.35173802</v>
      </c>
      <c r="BC91" s="24">
        <f t="shared" si="10"/>
        <v>-0.5625635468</v>
      </c>
      <c r="BD91" s="25">
        <f t="shared" si="11"/>
        <v>-0.5574866352</v>
      </c>
      <c r="BE91" s="26">
        <f t="shared" ref="BE91:BF91" si="186">((S91-S$289)/S$290)</f>
        <v>0.424001138</v>
      </c>
      <c r="BF91" s="26">
        <f t="shared" si="186"/>
        <v>-0.956866552</v>
      </c>
    </row>
    <row r="92">
      <c r="A92" s="16" t="s">
        <v>82</v>
      </c>
      <c r="B92" s="20">
        <f t="shared" si="3"/>
        <v>0.4348897282</v>
      </c>
      <c r="C92" s="16" t="s">
        <v>68</v>
      </c>
      <c r="D92" s="16" t="s">
        <v>69</v>
      </c>
      <c r="E92" s="16">
        <v>37.0</v>
      </c>
      <c r="F92" s="21" t="s">
        <v>70</v>
      </c>
      <c r="G92" s="16" t="s">
        <v>71</v>
      </c>
      <c r="H92" s="21" t="s">
        <v>72</v>
      </c>
      <c r="I92" s="21" t="s">
        <v>73</v>
      </c>
      <c r="J92" s="21" t="s">
        <v>97</v>
      </c>
      <c r="K92" s="21" t="s">
        <v>75</v>
      </c>
      <c r="L92" s="16" t="s">
        <v>76</v>
      </c>
      <c r="M92" s="21" t="s">
        <v>77</v>
      </c>
      <c r="N92" s="16" t="s">
        <v>78</v>
      </c>
      <c r="O92" s="16" t="s">
        <v>86</v>
      </c>
      <c r="P92" s="16" t="s">
        <v>80</v>
      </c>
      <c r="Q92" s="21" t="s">
        <v>104</v>
      </c>
      <c r="R92" s="21" t="s">
        <v>81</v>
      </c>
      <c r="S92" s="22">
        <v>109.935020685195</v>
      </c>
      <c r="T92" s="22">
        <v>128.956213712692</v>
      </c>
      <c r="U92" s="22">
        <v>2.70181491097163</v>
      </c>
      <c r="V92" s="22">
        <v>12.5370872379338</v>
      </c>
      <c r="W92" s="22">
        <v>3.54077494878364</v>
      </c>
      <c r="X92" s="22">
        <v>0.630277687472209</v>
      </c>
      <c r="Y92" s="22">
        <v>0.104688477710344</v>
      </c>
      <c r="Z92" s="22">
        <v>0.0179783969486432</v>
      </c>
      <c r="AA92" s="22">
        <v>0.134083544660197</v>
      </c>
      <c r="AB92" s="22">
        <v>0.615988045572669</v>
      </c>
      <c r="AC92" s="22">
        <v>0.105212053899695</v>
      </c>
      <c r="AD92" s="22">
        <v>0.134410791339869</v>
      </c>
      <c r="AE92" s="22">
        <v>0.617180696642549</v>
      </c>
      <c r="AF92" s="22">
        <v>0.0997746148360065</v>
      </c>
      <c r="AG92" s="22">
        <v>0.130666432491857</v>
      </c>
      <c r="AH92" s="22">
        <v>0.641079521413139</v>
      </c>
      <c r="AI92" s="22">
        <v>10.0</v>
      </c>
      <c r="AJ92" s="22">
        <v>2.70181491097163</v>
      </c>
      <c r="AK92" s="22">
        <v>12.5370872379338</v>
      </c>
      <c r="AL92" s="22">
        <v>3.54077494878364</v>
      </c>
      <c r="AM92" s="22">
        <v>0.630227673119835</v>
      </c>
      <c r="AN92" s="22">
        <v>2.81442244181685</v>
      </c>
      <c r="AO92" s="22">
        <v>12.9275387641722</v>
      </c>
      <c r="AP92" s="22">
        <v>3.59548866834151</v>
      </c>
      <c r="AQ92" s="22">
        <v>0.617180696642549</v>
      </c>
      <c r="AR92" s="22">
        <v>2.66897094686317</v>
      </c>
      <c r="AS92" s="22">
        <v>12.217311320383</v>
      </c>
      <c r="AT92" s="22">
        <v>3.49532706915719</v>
      </c>
      <c r="AU92" s="22">
        <v>0.641079521413139</v>
      </c>
      <c r="AV92" s="23">
        <f t="shared" ref="AV92:AW92" si="187">(AC92-AC$289)/AC$290</f>
        <v>0.2582906461</v>
      </c>
      <c r="AW92" s="24">
        <f t="shared" si="187"/>
        <v>0.4548198252</v>
      </c>
      <c r="AX92" s="24">
        <f t="shared" si="5"/>
        <v>-0.9115899812</v>
      </c>
      <c r="AY92" s="25">
        <f t="shared" si="6"/>
        <v>-0.775309062</v>
      </c>
      <c r="AZ92" s="23">
        <f t="shared" si="7"/>
        <v>-0.5868548452</v>
      </c>
      <c r="BA92" s="25">
        <f t="shared" si="8"/>
        <v>-0.3799920433</v>
      </c>
      <c r="BB92" s="23">
        <f t="shared" si="9"/>
        <v>0.1728813954</v>
      </c>
      <c r="BC92" s="24">
        <f t="shared" si="10"/>
        <v>-0.7057075625</v>
      </c>
      <c r="BD92" s="25">
        <f t="shared" si="11"/>
        <v>-0.4383093737</v>
      </c>
      <c r="BE92" s="26">
        <f t="shared" ref="BE92:BF92" si="188">((S92-S$289)/S$290)</f>
        <v>-0.860359493</v>
      </c>
      <c r="BF92" s="26">
        <f t="shared" si="188"/>
        <v>-1.011656516</v>
      </c>
    </row>
    <row r="93">
      <c r="A93" s="16" t="s">
        <v>82</v>
      </c>
      <c r="B93" s="20">
        <f t="shared" si="3"/>
        <v>0.4301724049</v>
      </c>
      <c r="C93" s="16" t="s">
        <v>68</v>
      </c>
      <c r="D93" s="16" t="s">
        <v>69</v>
      </c>
      <c r="E93" s="16">
        <v>196.0</v>
      </c>
      <c r="F93" s="21" t="s">
        <v>102</v>
      </c>
      <c r="G93" s="16" t="s">
        <v>71</v>
      </c>
      <c r="H93" s="21" t="s">
        <v>103</v>
      </c>
      <c r="I93" s="21" t="s">
        <v>88</v>
      </c>
      <c r="J93" s="21" t="s">
        <v>83</v>
      </c>
      <c r="K93" s="21" t="s">
        <v>75</v>
      </c>
      <c r="L93" s="16" t="s">
        <v>84</v>
      </c>
      <c r="M93" s="21" t="s">
        <v>85</v>
      </c>
      <c r="N93" s="16" t="s">
        <v>78</v>
      </c>
      <c r="O93" s="16" t="s">
        <v>86</v>
      </c>
      <c r="P93" s="16" t="s">
        <v>80</v>
      </c>
      <c r="Q93" s="21" t="s">
        <v>98</v>
      </c>
      <c r="S93" s="22">
        <v>1192.90868663787</v>
      </c>
      <c r="T93" s="22">
        <v>328.977279901504</v>
      </c>
      <c r="U93" s="22">
        <v>2.55643509785751</v>
      </c>
      <c r="V93" s="22">
        <v>10.4535817879291</v>
      </c>
      <c r="W93" s="22">
        <v>3.23319993008925</v>
      </c>
      <c r="X93" s="22">
        <v>0.684689767617643</v>
      </c>
      <c r="Y93" s="22">
        <v>0.0732504873686837</v>
      </c>
      <c r="Z93" s="22">
        <v>0.00811100934630153</v>
      </c>
      <c r="AA93" s="22">
        <v>0.0900611422662489</v>
      </c>
      <c r="AB93" s="22">
        <v>0.810268958327592</v>
      </c>
      <c r="AC93" s="22">
        <v>0.0735487504399247</v>
      </c>
      <c r="AD93" s="22">
        <v>0.0902544971610442</v>
      </c>
      <c r="AE93" s="22">
        <v>0.810959662780703</v>
      </c>
      <c r="AF93" s="22">
        <v>0.105251661812938</v>
      </c>
      <c r="AG93" s="22">
        <v>0.133681482759889</v>
      </c>
      <c r="AH93" s="22">
        <v>0.589026408783774</v>
      </c>
      <c r="AI93" s="22">
        <v>10.0</v>
      </c>
      <c r="AJ93" s="22">
        <v>2.5564350978575</v>
      </c>
      <c r="AK93" s="22">
        <v>10.4535817879291</v>
      </c>
      <c r="AL93" s="22">
        <v>3.23319993008925</v>
      </c>
      <c r="AM93" s="22">
        <v>0.684565218510426</v>
      </c>
      <c r="AN93" s="22">
        <v>2.03484876217119</v>
      </c>
      <c r="AO93" s="22">
        <v>6.23521419577061</v>
      </c>
      <c r="AP93" s="22">
        <v>2.49704108812222</v>
      </c>
      <c r="AQ93" s="22">
        <v>0.810959662780702</v>
      </c>
      <c r="AR93" s="22">
        <v>2.9119626434913</v>
      </c>
      <c r="AS93" s="22">
        <v>13.6790577577475</v>
      </c>
      <c r="AT93" s="22">
        <v>3.6985210230236</v>
      </c>
      <c r="AU93" s="22">
        <v>0.589026408783774</v>
      </c>
      <c r="AV93" s="23">
        <f t="shared" ref="AV93:AW93" si="189">(AC93-AC$289)/AC$290</f>
        <v>-0.9781905802</v>
      </c>
      <c r="AW93" s="24">
        <f t="shared" si="189"/>
        <v>-0.9690012019</v>
      </c>
      <c r="AX93" s="24">
        <f t="shared" si="5"/>
        <v>-0.4962646787</v>
      </c>
      <c r="AY93" s="25">
        <f t="shared" si="6"/>
        <v>-0.4793256024</v>
      </c>
      <c r="AZ93" s="23">
        <f t="shared" si="7"/>
        <v>-0.8551157917</v>
      </c>
      <c r="BA93" s="25">
        <f t="shared" si="8"/>
        <v>-0.848135297</v>
      </c>
      <c r="BB93" s="23">
        <f t="shared" si="9"/>
        <v>-0.6912633221</v>
      </c>
      <c r="BC93" s="24">
        <f t="shared" si="10"/>
        <v>-0.4426960027</v>
      </c>
      <c r="BD93" s="25">
        <f t="shared" si="11"/>
        <v>-0.7605995413</v>
      </c>
      <c r="BE93" s="26">
        <f t="shared" ref="BE93:BF93" si="190">((S93-S$289)/S$290)</f>
        <v>1.218892274</v>
      </c>
      <c r="BF93" s="26">
        <f t="shared" si="190"/>
        <v>0.5698032901</v>
      </c>
    </row>
    <row r="94">
      <c r="A94" s="16" t="s">
        <v>82</v>
      </c>
      <c r="B94" s="20">
        <f t="shared" si="3"/>
        <v>0.4285147052</v>
      </c>
      <c r="C94" s="16" t="s">
        <v>68</v>
      </c>
      <c r="D94" s="16" t="s">
        <v>69</v>
      </c>
      <c r="E94" s="16">
        <v>106.0</v>
      </c>
      <c r="F94" s="21" t="s">
        <v>70</v>
      </c>
      <c r="G94" s="16" t="s">
        <v>100</v>
      </c>
      <c r="H94" s="21" t="s">
        <v>101</v>
      </c>
      <c r="I94" s="21" t="s">
        <v>88</v>
      </c>
      <c r="J94" s="21" t="s">
        <v>83</v>
      </c>
      <c r="K94" s="21" t="s">
        <v>75</v>
      </c>
      <c r="L94" s="16" t="s">
        <v>84</v>
      </c>
      <c r="M94" s="21" t="s">
        <v>77</v>
      </c>
      <c r="N94" s="16" t="s">
        <v>78</v>
      </c>
      <c r="O94" s="16" t="s">
        <v>92</v>
      </c>
      <c r="P94" s="16" t="s">
        <v>80</v>
      </c>
      <c r="Q94" s="21" t="s">
        <v>89</v>
      </c>
      <c r="R94" s="21" t="s">
        <v>94</v>
      </c>
      <c r="S94" s="22">
        <v>239.519933223724</v>
      </c>
      <c r="T94" s="22">
        <v>134.350039958953</v>
      </c>
      <c r="U94" s="22">
        <v>2.71981191719764</v>
      </c>
      <c r="V94" s="22">
        <v>12.2876007653485</v>
      </c>
      <c r="W94" s="22">
        <v>3.50536742230376</v>
      </c>
      <c r="X94" s="22">
        <v>0.631730985878293</v>
      </c>
      <c r="Y94" s="22">
        <v>0.0945526271963</v>
      </c>
      <c r="Z94" s="22">
        <v>0.0149211766647188</v>
      </c>
      <c r="AA94" s="22">
        <v>0.122152268356829</v>
      </c>
      <c r="AB94" s="22">
        <v>0.672760444913987</v>
      </c>
      <c r="AC94" s="22">
        <v>0.09578427588827</v>
      </c>
      <c r="AD94" s="22">
        <v>0.123215507000745</v>
      </c>
      <c r="AE94" s="22">
        <v>0.673051296757988</v>
      </c>
      <c r="AF94" s="22">
        <v>0.108080476732542</v>
      </c>
      <c r="AG94" s="22">
        <v>0.136122039192324</v>
      </c>
      <c r="AH94" s="22">
        <v>0.602693569459447</v>
      </c>
      <c r="AI94" s="22">
        <v>10.0</v>
      </c>
      <c r="AJ94" s="22">
        <v>2.71981191719765</v>
      </c>
      <c r="AK94" s="22">
        <v>12.2876007653485</v>
      </c>
      <c r="AL94" s="22">
        <v>3.50536742230376</v>
      </c>
      <c r="AM94" s="22">
        <v>0.63168080731172</v>
      </c>
      <c r="AN94" s="22">
        <v>2.56222938001122</v>
      </c>
      <c r="AO94" s="22">
        <v>10.8637136427028</v>
      </c>
      <c r="AP94" s="22">
        <v>3.29601481226993</v>
      </c>
      <c r="AQ94" s="22">
        <v>0.673051296757988</v>
      </c>
      <c r="AR94" s="22">
        <v>2.8911527525955</v>
      </c>
      <c r="AS94" s="22">
        <v>13.258807511396</v>
      </c>
      <c r="AT94" s="22">
        <v>3.64126454839469</v>
      </c>
      <c r="AU94" s="22">
        <v>0.602693569459447</v>
      </c>
      <c r="AV94" s="23">
        <f t="shared" ref="AV94:AW94" si="191">(AC94-AC$289)/AC$290</f>
        <v>-0.1098727874</v>
      </c>
      <c r="AW94" s="24">
        <f t="shared" si="191"/>
        <v>0.09382754672</v>
      </c>
      <c r="AX94" s="24">
        <f t="shared" si="5"/>
        <v>-0.5318332777</v>
      </c>
      <c r="AY94" s="25">
        <f t="shared" si="6"/>
        <v>-0.5627285242</v>
      </c>
      <c r="AZ94" s="23">
        <f t="shared" si="7"/>
        <v>-0.5536460123</v>
      </c>
      <c r="BA94" s="25">
        <f t="shared" si="8"/>
        <v>-0.4338839189</v>
      </c>
      <c r="BB94" s="23">
        <f t="shared" si="9"/>
        <v>-0.07626991818</v>
      </c>
      <c r="BC94" s="24">
        <f t="shared" si="10"/>
        <v>-0.5117528</v>
      </c>
      <c r="BD94" s="25">
        <f t="shared" si="11"/>
        <v>-0.4469282919</v>
      </c>
      <c r="BE94" s="26">
        <f t="shared" ref="BE94:BF94" si="192">((S94-S$289)/S$290)</f>
        <v>-0.6115633617</v>
      </c>
      <c r="BF94" s="26">
        <f t="shared" si="192"/>
        <v>-0.9690104111</v>
      </c>
    </row>
    <row r="95">
      <c r="A95" s="16" t="s">
        <v>67</v>
      </c>
      <c r="B95" s="20">
        <f t="shared" si="3"/>
        <v>0.4248546448</v>
      </c>
      <c r="C95" s="16" t="s">
        <v>68</v>
      </c>
      <c r="D95" s="16" t="s">
        <v>69</v>
      </c>
      <c r="E95" s="16">
        <v>173.0</v>
      </c>
      <c r="F95" s="21" t="s">
        <v>102</v>
      </c>
      <c r="G95" s="16" t="s">
        <v>71</v>
      </c>
      <c r="H95" s="21" t="s">
        <v>103</v>
      </c>
      <c r="I95" s="21" t="s">
        <v>73</v>
      </c>
      <c r="J95" s="21" t="s">
        <v>83</v>
      </c>
      <c r="K95" s="21" t="s">
        <v>99</v>
      </c>
      <c r="L95" s="16" t="s">
        <v>76</v>
      </c>
      <c r="M95" s="21" t="s">
        <v>85</v>
      </c>
      <c r="N95" s="16" t="s">
        <v>95</v>
      </c>
      <c r="O95" s="16" t="s">
        <v>92</v>
      </c>
      <c r="P95" s="16" t="s">
        <v>80</v>
      </c>
      <c r="Q95" s="21" t="s">
        <v>81</v>
      </c>
      <c r="S95" s="22">
        <v>576.237561941146</v>
      </c>
      <c r="T95" s="22">
        <v>329.309541225433</v>
      </c>
      <c r="U95" s="22">
        <v>2.75382812281446</v>
      </c>
      <c r="V95" s="22">
        <v>11.6366828567108</v>
      </c>
      <c r="W95" s="22">
        <v>3.41125825124848</v>
      </c>
      <c r="X95" s="22">
        <v>0.64902752911855</v>
      </c>
      <c r="Y95" s="22">
        <v>0.0738812398936865</v>
      </c>
      <c r="Z95" s="22">
        <v>0.00788733973662011</v>
      </c>
      <c r="AA95" s="22">
        <v>0.0888106960710257</v>
      </c>
      <c r="AB95" s="22">
        <v>0.816420628370174</v>
      </c>
      <c r="AC95" s="22">
        <v>0.0741110129322108</v>
      </c>
      <c r="AD95" s="22">
        <v>0.0889398447346606</v>
      </c>
      <c r="AE95" s="22">
        <v>0.817282568172874</v>
      </c>
      <c r="AF95" s="22">
        <v>0.109962872631531</v>
      </c>
      <c r="AG95" s="22">
        <v>0.136698411453251</v>
      </c>
      <c r="AH95" s="22">
        <v>0.56967575315144</v>
      </c>
      <c r="AI95" s="22">
        <v>10.0</v>
      </c>
      <c r="AJ95" s="22">
        <v>2.75382812281445</v>
      </c>
      <c r="AK95" s="22">
        <v>11.6366828567108</v>
      </c>
      <c r="AL95" s="22">
        <v>3.41125825124848</v>
      </c>
      <c r="AM95" s="22">
        <v>0.648977495425441</v>
      </c>
      <c r="AN95" s="22">
        <v>2.05040469112445</v>
      </c>
      <c r="AO95" s="22">
        <v>6.05489211289342</v>
      </c>
      <c r="AP95" s="22">
        <v>2.46066903765894</v>
      </c>
      <c r="AQ95" s="22">
        <v>0.817282568172874</v>
      </c>
      <c r="AR95" s="22">
        <v>3.04230614280574</v>
      </c>
      <c r="AS95" s="22">
        <v>14.3034436972089</v>
      </c>
      <c r="AT95" s="22">
        <v>3.78198938353995</v>
      </c>
      <c r="AU95" s="22">
        <v>0.56967575315144</v>
      </c>
      <c r="AV95" s="23">
        <f t="shared" ref="AV95:AW95" si="193">(AC95-AC$289)/AC$290</f>
        <v>-0.9562337109</v>
      </c>
      <c r="AW95" s="24">
        <f t="shared" si="193"/>
        <v>-1.011392209</v>
      </c>
      <c r="AX95" s="24">
        <f t="shared" si="5"/>
        <v>-0.2734794805</v>
      </c>
      <c r="AY95" s="25">
        <f t="shared" si="6"/>
        <v>-0.3577410097</v>
      </c>
      <c r="AZ95" s="23">
        <f t="shared" si="7"/>
        <v>-0.4908778788</v>
      </c>
      <c r="BA95" s="25">
        <f t="shared" si="8"/>
        <v>-0.5771223839</v>
      </c>
      <c r="BB95" s="23">
        <f t="shared" si="9"/>
        <v>-0.7194599081</v>
      </c>
      <c r="BC95" s="24">
        <f t="shared" si="10"/>
        <v>-0.344921905</v>
      </c>
      <c r="BD95" s="25">
        <f t="shared" si="11"/>
        <v>-0.5495194648</v>
      </c>
      <c r="BE95" s="26">
        <f t="shared" ref="BE95:BF95" si="194">((S95-S$289)/S$290)</f>
        <v>0.03491655427</v>
      </c>
      <c r="BF95" s="26">
        <f t="shared" si="194"/>
        <v>0.572430303</v>
      </c>
    </row>
    <row r="96">
      <c r="A96" s="16" t="s">
        <v>82</v>
      </c>
      <c r="B96" s="20">
        <f t="shared" si="3"/>
        <v>0.4233248042</v>
      </c>
      <c r="C96" s="16" t="s">
        <v>68</v>
      </c>
      <c r="D96" s="16" t="s">
        <v>69</v>
      </c>
      <c r="E96" s="16">
        <v>209.0</v>
      </c>
      <c r="F96" s="21" t="s">
        <v>102</v>
      </c>
      <c r="G96" s="16" t="s">
        <v>71</v>
      </c>
      <c r="H96" s="21" t="s">
        <v>103</v>
      </c>
      <c r="I96" s="21" t="s">
        <v>88</v>
      </c>
      <c r="J96" s="21" t="s">
        <v>83</v>
      </c>
      <c r="K96" s="21" t="s">
        <v>75</v>
      </c>
      <c r="L96" s="16" t="s">
        <v>90</v>
      </c>
      <c r="M96" s="21" t="s">
        <v>77</v>
      </c>
      <c r="N96" s="16" t="s">
        <v>78</v>
      </c>
      <c r="O96" s="16" t="s">
        <v>92</v>
      </c>
      <c r="P96" s="16" t="s">
        <v>80</v>
      </c>
      <c r="Q96" s="21" t="s">
        <v>94</v>
      </c>
      <c r="R96" s="21" t="s">
        <v>93</v>
      </c>
      <c r="S96" s="22">
        <v>426.838681459426</v>
      </c>
      <c r="T96" s="22">
        <v>335.005225419998</v>
      </c>
      <c r="U96" s="22">
        <v>2.59091428929424</v>
      </c>
      <c r="V96" s="22">
        <v>10.4076251350377</v>
      </c>
      <c r="W96" s="22">
        <v>3.22608510970149</v>
      </c>
      <c r="X96" s="22">
        <v>0.686027870920079</v>
      </c>
      <c r="Y96" s="22">
        <v>0.0842463793094269</v>
      </c>
      <c r="Z96" s="22">
        <v>0.0108454431698213</v>
      </c>
      <c r="AA96" s="22">
        <v>0.104141457498065</v>
      </c>
      <c r="AB96" s="22">
        <v>0.746305651719241</v>
      </c>
      <c r="AC96" s="22">
        <v>0.0845967194208883</v>
      </c>
      <c r="AD96" s="22">
        <v>0.104363851247304</v>
      </c>
      <c r="AE96" s="22">
        <v>0.74723497787695</v>
      </c>
      <c r="AF96" s="22">
        <v>0.108814198819592</v>
      </c>
      <c r="AG96" s="22">
        <v>0.135286928876815</v>
      </c>
      <c r="AH96" s="22">
        <v>0.579095970428824</v>
      </c>
      <c r="AI96" s="22">
        <v>10.0</v>
      </c>
      <c r="AJ96" s="22">
        <v>2.59091428929423</v>
      </c>
      <c r="AK96" s="22">
        <v>10.4076251350377</v>
      </c>
      <c r="AL96" s="22">
        <v>3.22608510970149</v>
      </c>
      <c r="AM96" s="22">
        <v>0.685951951503662</v>
      </c>
      <c r="AN96" s="22">
        <v>2.34050923731122</v>
      </c>
      <c r="AO96" s="22">
        <v>8.33707809306122</v>
      </c>
      <c r="AP96" s="22">
        <v>2.88739988450876</v>
      </c>
      <c r="AQ96" s="22">
        <v>0.74723497787695</v>
      </c>
      <c r="AR96" s="22">
        <v>3.01052616734212</v>
      </c>
      <c r="AS96" s="22">
        <v>14.0095876086197</v>
      </c>
      <c r="AT96" s="22">
        <v>3.7429383655919</v>
      </c>
      <c r="AU96" s="22">
        <v>0.579095970428824</v>
      </c>
      <c r="AV96" s="23">
        <f t="shared" ref="AV96:AW96" si="195">(AC96-AC$289)/AC$290</f>
        <v>-0.5467571939</v>
      </c>
      <c r="AW96" s="24">
        <f t="shared" si="195"/>
        <v>-0.5140446572</v>
      </c>
      <c r="AX96" s="24">
        <f t="shared" si="5"/>
        <v>-0.3277983239</v>
      </c>
      <c r="AY96" s="25">
        <f t="shared" si="6"/>
        <v>-0.4146248646</v>
      </c>
      <c r="AZ96" s="23">
        <f t="shared" si="7"/>
        <v>-0.7914933373</v>
      </c>
      <c r="BA96" s="25">
        <f t="shared" si="8"/>
        <v>-0.8589643792</v>
      </c>
      <c r="BB96" s="23">
        <f t="shared" si="9"/>
        <v>-0.4070872274</v>
      </c>
      <c r="BC96" s="24">
        <f t="shared" si="10"/>
        <v>-0.3925199431</v>
      </c>
      <c r="BD96" s="25">
        <f t="shared" si="11"/>
        <v>-0.7688246168</v>
      </c>
      <c r="BE96" s="26">
        <f t="shared" ref="BE96:BF96" si="196">((S96-S$289)/S$290)</f>
        <v>-0.2519213403</v>
      </c>
      <c r="BF96" s="26">
        <f t="shared" si="196"/>
        <v>0.6174630378</v>
      </c>
    </row>
    <row r="97">
      <c r="A97" s="16" t="s">
        <v>82</v>
      </c>
      <c r="B97" s="20">
        <f t="shared" si="3"/>
        <v>0.4163290654</v>
      </c>
      <c r="C97" s="16" t="s">
        <v>68</v>
      </c>
      <c r="D97" s="16" t="s">
        <v>69</v>
      </c>
      <c r="E97" s="16">
        <v>52.0</v>
      </c>
      <c r="F97" s="21" t="s">
        <v>70</v>
      </c>
      <c r="G97" s="16" t="s">
        <v>71</v>
      </c>
      <c r="H97" s="21" t="s">
        <v>72</v>
      </c>
      <c r="I97" s="21" t="s">
        <v>88</v>
      </c>
      <c r="J97" s="21" t="s">
        <v>83</v>
      </c>
      <c r="K97" s="21" t="s">
        <v>99</v>
      </c>
      <c r="L97" s="16" t="s">
        <v>90</v>
      </c>
      <c r="M97" s="21" t="s">
        <v>85</v>
      </c>
      <c r="N97" s="16" t="s">
        <v>78</v>
      </c>
      <c r="O97" s="16" t="s">
        <v>86</v>
      </c>
      <c r="P97" s="16" t="s">
        <v>80</v>
      </c>
      <c r="Q97" s="21" t="s">
        <v>93</v>
      </c>
      <c r="S97" s="22">
        <v>312.632534027099</v>
      </c>
      <c r="T97" s="22">
        <v>130.702934980392</v>
      </c>
      <c r="U97" s="22">
        <v>2.87333502046736</v>
      </c>
      <c r="V97" s="22">
        <v>13.1159030557944</v>
      </c>
      <c r="W97" s="22">
        <v>3.62158847134712</v>
      </c>
      <c r="X97" s="22">
        <v>0.608695403129907</v>
      </c>
      <c r="Y97" s="22">
        <v>0.0860876711345803</v>
      </c>
      <c r="Z97" s="22">
        <v>0.0115407409713183</v>
      </c>
      <c r="AA97" s="22">
        <v>0.107427840764479</v>
      </c>
      <c r="AB97" s="22">
        <v>0.750696673995046</v>
      </c>
      <c r="AC97" s="22">
        <v>0.0864795662073815</v>
      </c>
      <c r="AD97" s="22">
        <v>0.107678312485276</v>
      </c>
      <c r="AE97" s="22">
        <v>0.751726055571658</v>
      </c>
      <c r="AF97" s="22">
        <v>0.112766258831939</v>
      </c>
      <c r="AG97" s="22">
        <v>0.142508006224587</v>
      </c>
      <c r="AH97" s="22">
        <v>0.567550558513694</v>
      </c>
      <c r="AI97" s="22">
        <v>10.0</v>
      </c>
      <c r="AJ97" s="22">
        <v>2.87333502046736</v>
      </c>
      <c r="AK97" s="22">
        <v>13.1159030557944</v>
      </c>
      <c r="AL97" s="22">
        <v>3.62158847134712</v>
      </c>
      <c r="AM97" s="22">
        <v>0.608602818276873</v>
      </c>
      <c r="AN97" s="22">
        <v>2.31332839604745</v>
      </c>
      <c r="AO97" s="22">
        <v>8.29667454364503</v>
      </c>
      <c r="AP97" s="22">
        <v>2.88039485898114</v>
      </c>
      <c r="AQ97" s="22">
        <v>0.751726055571658</v>
      </c>
      <c r="AR97" s="22">
        <v>3.01649742375437</v>
      </c>
      <c r="AS97" s="22">
        <v>14.5320238134055</v>
      </c>
      <c r="AT97" s="22">
        <v>3.81208916650772</v>
      </c>
      <c r="AU97" s="22">
        <v>0.567550558513694</v>
      </c>
      <c r="AV97" s="23">
        <f t="shared" ref="AV97:AW97" si="197">(AC97-AC$289)/AC$290</f>
        <v>-0.473230289</v>
      </c>
      <c r="AW97" s="24">
        <f t="shared" si="197"/>
        <v>-0.4071697554</v>
      </c>
      <c r="AX97" s="24">
        <f t="shared" si="5"/>
        <v>-0.3175921567</v>
      </c>
      <c r="AY97" s="25">
        <f t="shared" si="6"/>
        <v>-0.3138960147</v>
      </c>
      <c r="AZ97" s="23">
        <f t="shared" si="7"/>
        <v>-0.2703587242</v>
      </c>
      <c r="BA97" s="25">
        <f t="shared" si="8"/>
        <v>-0.2569901638</v>
      </c>
      <c r="BB97" s="23">
        <f t="shared" si="9"/>
        <v>-0.4271148968</v>
      </c>
      <c r="BC97" s="24">
        <f t="shared" si="10"/>
        <v>-0.3341838198</v>
      </c>
      <c r="BD97" s="25">
        <f t="shared" si="11"/>
        <v>-0.310046714</v>
      </c>
      <c r="BE97" s="26">
        <f t="shared" ref="BE97:BF97" si="198">((S97-S$289)/S$290)</f>
        <v>-0.4711910616</v>
      </c>
      <c r="BF97" s="26">
        <f t="shared" si="198"/>
        <v>-0.9978461235</v>
      </c>
    </row>
    <row r="98">
      <c r="A98" s="16" t="s">
        <v>67</v>
      </c>
      <c r="B98" s="20">
        <f t="shared" si="3"/>
        <v>0.4004617134</v>
      </c>
      <c r="C98" s="16" t="s">
        <v>68</v>
      </c>
      <c r="D98" s="16" t="s">
        <v>69</v>
      </c>
      <c r="E98" s="16">
        <v>242.0</v>
      </c>
      <c r="F98" s="21" t="s">
        <v>102</v>
      </c>
      <c r="G98" s="16" t="s">
        <v>100</v>
      </c>
      <c r="H98" s="21" t="s">
        <v>105</v>
      </c>
      <c r="I98" s="21" t="s">
        <v>73</v>
      </c>
      <c r="J98" s="21" t="s">
        <v>83</v>
      </c>
      <c r="K98" s="21" t="s">
        <v>75</v>
      </c>
      <c r="L98" s="16" t="s">
        <v>90</v>
      </c>
      <c r="M98" s="21" t="s">
        <v>77</v>
      </c>
      <c r="N98" s="16" t="s">
        <v>95</v>
      </c>
      <c r="O98" s="16" t="s">
        <v>92</v>
      </c>
      <c r="P98" s="16" t="s">
        <v>80</v>
      </c>
      <c r="Q98" s="21" t="s">
        <v>104</v>
      </c>
      <c r="R98" s="21" t="s">
        <v>93</v>
      </c>
      <c r="S98" s="22">
        <v>225.738050937652</v>
      </c>
      <c r="T98" s="22">
        <v>406.871413707733</v>
      </c>
      <c r="U98" s="22">
        <v>2.73091063349449</v>
      </c>
      <c r="V98" s="22">
        <v>11.8830729839515</v>
      </c>
      <c r="W98" s="22">
        <v>3.447183340635</v>
      </c>
      <c r="X98" s="22">
        <v>0.640761623754593</v>
      </c>
      <c r="Y98" s="22">
        <v>0.0796162163908255</v>
      </c>
      <c r="Z98" s="22">
        <v>0.00941923019803792</v>
      </c>
      <c r="AA98" s="22">
        <v>0.0970527186535128</v>
      </c>
      <c r="AB98" s="22">
        <v>0.777891082676703</v>
      </c>
      <c r="AC98" s="22">
        <v>0.0802434878424107</v>
      </c>
      <c r="AD98" s="22">
        <v>0.0975185816936873</v>
      </c>
      <c r="AE98" s="22">
        <v>0.77927990828261</v>
      </c>
      <c r="AF98" s="22">
        <v>0.105479850794582</v>
      </c>
      <c r="AG98" s="22">
        <v>0.133853822797466</v>
      </c>
      <c r="AH98" s="22">
        <v>0.587996782866323</v>
      </c>
      <c r="AI98" s="22">
        <v>10.0</v>
      </c>
      <c r="AJ98" s="22">
        <v>2.73091063349448</v>
      </c>
      <c r="AK98" s="22">
        <v>11.8830729839515</v>
      </c>
      <c r="AL98" s="22">
        <v>3.447183340635</v>
      </c>
      <c r="AM98" s="22">
        <v>0.640671419659067</v>
      </c>
      <c r="AN98" s="22">
        <v>2.22006983030663</v>
      </c>
      <c r="AO98" s="22">
        <v>7.27928004886143</v>
      </c>
      <c r="AP98" s="22">
        <v>2.69801409352535</v>
      </c>
      <c r="AQ98" s="22">
        <v>0.77927990828261</v>
      </c>
      <c r="AR98" s="22">
        <v>2.91827587198343</v>
      </c>
      <c r="AS98" s="22">
        <v>13.7143501388963</v>
      </c>
      <c r="AT98" s="22">
        <v>3.70328909739657</v>
      </c>
      <c r="AU98" s="22">
        <v>0.587996782866323</v>
      </c>
      <c r="AV98" s="23">
        <f t="shared" ref="AV98:AW98" si="199">(AC98-AC$289)/AC$290</f>
        <v>-0.7167549052</v>
      </c>
      <c r="AW98" s="24">
        <f t="shared" si="199"/>
        <v>-0.7347705787</v>
      </c>
      <c r="AX98" s="24">
        <f t="shared" si="5"/>
        <v>-0.4854740073</v>
      </c>
      <c r="AY98" s="25">
        <f t="shared" si="6"/>
        <v>-0.4723801637</v>
      </c>
      <c r="AZ98" s="23">
        <f t="shared" si="7"/>
        <v>-0.5331661941</v>
      </c>
      <c r="BA98" s="25">
        <f t="shared" si="8"/>
        <v>-0.5224427538</v>
      </c>
      <c r="BB98" s="23">
        <f t="shared" si="9"/>
        <v>-0.5499895139</v>
      </c>
      <c r="BC98" s="24">
        <f t="shared" si="10"/>
        <v>-0.4374935565</v>
      </c>
      <c r="BD98" s="25">
        <f t="shared" si="11"/>
        <v>-0.5002539609</v>
      </c>
      <c r="BE98" s="26">
        <f t="shared" ref="BE98:BF98" si="200">((S98-S$289)/S$290)</f>
        <v>-0.6380238418</v>
      </c>
      <c r="BF98" s="26">
        <f t="shared" si="200"/>
        <v>1.185670629</v>
      </c>
    </row>
    <row r="99">
      <c r="A99" s="16" t="s">
        <v>82</v>
      </c>
      <c r="B99" s="20">
        <f t="shared" si="3"/>
        <v>0.397640031</v>
      </c>
      <c r="C99" s="16" t="s">
        <v>68</v>
      </c>
      <c r="D99" s="16" t="s">
        <v>69</v>
      </c>
      <c r="E99" s="16">
        <v>179.0</v>
      </c>
      <c r="F99" s="21" t="s">
        <v>102</v>
      </c>
      <c r="G99" s="16" t="s">
        <v>71</v>
      </c>
      <c r="H99" s="21" t="s">
        <v>103</v>
      </c>
      <c r="I99" s="21" t="s">
        <v>88</v>
      </c>
      <c r="J99" s="21" t="s">
        <v>97</v>
      </c>
      <c r="K99" s="21" t="s">
        <v>75</v>
      </c>
      <c r="L99" s="16" t="s">
        <v>84</v>
      </c>
      <c r="M99" s="21" t="s">
        <v>85</v>
      </c>
      <c r="N99" s="16" t="s">
        <v>78</v>
      </c>
      <c r="O99" s="16" t="s">
        <v>86</v>
      </c>
      <c r="P99" s="16" t="s">
        <v>80</v>
      </c>
      <c r="Q99" s="21" t="s">
        <v>98</v>
      </c>
      <c r="S99" s="22">
        <v>774.461045026779</v>
      </c>
      <c r="T99" s="22">
        <v>338.483511924743</v>
      </c>
      <c r="U99" s="22">
        <v>2.53474401466372</v>
      </c>
      <c r="V99" s="22">
        <v>10.2348000112092</v>
      </c>
      <c r="W99" s="22">
        <v>3.19918739857627</v>
      </c>
      <c r="X99" s="22">
        <v>0.691239042068367</v>
      </c>
      <c r="Y99" s="22">
        <v>0.0938994719483804</v>
      </c>
      <c r="Z99" s="22">
        <v>0.0130098765014855</v>
      </c>
      <c r="AA99" s="22">
        <v>0.114060845610952</v>
      </c>
      <c r="AB99" s="22">
        <v>0.695675677925118</v>
      </c>
      <c r="AC99" s="22">
        <v>0.0942869850240706</v>
      </c>
      <c r="AD99" s="22">
        <v>0.114321603143712</v>
      </c>
      <c r="AE99" s="22">
        <v>0.696699313431122</v>
      </c>
      <c r="AF99" s="22">
        <v>0.0987085074313957</v>
      </c>
      <c r="AG99" s="22">
        <v>0.12560285921153</v>
      </c>
      <c r="AH99" s="22">
        <v>0.637197343036605</v>
      </c>
      <c r="AI99" s="22">
        <v>10.0</v>
      </c>
      <c r="AJ99" s="22">
        <v>2.53474401466371</v>
      </c>
      <c r="AK99" s="22">
        <v>10.2348000112092</v>
      </c>
      <c r="AL99" s="22">
        <v>3.19918739857627</v>
      </c>
      <c r="AM99" s="22">
        <v>0.691166915740484</v>
      </c>
      <c r="AN99" s="22">
        <v>2.60860658566594</v>
      </c>
      <c r="AO99" s="22">
        <v>10.0039217782785</v>
      </c>
      <c r="AP99" s="22">
        <v>3.16289768697606</v>
      </c>
      <c r="AQ99" s="22">
        <v>0.696699313431122</v>
      </c>
      <c r="AR99" s="22">
        <v>2.73093537226859</v>
      </c>
      <c r="AS99" s="22">
        <v>12.0757114455451</v>
      </c>
      <c r="AT99" s="22">
        <v>3.47501243818566</v>
      </c>
      <c r="AU99" s="22">
        <v>0.637197343036605</v>
      </c>
      <c r="AV99" s="23">
        <f t="shared" ref="AV99:AW99" si="201">(AC99-AC$289)/AC$290</f>
        <v>-0.1683433777</v>
      </c>
      <c r="AW99" s="24">
        <f t="shared" si="201"/>
        <v>-0.1929566493</v>
      </c>
      <c r="AX99" s="24">
        <f t="shared" si="5"/>
        <v>-0.8056793922</v>
      </c>
      <c r="AY99" s="25">
        <f t="shared" si="6"/>
        <v>-0.8049004679</v>
      </c>
      <c r="AZ99" s="23">
        <f t="shared" si="7"/>
        <v>-0.8951410908</v>
      </c>
      <c r="BA99" s="25">
        <f t="shared" si="8"/>
        <v>-0.8999039264</v>
      </c>
      <c r="BB99" s="23">
        <f t="shared" si="9"/>
        <v>-0.1817267131</v>
      </c>
      <c r="BC99" s="24">
        <f t="shared" si="10"/>
        <v>-0.6860918712</v>
      </c>
      <c r="BD99" s="25">
        <f t="shared" si="11"/>
        <v>-0.7997559311</v>
      </c>
      <c r="BE99" s="26">
        <f t="shared" ref="BE99:BF99" si="202">((S99-S$289)/S$290)</f>
        <v>0.4154950858</v>
      </c>
      <c r="BF99" s="26">
        <f t="shared" si="202"/>
        <v>0.6449639926</v>
      </c>
    </row>
    <row r="100">
      <c r="A100" s="16" t="s">
        <v>67</v>
      </c>
      <c r="B100" s="20">
        <f t="shared" si="3"/>
        <v>0.3923637448</v>
      </c>
      <c r="C100" s="16" t="s">
        <v>68</v>
      </c>
      <c r="D100" s="16" t="s">
        <v>69</v>
      </c>
      <c r="E100" s="16">
        <v>75.0</v>
      </c>
      <c r="F100" s="21" t="s">
        <v>70</v>
      </c>
      <c r="G100" s="16" t="s">
        <v>100</v>
      </c>
      <c r="H100" s="21" t="s">
        <v>101</v>
      </c>
      <c r="I100" s="21" t="s">
        <v>73</v>
      </c>
      <c r="J100" s="21" t="s">
        <v>74</v>
      </c>
      <c r="K100" s="21" t="s">
        <v>75</v>
      </c>
      <c r="L100" s="16" t="s">
        <v>76</v>
      </c>
      <c r="M100" s="21" t="s">
        <v>77</v>
      </c>
      <c r="N100" s="16" t="s">
        <v>91</v>
      </c>
      <c r="O100" s="16" t="s">
        <v>92</v>
      </c>
      <c r="P100" s="16" t="s">
        <v>80</v>
      </c>
      <c r="Q100" s="21" t="s">
        <v>81</v>
      </c>
      <c r="R100" s="21" t="s">
        <v>81</v>
      </c>
      <c r="S100" s="22">
        <v>192.193919420242</v>
      </c>
      <c r="T100" s="22">
        <v>130.805458784103</v>
      </c>
      <c r="U100" s="22">
        <v>2.86728716348361</v>
      </c>
      <c r="V100" s="22">
        <v>12.9315661243313</v>
      </c>
      <c r="W100" s="22">
        <v>3.59604868214146</v>
      </c>
      <c r="X100" s="22">
        <v>0.61754937490628</v>
      </c>
      <c r="Y100" s="22">
        <v>0.0934979056624735</v>
      </c>
      <c r="Z100" s="22">
        <v>0.0128395931968582</v>
      </c>
      <c r="AA100" s="22">
        <v>0.113311928749175</v>
      </c>
      <c r="AB100" s="22">
        <v>0.721925484518364</v>
      </c>
      <c r="AC100" s="22">
        <v>0.0939625244587617</v>
      </c>
      <c r="AD100" s="22">
        <v>0.113529404395647</v>
      </c>
      <c r="AE100" s="22">
        <v>0.725472052829793</v>
      </c>
      <c r="AF100" s="22">
        <v>0.113203213108825</v>
      </c>
      <c r="AG100" s="22">
        <v>0.142448399780456</v>
      </c>
      <c r="AH100" s="22">
        <v>0.571379724306738</v>
      </c>
      <c r="AI100" s="22">
        <v>10.0</v>
      </c>
      <c r="AJ100" s="22">
        <v>2.86728716348361</v>
      </c>
      <c r="AK100" s="22">
        <v>12.9315661243313</v>
      </c>
      <c r="AL100" s="22">
        <v>3.59604868214146</v>
      </c>
      <c r="AM100" s="22">
        <v>0.61740275653702</v>
      </c>
      <c r="AN100" s="22">
        <v>2.51349752927187</v>
      </c>
      <c r="AO100" s="22">
        <v>9.22283186932299</v>
      </c>
      <c r="AP100" s="22">
        <v>3.03691156758358</v>
      </c>
      <c r="AQ100" s="22">
        <v>0.725472052829793</v>
      </c>
      <c r="AR100" s="22">
        <v>3.02818595066108</v>
      </c>
      <c r="AS100" s="22">
        <v>14.5198698139715</v>
      </c>
      <c r="AT100" s="22">
        <v>3.81049469412719</v>
      </c>
      <c r="AU100" s="22">
        <v>0.571379724306738</v>
      </c>
      <c r="AV100" s="23">
        <f t="shared" ref="AV100:AW100" si="203">(AC100-AC$289)/AC$290</f>
        <v>-0.1810138622</v>
      </c>
      <c r="AW100" s="24">
        <f t="shared" si="203"/>
        <v>-0.2185011216</v>
      </c>
      <c r="AX100" s="24">
        <f t="shared" si="5"/>
        <v>-0.2976139392</v>
      </c>
      <c r="AY100" s="25">
        <f t="shared" si="6"/>
        <v>-0.3162186106</v>
      </c>
      <c r="AZ100" s="23">
        <f t="shared" si="7"/>
        <v>-0.2815184843</v>
      </c>
      <c r="BA100" s="25">
        <f t="shared" si="8"/>
        <v>-0.2958628917</v>
      </c>
      <c r="BB100" s="23">
        <f t="shared" si="9"/>
        <v>-0.3100368762</v>
      </c>
      <c r="BC100" s="24">
        <f t="shared" si="10"/>
        <v>-0.3535316516</v>
      </c>
      <c r="BD100" s="25">
        <f t="shared" si="11"/>
        <v>-0.3622414452</v>
      </c>
      <c r="BE100" s="26">
        <f t="shared" ref="BE100:BF100" si="204">((S100-S$289)/S$290)</f>
        <v>-0.7024267879</v>
      </c>
      <c r="BF100" s="26">
        <f t="shared" si="204"/>
        <v>-0.9970355225</v>
      </c>
    </row>
    <row r="101">
      <c r="A101" s="16" t="s">
        <v>82</v>
      </c>
      <c r="B101" s="20">
        <f t="shared" si="3"/>
        <v>0.3838981493</v>
      </c>
      <c r="C101" s="16" t="s">
        <v>68</v>
      </c>
      <c r="D101" s="16" t="s">
        <v>69</v>
      </c>
      <c r="E101" s="16">
        <v>253.0</v>
      </c>
      <c r="F101" s="21" t="s">
        <v>102</v>
      </c>
      <c r="G101" s="16" t="s">
        <v>100</v>
      </c>
      <c r="H101" s="21" t="s">
        <v>105</v>
      </c>
      <c r="I101" s="21" t="s">
        <v>88</v>
      </c>
      <c r="J101" s="21" t="s">
        <v>74</v>
      </c>
      <c r="K101" s="21" t="s">
        <v>75</v>
      </c>
      <c r="L101" s="16" t="s">
        <v>76</v>
      </c>
      <c r="M101" s="21" t="s">
        <v>77</v>
      </c>
      <c r="N101" s="16" t="s">
        <v>78</v>
      </c>
      <c r="O101" s="16" t="s">
        <v>92</v>
      </c>
      <c r="P101" s="16" t="s">
        <v>80</v>
      </c>
      <c r="Q101" s="21" t="s">
        <v>104</v>
      </c>
      <c r="R101" s="21" t="s">
        <v>94</v>
      </c>
      <c r="S101" s="22">
        <v>423.480361938476</v>
      </c>
      <c r="T101" s="22">
        <v>429.179615497589</v>
      </c>
      <c r="U101" s="22">
        <v>2.66823899190005</v>
      </c>
      <c r="V101" s="22">
        <v>11.4904152712625</v>
      </c>
      <c r="W101" s="22">
        <v>3.3897515058279</v>
      </c>
      <c r="X101" s="22">
        <v>0.652623052849898</v>
      </c>
      <c r="Y101" s="22">
        <v>0.0833319677794801</v>
      </c>
      <c r="Z101" s="22">
        <v>0.0104873295057044</v>
      </c>
      <c r="AA101" s="22">
        <v>0.102407663315322</v>
      </c>
      <c r="AB101" s="22">
        <v>0.751341054915172</v>
      </c>
      <c r="AC101" s="22">
        <v>0.0839705858703274</v>
      </c>
      <c r="AD101" s="22">
        <v>0.102853123544641</v>
      </c>
      <c r="AE101" s="22">
        <v>0.75326963943824</v>
      </c>
      <c r="AF101" s="22">
        <v>0.10102052250521</v>
      </c>
      <c r="AG101" s="22">
        <v>0.129271723205346</v>
      </c>
      <c r="AH101" s="22">
        <v>0.615447403635005</v>
      </c>
      <c r="AI101" s="22">
        <v>10.0</v>
      </c>
      <c r="AJ101" s="22">
        <v>2.66823899190004</v>
      </c>
      <c r="AK101" s="22">
        <v>11.4904152712625</v>
      </c>
      <c r="AL101" s="22">
        <v>3.3897515058279</v>
      </c>
      <c r="AM101" s="22">
        <v>0.652488294093898</v>
      </c>
      <c r="AN101" s="22">
        <v>2.32318620907901</v>
      </c>
      <c r="AO101" s="22">
        <v>8.09745691585378</v>
      </c>
      <c r="AP101" s="22">
        <v>2.84560308473507</v>
      </c>
      <c r="AQ101" s="22">
        <v>0.753269639438239</v>
      </c>
      <c r="AR101" s="22">
        <v>2.79490112264413</v>
      </c>
      <c r="AS101" s="22">
        <v>12.791478682076</v>
      </c>
      <c r="AT101" s="22">
        <v>3.57651767534791</v>
      </c>
      <c r="AU101" s="22">
        <v>0.615447403635005</v>
      </c>
      <c r="AV101" s="23">
        <f t="shared" ref="AV101:AW101" si="205">(AC101-AC$289)/AC$290</f>
        <v>-0.571208287</v>
      </c>
      <c r="AW101" s="24">
        <f t="shared" si="205"/>
        <v>-0.5627581171</v>
      </c>
      <c r="AX101" s="24">
        <f t="shared" si="5"/>
        <v>-0.6963481064</v>
      </c>
      <c r="AY101" s="25">
        <f t="shared" si="6"/>
        <v>-0.6570423712</v>
      </c>
      <c r="AZ101" s="23">
        <f t="shared" si="7"/>
        <v>-0.6488105434</v>
      </c>
      <c r="BA101" s="25">
        <f t="shared" si="8"/>
        <v>-0.6098566346</v>
      </c>
      <c r="BB101" s="23">
        <f t="shared" si="9"/>
        <v>-0.4339984088</v>
      </c>
      <c r="BC101" s="24">
        <f t="shared" si="10"/>
        <v>-0.5761947834</v>
      </c>
      <c r="BD101" s="25">
        <f t="shared" si="11"/>
        <v>-0.5703429283</v>
      </c>
      <c r="BE101" s="26">
        <f t="shared" ref="BE101:BF101" si="206">((S101-S$289)/S$290)</f>
        <v>-0.258369135</v>
      </c>
      <c r="BF101" s="26">
        <f t="shared" si="206"/>
        <v>1.362049673</v>
      </c>
    </row>
    <row r="102">
      <c r="A102" s="16" t="s">
        <v>67</v>
      </c>
      <c r="B102" s="20">
        <f t="shared" si="3"/>
        <v>0.3810543407</v>
      </c>
      <c r="C102" s="16" t="s">
        <v>68</v>
      </c>
      <c r="D102" s="16" t="s">
        <v>69</v>
      </c>
      <c r="E102" s="16">
        <v>171.0</v>
      </c>
      <c r="F102" s="21" t="s">
        <v>102</v>
      </c>
      <c r="G102" s="16" t="s">
        <v>71</v>
      </c>
      <c r="H102" s="21" t="s">
        <v>103</v>
      </c>
      <c r="I102" s="21" t="s">
        <v>88</v>
      </c>
      <c r="J102" s="21" t="s">
        <v>97</v>
      </c>
      <c r="K102" s="21" t="s">
        <v>99</v>
      </c>
      <c r="L102" s="16" t="s">
        <v>90</v>
      </c>
      <c r="M102" s="21" t="s">
        <v>85</v>
      </c>
      <c r="N102" s="16" t="s">
        <v>95</v>
      </c>
      <c r="O102" s="16" t="s">
        <v>86</v>
      </c>
      <c r="P102" s="16" t="s">
        <v>80</v>
      </c>
      <c r="Q102" s="21" t="s">
        <v>93</v>
      </c>
      <c r="S102" s="22">
        <v>751.207757472992</v>
      </c>
      <c r="T102" s="22">
        <v>401.228234291076</v>
      </c>
      <c r="U102" s="22">
        <v>2.63293255488241</v>
      </c>
      <c r="V102" s="22">
        <v>10.7117738965145</v>
      </c>
      <c r="W102" s="22">
        <v>3.27288464454745</v>
      </c>
      <c r="X102" s="22">
        <v>0.676861991652714</v>
      </c>
      <c r="Y102" s="22">
        <v>0.0859593532032628</v>
      </c>
      <c r="Z102" s="22">
        <v>0.0106883294629526</v>
      </c>
      <c r="AA102" s="22">
        <v>0.103384377267325</v>
      </c>
      <c r="AB102" s="22">
        <v>0.749980822834513</v>
      </c>
      <c r="AC102" s="22">
        <v>0.0862570434247392</v>
      </c>
      <c r="AD102" s="22">
        <v>0.103564845416448</v>
      </c>
      <c r="AE102" s="22">
        <v>0.751090481907089</v>
      </c>
      <c r="AF102" s="22">
        <v>0.101599904665326</v>
      </c>
      <c r="AG102" s="22">
        <v>0.12730377261081</v>
      </c>
      <c r="AH102" s="22">
        <v>0.627304666078639</v>
      </c>
      <c r="AI102" s="22">
        <v>10.0</v>
      </c>
      <c r="AJ102" s="22">
        <v>2.63293255488239</v>
      </c>
      <c r="AK102" s="22">
        <v>10.7117738965145</v>
      </c>
      <c r="AL102" s="22">
        <v>3.27288464454745</v>
      </c>
      <c r="AM102" s="22">
        <v>0.676774322240978</v>
      </c>
      <c r="AN102" s="22">
        <v>2.38644486808442</v>
      </c>
      <c r="AO102" s="22">
        <v>8.2099100303388</v>
      </c>
      <c r="AP102" s="22">
        <v>2.86529405652173</v>
      </c>
      <c r="AQ102" s="22">
        <v>0.751090481907089</v>
      </c>
      <c r="AR102" s="22">
        <v>2.81093069574069</v>
      </c>
      <c r="AS102" s="22">
        <v>12.4049844265322</v>
      </c>
      <c r="AT102" s="22">
        <v>3.52207104223243</v>
      </c>
      <c r="AU102" s="22">
        <v>0.627304666078639</v>
      </c>
      <c r="AV102" s="23">
        <f t="shared" ref="AV102:AW102" si="207">(AC102-AC$289)/AC$290</f>
        <v>-0.481920009</v>
      </c>
      <c r="AW102" s="24">
        <f t="shared" si="207"/>
        <v>-0.5398086241</v>
      </c>
      <c r="AX102" s="24">
        <f t="shared" si="5"/>
        <v>-0.6689501031</v>
      </c>
      <c r="AY102" s="25">
        <f t="shared" si="6"/>
        <v>-0.7363523238</v>
      </c>
      <c r="AZ102" s="23">
        <f t="shared" si="7"/>
        <v>-0.7139594662</v>
      </c>
      <c r="BA102" s="25">
        <f t="shared" si="8"/>
        <v>-0.7877333455</v>
      </c>
      <c r="BB102" s="23">
        <f t="shared" si="9"/>
        <v>-0.4242805973</v>
      </c>
      <c r="BC102" s="24">
        <f t="shared" si="10"/>
        <v>-0.6361066106</v>
      </c>
      <c r="BD102" s="25">
        <f t="shared" si="11"/>
        <v>-0.7143897016</v>
      </c>
      <c r="BE102" s="26">
        <f t="shared" ref="BE102:BF102" si="208">((S102-S$289)/S$290)</f>
        <v>0.370850012</v>
      </c>
      <c r="BF102" s="26">
        <f t="shared" si="208"/>
        <v>1.141053022</v>
      </c>
    </row>
    <row r="103">
      <c r="A103" s="16" t="s">
        <v>82</v>
      </c>
      <c r="B103" s="20">
        <f t="shared" si="3"/>
        <v>0.3771148212</v>
      </c>
      <c r="C103" s="16" t="s">
        <v>68</v>
      </c>
      <c r="D103" s="16" t="s">
        <v>69</v>
      </c>
      <c r="E103" s="16">
        <v>208.0</v>
      </c>
      <c r="F103" s="21" t="s">
        <v>102</v>
      </c>
      <c r="G103" s="16" t="s">
        <v>71</v>
      </c>
      <c r="H103" s="21" t="s">
        <v>103</v>
      </c>
      <c r="I103" s="21" t="s">
        <v>73</v>
      </c>
      <c r="J103" s="21" t="s">
        <v>97</v>
      </c>
      <c r="K103" s="21" t="s">
        <v>99</v>
      </c>
      <c r="L103" s="16" t="s">
        <v>76</v>
      </c>
      <c r="M103" s="21" t="s">
        <v>85</v>
      </c>
      <c r="N103" s="16" t="s">
        <v>78</v>
      </c>
      <c r="O103" s="16" t="s">
        <v>92</v>
      </c>
      <c r="P103" s="16" t="s">
        <v>80</v>
      </c>
      <c r="Q103" s="21" t="s">
        <v>81</v>
      </c>
      <c r="S103" s="22">
        <v>316.344354152679</v>
      </c>
      <c r="T103" s="22">
        <v>313.545411109924</v>
      </c>
      <c r="U103" s="22">
        <v>2.75471172529747</v>
      </c>
      <c r="V103" s="22">
        <v>11.5277394097383</v>
      </c>
      <c r="W103" s="22">
        <v>3.39525248100025</v>
      </c>
      <c r="X103" s="22">
        <v>0.652300141516424</v>
      </c>
      <c r="Y103" s="22">
        <v>0.0876653176581095</v>
      </c>
      <c r="Z103" s="22">
        <v>0.0110389825810585</v>
      </c>
      <c r="AA103" s="22">
        <v>0.105066562621314</v>
      </c>
      <c r="AB103" s="22">
        <v>0.74306552610453</v>
      </c>
      <c r="AC103" s="22">
        <v>0.0879396469175803</v>
      </c>
      <c r="AD103" s="22">
        <v>0.10522231456831</v>
      </c>
      <c r="AE103" s="22">
        <v>0.744257474297567</v>
      </c>
      <c r="AF103" s="22">
        <v>0.108647159337172</v>
      </c>
      <c r="AG103" s="22">
        <v>0.134785747665834</v>
      </c>
      <c r="AH103" s="22">
        <v>0.581633573136515</v>
      </c>
      <c r="AI103" s="22">
        <v>10.0</v>
      </c>
      <c r="AJ103" s="22">
        <v>2.75471172529746</v>
      </c>
      <c r="AK103" s="22">
        <v>11.5277394097383</v>
      </c>
      <c r="AL103" s="22">
        <v>3.39525248100025</v>
      </c>
      <c r="AM103" s="22">
        <v>0.652263792911087</v>
      </c>
      <c r="AN103" s="22">
        <v>2.43299689805305</v>
      </c>
      <c r="AO103" s="22">
        <v>8.47479841590691</v>
      </c>
      <c r="AP103" s="22">
        <v>2.91115070305659</v>
      </c>
      <c r="AQ103" s="22">
        <v>0.744257474297567</v>
      </c>
      <c r="AR103" s="22">
        <v>3.00590474166181</v>
      </c>
      <c r="AS103" s="22">
        <v>13.9059806071077</v>
      </c>
      <c r="AT103" s="22">
        <v>3.72907235208808</v>
      </c>
      <c r="AU103" s="22">
        <v>0.581633573136515</v>
      </c>
      <c r="AV103" s="23">
        <f t="shared" ref="AV103:AW103" si="209">(AC103-AC$289)/AC$290</f>
        <v>-0.4162127895</v>
      </c>
      <c r="AW103" s="24">
        <f t="shared" si="209"/>
        <v>-0.4863634817</v>
      </c>
      <c r="AX103" s="24">
        <f t="shared" si="5"/>
        <v>-0.3356973388</v>
      </c>
      <c r="AY103" s="25">
        <f t="shared" si="6"/>
        <v>-0.4348228605</v>
      </c>
      <c r="AZ103" s="23">
        <f t="shared" si="7"/>
        <v>-0.4892474183</v>
      </c>
      <c r="BA103" s="25">
        <f t="shared" si="8"/>
        <v>-0.6014838987</v>
      </c>
      <c r="BB103" s="23">
        <f t="shared" si="9"/>
        <v>-0.3938092435</v>
      </c>
      <c r="BC103" s="24">
        <f t="shared" si="10"/>
        <v>-0.4053418247</v>
      </c>
      <c r="BD103" s="25">
        <f t="shared" si="11"/>
        <v>-0.5690113531</v>
      </c>
      <c r="BE103" s="26">
        <f t="shared" ref="BE103:BF103" si="210">((S103-S$289)/S$290)</f>
        <v>-0.4640645646</v>
      </c>
      <c r="BF103" s="26">
        <f t="shared" si="210"/>
        <v>0.4477917405</v>
      </c>
    </row>
    <row r="104">
      <c r="A104" s="16" t="s">
        <v>82</v>
      </c>
      <c r="B104" s="20">
        <f t="shared" si="3"/>
        <v>0.3731336183</v>
      </c>
      <c r="C104" s="16" t="s">
        <v>68</v>
      </c>
      <c r="D104" s="16" t="s">
        <v>69</v>
      </c>
      <c r="E104" s="16">
        <v>41.0</v>
      </c>
      <c r="F104" s="21" t="s">
        <v>70</v>
      </c>
      <c r="G104" s="16" t="s">
        <v>71</v>
      </c>
      <c r="H104" s="21" t="s">
        <v>72</v>
      </c>
      <c r="I104" s="21" t="s">
        <v>73</v>
      </c>
      <c r="J104" s="21" t="s">
        <v>83</v>
      </c>
      <c r="K104" s="21" t="s">
        <v>99</v>
      </c>
      <c r="L104" s="16" t="s">
        <v>84</v>
      </c>
      <c r="M104" s="21" t="s">
        <v>85</v>
      </c>
      <c r="N104" s="16" t="s">
        <v>78</v>
      </c>
      <c r="O104" s="16" t="s">
        <v>86</v>
      </c>
      <c r="P104" s="16" t="s">
        <v>80</v>
      </c>
      <c r="Q104" s="21" t="s">
        <v>87</v>
      </c>
      <c r="S104" s="22">
        <v>451.334569692611</v>
      </c>
      <c r="T104" s="22">
        <v>128.028661489486</v>
      </c>
      <c r="U104" s="22">
        <v>2.82610592491438</v>
      </c>
      <c r="V104" s="22">
        <v>12.600145012396</v>
      </c>
      <c r="W104" s="22">
        <v>3.54966829610824</v>
      </c>
      <c r="X104" s="22">
        <v>0.628506660975577</v>
      </c>
      <c r="Y104" s="22">
        <v>0.091171044163867</v>
      </c>
      <c r="Z104" s="22">
        <v>0.0126414293343109</v>
      </c>
      <c r="AA104" s="22">
        <v>0.112434111079827</v>
      </c>
      <c r="AB104" s="22">
        <v>0.729983713270382</v>
      </c>
      <c r="AC104" s="22">
        <v>0.0915277979304499</v>
      </c>
      <c r="AD104" s="22">
        <v>0.112645135343398</v>
      </c>
      <c r="AE104" s="22">
        <v>0.731124992852953</v>
      </c>
      <c r="AF104" s="22">
        <v>0.113920512469577</v>
      </c>
      <c r="AG104" s="22">
        <v>0.143514995351264</v>
      </c>
      <c r="AH104" s="22">
        <v>0.567023093948066</v>
      </c>
      <c r="AI104" s="22">
        <v>10.0</v>
      </c>
      <c r="AJ104" s="22">
        <v>2.82610592491439</v>
      </c>
      <c r="AK104" s="22">
        <v>12.600145012396</v>
      </c>
      <c r="AL104" s="22">
        <v>3.54966829610824</v>
      </c>
      <c r="AM104" s="22">
        <v>0.628367829637194</v>
      </c>
      <c r="AN104" s="22">
        <v>2.44836859463953</v>
      </c>
      <c r="AO104" s="22">
        <v>9.07971998048639</v>
      </c>
      <c r="AP104" s="22">
        <v>3.01325737043591</v>
      </c>
      <c r="AQ104" s="22">
        <v>0.731124992852953</v>
      </c>
      <c r="AR104" s="22">
        <v>3.0473737085612</v>
      </c>
      <c r="AS104" s="22">
        <v>14.738121593395</v>
      </c>
      <c r="AT104" s="22">
        <v>3.83902612564633</v>
      </c>
      <c r="AU104" s="22">
        <v>0.567023093948066</v>
      </c>
      <c r="AV104" s="23">
        <f t="shared" ref="AV104:AW104" si="211">(AC104-AC$289)/AC$290</f>
        <v>-0.2760921805</v>
      </c>
      <c r="AW104" s="24">
        <f t="shared" si="211"/>
        <v>-0.2470144037</v>
      </c>
      <c r="AX104" s="24">
        <f t="shared" si="5"/>
        <v>-0.2648179159</v>
      </c>
      <c r="AY104" s="25">
        <f t="shared" si="6"/>
        <v>-0.2746581623</v>
      </c>
      <c r="AZ104" s="23">
        <f t="shared" si="7"/>
        <v>-0.357507838</v>
      </c>
      <c r="BA104" s="25">
        <f t="shared" si="8"/>
        <v>-0.3664559617</v>
      </c>
      <c r="BB104" s="23">
        <f t="shared" si="9"/>
        <v>-0.3352457952</v>
      </c>
      <c r="BC104" s="24">
        <f t="shared" si="10"/>
        <v>-0.3315186713</v>
      </c>
      <c r="BD104" s="25">
        <f t="shared" si="11"/>
        <v>-0.4272781564</v>
      </c>
      <c r="BE104" s="26">
        <f t="shared" ref="BE104:BF104" si="212">((S104-S$289)/S$290)</f>
        <v>-0.2048905394</v>
      </c>
      <c r="BF104" s="26">
        <f t="shared" si="212"/>
        <v>-1.018990177</v>
      </c>
    </row>
    <row r="105">
      <c r="A105" s="16" t="s">
        <v>67</v>
      </c>
      <c r="B105" s="20">
        <f t="shared" si="3"/>
        <v>0.3560620128</v>
      </c>
      <c r="C105" s="16" t="s">
        <v>68</v>
      </c>
      <c r="D105" s="16" t="s">
        <v>69</v>
      </c>
      <c r="E105" s="16">
        <v>36.0</v>
      </c>
      <c r="F105" s="21" t="s">
        <v>70</v>
      </c>
      <c r="G105" s="16" t="s">
        <v>71</v>
      </c>
      <c r="H105" s="21" t="s">
        <v>72</v>
      </c>
      <c r="I105" s="21" t="s">
        <v>88</v>
      </c>
      <c r="J105" s="21" t="s">
        <v>74</v>
      </c>
      <c r="K105" s="21" t="s">
        <v>99</v>
      </c>
      <c r="L105" s="16" t="s">
        <v>90</v>
      </c>
      <c r="M105" s="21" t="s">
        <v>85</v>
      </c>
      <c r="N105" s="16" t="s">
        <v>78</v>
      </c>
      <c r="O105" s="16" t="s">
        <v>79</v>
      </c>
      <c r="P105" s="16" t="s">
        <v>80</v>
      </c>
      <c r="Q105" s="21" t="s">
        <v>94</v>
      </c>
      <c r="S105" s="22">
        <v>475.629279136657</v>
      </c>
      <c r="T105" s="22">
        <v>128.519227266311</v>
      </c>
      <c r="U105" s="22">
        <v>2.85486491467945</v>
      </c>
      <c r="V105" s="22">
        <v>12.4852550223948</v>
      </c>
      <c r="W105" s="22">
        <v>3.53344803589848</v>
      </c>
      <c r="X105" s="22">
        <v>0.627523120055154</v>
      </c>
      <c r="Y105" s="22">
        <v>0.0886529828488292</v>
      </c>
      <c r="Z105" s="22">
        <v>0.0113764940095188</v>
      </c>
      <c r="AA105" s="22">
        <v>0.106660648833198</v>
      </c>
      <c r="AB105" s="22">
        <v>0.754244740272991</v>
      </c>
      <c r="AC105" s="22">
        <v>0.0890306057785642</v>
      </c>
      <c r="AD105" s="22">
        <v>0.106927241053785</v>
      </c>
      <c r="AE105" s="22">
        <v>0.755177468026986</v>
      </c>
      <c r="AF105" s="22">
        <v>0.118354717072319</v>
      </c>
      <c r="AG105" s="22">
        <v>0.147235593991371</v>
      </c>
      <c r="AH105" s="22">
        <v>0.538382315828219</v>
      </c>
      <c r="AI105" s="22">
        <v>10.0</v>
      </c>
      <c r="AJ105" s="22">
        <v>2.85486491467946</v>
      </c>
      <c r="AK105" s="22">
        <v>12.4852550223948</v>
      </c>
      <c r="AL105" s="22">
        <v>3.53344803589848</v>
      </c>
      <c r="AM105" s="22">
        <v>0.627422251592429</v>
      </c>
      <c r="AN105" s="22">
        <v>2.38156870457659</v>
      </c>
      <c r="AO105" s="22">
        <v>8.18133724587231</v>
      </c>
      <c r="AP105" s="22">
        <v>2.86030369818876</v>
      </c>
      <c r="AQ105" s="22">
        <v>0.755177468026986</v>
      </c>
      <c r="AR105" s="22">
        <v>3.16598868168454</v>
      </c>
      <c r="AS105" s="22">
        <v>15.5121929537417</v>
      </c>
      <c r="AT105" s="22">
        <v>3.93855213926917</v>
      </c>
      <c r="AU105" s="22">
        <v>0.538382315828219</v>
      </c>
      <c r="AV105" s="23">
        <f t="shared" ref="AV105:AW105" si="213">(AC105-AC$289)/AC$290</f>
        <v>-0.373609839</v>
      </c>
      <c r="AW105" s="24">
        <f t="shared" si="213"/>
        <v>-0.4313880761</v>
      </c>
      <c r="AX105" s="24">
        <f t="shared" si="5"/>
        <v>-0.06207930264</v>
      </c>
      <c r="AY105" s="25">
        <f t="shared" si="6"/>
        <v>-0.1296831112</v>
      </c>
      <c r="AZ105" s="23">
        <f t="shared" si="7"/>
        <v>-0.3044405403</v>
      </c>
      <c r="BA105" s="25">
        <f t="shared" si="8"/>
        <v>-0.39114394</v>
      </c>
      <c r="BB105" s="23">
        <f t="shared" si="9"/>
        <v>-0.4425062465</v>
      </c>
      <c r="BC105" s="24">
        <f t="shared" si="10"/>
        <v>-0.1868038724</v>
      </c>
      <c r="BD105" s="25">
        <f t="shared" si="11"/>
        <v>-0.4216696862</v>
      </c>
      <c r="BE105" s="26">
        <f t="shared" ref="BE105:BF105" si="214">((S105-S$289)/S$290)</f>
        <v>-0.158245991</v>
      </c>
      <c r="BF105" s="26">
        <f t="shared" si="214"/>
        <v>-1.015111535</v>
      </c>
    </row>
    <row r="106">
      <c r="A106" s="16" t="s">
        <v>67</v>
      </c>
      <c r="B106" s="20">
        <f t="shared" si="3"/>
        <v>0.353912161</v>
      </c>
      <c r="C106" s="16" t="s">
        <v>68</v>
      </c>
      <c r="D106" s="16" t="s">
        <v>69</v>
      </c>
      <c r="E106" s="16">
        <v>77.0</v>
      </c>
      <c r="F106" s="21" t="s">
        <v>70</v>
      </c>
      <c r="G106" s="16" t="s">
        <v>100</v>
      </c>
      <c r="H106" s="21" t="s">
        <v>101</v>
      </c>
      <c r="I106" s="21" t="s">
        <v>73</v>
      </c>
      <c r="J106" s="21" t="s">
        <v>83</v>
      </c>
      <c r="K106" s="21" t="s">
        <v>75</v>
      </c>
      <c r="L106" s="16" t="s">
        <v>76</v>
      </c>
      <c r="M106" s="21" t="s">
        <v>77</v>
      </c>
      <c r="N106" s="16" t="s">
        <v>95</v>
      </c>
      <c r="O106" s="16" t="s">
        <v>79</v>
      </c>
      <c r="P106" s="16" t="s">
        <v>80</v>
      </c>
      <c r="Q106" s="21" t="s">
        <v>94</v>
      </c>
      <c r="R106" s="21" t="s">
        <v>94</v>
      </c>
      <c r="S106" s="22">
        <v>138.22981595993</v>
      </c>
      <c r="T106" s="22">
        <v>130.949138402938</v>
      </c>
      <c r="U106" s="22">
        <v>2.84179100860017</v>
      </c>
      <c r="V106" s="22">
        <v>12.5387321847549</v>
      </c>
      <c r="W106" s="22">
        <v>3.54100722743612</v>
      </c>
      <c r="X106" s="22">
        <v>0.629166960010107</v>
      </c>
      <c r="Y106" s="22">
        <v>0.0987938519250429</v>
      </c>
      <c r="Z106" s="22">
        <v>0.0146575267180011</v>
      </c>
      <c r="AA106" s="22">
        <v>0.121068272961999</v>
      </c>
      <c r="AB106" s="22">
        <v>0.682553444040218</v>
      </c>
      <c r="AC106" s="22">
        <v>0.0996414448908314</v>
      </c>
      <c r="AD106" s="22">
        <v>0.121707067452445</v>
      </c>
      <c r="AE106" s="22">
        <v>0.684498491528658</v>
      </c>
      <c r="AF106" s="22">
        <v>0.115877634315251</v>
      </c>
      <c r="AG106" s="22">
        <v>0.141506377690884</v>
      </c>
      <c r="AH106" s="22">
        <v>0.577029976444177</v>
      </c>
      <c r="AI106" s="22">
        <v>10.0</v>
      </c>
      <c r="AJ106" s="22">
        <v>2.84179100860018</v>
      </c>
      <c r="AK106" s="22">
        <v>12.5387321847549</v>
      </c>
      <c r="AL106" s="22">
        <v>3.54100722743612</v>
      </c>
      <c r="AM106" s="22">
        <v>0.629025260801052</v>
      </c>
      <c r="AN106" s="22">
        <v>2.66540865082974</v>
      </c>
      <c r="AO106" s="22">
        <v>10.5993484348057</v>
      </c>
      <c r="AP106" s="22">
        <v>3.25566405435293</v>
      </c>
      <c r="AQ106" s="22">
        <v>0.684498491528658</v>
      </c>
      <c r="AR106" s="22">
        <v>3.09972671793296</v>
      </c>
      <c r="AS106" s="22">
        <v>14.3284628038411</v>
      </c>
      <c r="AT106" s="22">
        <v>3.78529560323115</v>
      </c>
      <c r="AU106" s="22">
        <v>0.577029976444177</v>
      </c>
      <c r="AV106" s="23">
        <f t="shared" ref="AV106:AW106" si="215">(AC106-AC$289)/AC$290</f>
        <v>0.04075322247</v>
      </c>
      <c r="AW106" s="24">
        <f t="shared" si="215"/>
        <v>0.04518786835</v>
      </c>
      <c r="AX106" s="24">
        <f t="shared" si="5"/>
        <v>-0.1753353131</v>
      </c>
      <c r="AY106" s="25">
        <f t="shared" si="6"/>
        <v>-0.3529249887</v>
      </c>
      <c r="AZ106" s="23">
        <f t="shared" si="7"/>
        <v>-0.3285650618</v>
      </c>
      <c r="BA106" s="25">
        <f t="shared" si="8"/>
        <v>-0.3796385046</v>
      </c>
      <c r="BB106" s="23">
        <f t="shared" si="9"/>
        <v>-0.12731794</v>
      </c>
      <c r="BC106" s="24">
        <f t="shared" si="10"/>
        <v>-0.3820809843</v>
      </c>
      <c r="BD106" s="25">
        <f t="shared" si="11"/>
        <v>-0.4311775523</v>
      </c>
      <c r="BE106" s="26">
        <f t="shared" ref="BE106:BF106" si="216">((S106-S$289)/S$290)</f>
        <v>-0.8060349928</v>
      </c>
      <c r="BF106" s="26">
        <f t="shared" si="216"/>
        <v>-0.9958995245</v>
      </c>
    </row>
    <row r="107">
      <c r="A107" s="16" t="s">
        <v>67</v>
      </c>
      <c r="B107" s="20">
        <f t="shared" si="3"/>
        <v>0.3455929618</v>
      </c>
      <c r="C107" s="16" t="s">
        <v>68</v>
      </c>
      <c r="D107" s="16" t="s">
        <v>69</v>
      </c>
      <c r="E107" s="16">
        <v>234.0</v>
      </c>
      <c r="F107" s="21" t="s">
        <v>102</v>
      </c>
      <c r="G107" s="16" t="s">
        <v>100</v>
      </c>
      <c r="H107" s="21" t="s">
        <v>105</v>
      </c>
      <c r="I107" s="21" t="s">
        <v>73</v>
      </c>
      <c r="J107" s="21" t="s">
        <v>97</v>
      </c>
      <c r="K107" s="21" t="s">
        <v>75</v>
      </c>
      <c r="L107" s="16" t="s">
        <v>76</v>
      </c>
      <c r="M107" s="21" t="s">
        <v>85</v>
      </c>
      <c r="N107" s="16" t="s">
        <v>95</v>
      </c>
      <c r="O107" s="16" t="s">
        <v>92</v>
      </c>
      <c r="P107" s="16" t="s">
        <v>80</v>
      </c>
      <c r="Q107" s="21" t="s">
        <v>81</v>
      </c>
      <c r="S107" s="22">
        <v>215.815487146377</v>
      </c>
      <c r="T107" s="22">
        <v>419.73506116867</v>
      </c>
      <c r="U107" s="22">
        <v>2.45504551490199</v>
      </c>
      <c r="V107" s="22">
        <v>9.87854332744527</v>
      </c>
      <c r="W107" s="22">
        <v>3.1430150059211</v>
      </c>
      <c r="X107" s="22">
        <v>0.701386184352473</v>
      </c>
      <c r="Y107" s="22">
        <v>0.108455864800277</v>
      </c>
      <c r="Z107" s="22">
        <v>0.0162669158803024</v>
      </c>
      <c r="AA107" s="22">
        <v>0.127541820123057</v>
      </c>
      <c r="AB107" s="22">
        <v>0.616420132176434</v>
      </c>
      <c r="AC107" s="22">
        <v>0.108801483994547</v>
      </c>
      <c r="AD107" s="22">
        <v>0.127643792076951</v>
      </c>
      <c r="AE107" s="22">
        <v>0.621847904755918</v>
      </c>
      <c r="AF107" s="22">
        <v>0.0990977192974125</v>
      </c>
      <c r="AG107" s="22">
        <v>0.12483642213923</v>
      </c>
      <c r="AH107" s="22">
        <v>0.641638227807633</v>
      </c>
      <c r="AI107" s="22">
        <v>10.0</v>
      </c>
      <c r="AJ107" s="22">
        <v>2.45504551490199</v>
      </c>
      <c r="AK107" s="22">
        <v>9.87854332744527</v>
      </c>
      <c r="AL107" s="22">
        <v>3.1430150059211</v>
      </c>
      <c r="AM107" s="22">
        <v>0.701285773933963</v>
      </c>
      <c r="AN107" s="22">
        <v>3.01017439051591</v>
      </c>
      <c r="AO107" s="22">
        <v>12.4713386122996</v>
      </c>
      <c r="AP107" s="22">
        <v>3.53147824746233</v>
      </c>
      <c r="AQ107" s="22">
        <v>0.621847904755918</v>
      </c>
      <c r="AR107" s="22">
        <v>2.7417035672284</v>
      </c>
      <c r="AS107" s="22">
        <v>11.9287874847999</v>
      </c>
      <c r="AT107" s="22">
        <v>3.45380767918538</v>
      </c>
      <c r="AU107" s="22">
        <v>0.641638227807633</v>
      </c>
      <c r="AV107" s="23">
        <f t="shared" ref="AV107:AW107" si="217">(AC107-AC$289)/AC$290</f>
        <v>0.3984612045</v>
      </c>
      <c r="AW107" s="24">
        <f t="shared" si="217"/>
        <v>0.2366177315</v>
      </c>
      <c r="AX107" s="24">
        <f t="shared" si="5"/>
        <v>-0.7872742207</v>
      </c>
      <c r="AY107" s="25">
        <f t="shared" si="6"/>
        <v>-0.8357884831</v>
      </c>
      <c r="AZ107" s="23">
        <f t="shared" si="7"/>
        <v>-1.042204115</v>
      </c>
      <c r="BA107" s="25">
        <f t="shared" si="8"/>
        <v>-0.9854008786</v>
      </c>
      <c r="BB107" s="23">
        <f t="shared" si="9"/>
        <v>0.1520682838</v>
      </c>
      <c r="BC107" s="24">
        <f t="shared" si="10"/>
        <v>-0.7085305683</v>
      </c>
      <c r="BD107" s="25">
        <f t="shared" si="11"/>
        <v>-0.8597735208</v>
      </c>
      <c r="BE107" s="26">
        <f t="shared" ref="BE107:BF107" si="218">((S107-S$289)/S$290)</f>
        <v>-0.6570746358</v>
      </c>
      <c r="BF107" s="26">
        <f t="shared" si="218"/>
        <v>1.287376623</v>
      </c>
    </row>
    <row r="108">
      <c r="A108" s="16" t="s">
        <v>82</v>
      </c>
      <c r="B108" s="20">
        <f t="shared" si="3"/>
        <v>0.3421836092</v>
      </c>
      <c r="C108" s="16" t="s">
        <v>68</v>
      </c>
      <c r="D108" s="16" t="s">
        <v>69</v>
      </c>
      <c r="E108" s="16">
        <v>109.0</v>
      </c>
      <c r="F108" s="21" t="s">
        <v>70</v>
      </c>
      <c r="G108" s="16" t="s">
        <v>100</v>
      </c>
      <c r="H108" s="21" t="s">
        <v>101</v>
      </c>
      <c r="I108" s="21" t="s">
        <v>73</v>
      </c>
      <c r="J108" s="21" t="s">
        <v>74</v>
      </c>
      <c r="K108" s="21" t="s">
        <v>75</v>
      </c>
      <c r="L108" s="16" t="s">
        <v>84</v>
      </c>
      <c r="M108" s="21" t="s">
        <v>77</v>
      </c>
      <c r="N108" s="16" t="s">
        <v>78</v>
      </c>
      <c r="O108" s="16" t="s">
        <v>86</v>
      </c>
      <c r="P108" s="16" t="s">
        <v>80</v>
      </c>
      <c r="Q108" s="21" t="s">
        <v>87</v>
      </c>
      <c r="R108" s="21" t="s">
        <v>94</v>
      </c>
      <c r="S108" s="22">
        <v>221.229835271835</v>
      </c>
      <c r="T108" s="22">
        <v>133.490181446075</v>
      </c>
      <c r="U108" s="22">
        <v>2.81112749192307</v>
      </c>
      <c r="V108" s="22">
        <v>12.9802128067336</v>
      </c>
      <c r="W108" s="22">
        <v>3.60280624052052</v>
      </c>
      <c r="X108" s="22">
        <v>0.616069264558432</v>
      </c>
      <c r="Y108" s="22">
        <v>0.0969472947309926</v>
      </c>
      <c r="Z108" s="22">
        <v>0.0147522507689529</v>
      </c>
      <c r="AA108" s="22">
        <v>0.121458843930579</v>
      </c>
      <c r="AB108" s="22">
        <v>0.680501950338742</v>
      </c>
      <c r="AC108" s="22">
        <v>0.0979184675793621</v>
      </c>
      <c r="AD108" s="22">
        <v>0.122223948462891</v>
      </c>
      <c r="AE108" s="22">
        <v>0.681812977377268</v>
      </c>
      <c r="AF108" s="22">
        <v>0.11109478216583</v>
      </c>
      <c r="AG108" s="22">
        <v>0.142832768368326</v>
      </c>
      <c r="AH108" s="22">
        <v>0.569063510991748</v>
      </c>
      <c r="AI108" s="22">
        <v>10.0</v>
      </c>
      <c r="AJ108" s="22">
        <v>2.81112749192308</v>
      </c>
      <c r="AK108" s="22">
        <v>12.9802128067336</v>
      </c>
      <c r="AL108" s="22">
        <v>3.60280624052052</v>
      </c>
      <c r="AM108" s="22">
        <v>0.615963481014491</v>
      </c>
      <c r="AN108" s="22">
        <v>2.61931900774793</v>
      </c>
      <c r="AO108" s="22">
        <v>10.689568923307</v>
      </c>
      <c r="AP108" s="22">
        <v>3.26949062138233</v>
      </c>
      <c r="AQ108" s="22">
        <v>0.681812977377268</v>
      </c>
      <c r="AR108" s="22">
        <v>2.97178542293595</v>
      </c>
      <c r="AS108" s="22">
        <v>14.5983334744706</v>
      </c>
      <c r="AT108" s="22">
        <v>3.82077655385272</v>
      </c>
      <c r="AU108" s="22">
        <v>0.569063510991748</v>
      </c>
      <c r="AV108" s="23">
        <f t="shared" ref="AV108:AW108" si="219">(AC108-AC$289)/AC$290</f>
        <v>-0.02653063191</v>
      </c>
      <c r="AW108" s="24">
        <f t="shared" si="219"/>
        <v>0.061854712</v>
      </c>
      <c r="AX108" s="24">
        <f t="shared" si="5"/>
        <v>-0.3940146252</v>
      </c>
      <c r="AY108" s="25">
        <f t="shared" si="6"/>
        <v>-0.3012414897</v>
      </c>
      <c r="AZ108" s="23">
        <f t="shared" si="7"/>
        <v>-0.3851466726</v>
      </c>
      <c r="BA108" s="25">
        <f t="shared" si="8"/>
        <v>-0.2855775786</v>
      </c>
      <c r="BB108" s="23">
        <f t="shared" si="9"/>
        <v>-0.115342064</v>
      </c>
      <c r="BC108" s="24">
        <f t="shared" si="10"/>
        <v>-0.3418283961</v>
      </c>
      <c r="BD108" s="25">
        <f t="shared" si="11"/>
        <v>-0.3537047263</v>
      </c>
      <c r="BE108" s="26">
        <f t="shared" ref="BE108:BF108" si="220">((S108-S$289)/S$290)</f>
        <v>-0.6466793758</v>
      </c>
      <c r="BF108" s="26">
        <f t="shared" si="220"/>
        <v>-0.9758088534</v>
      </c>
    </row>
    <row r="109">
      <c r="A109" s="16" t="s">
        <v>82</v>
      </c>
      <c r="B109" s="20">
        <f t="shared" si="3"/>
        <v>0.3394280466</v>
      </c>
      <c r="C109" s="16" t="s">
        <v>68</v>
      </c>
      <c r="D109" s="16" t="s">
        <v>69</v>
      </c>
      <c r="E109" s="16">
        <v>271.0</v>
      </c>
      <c r="F109" s="21" t="s">
        <v>102</v>
      </c>
      <c r="G109" s="16" t="s">
        <v>100</v>
      </c>
      <c r="H109" s="21" t="s">
        <v>105</v>
      </c>
      <c r="I109" s="21" t="s">
        <v>73</v>
      </c>
      <c r="J109" s="21" t="s">
        <v>97</v>
      </c>
      <c r="K109" s="21" t="s">
        <v>75</v>
      </c>
      <c r="L109" s="16" t="s">
        <v>84</v>
      </c>
      <c r="M109" s="21" t="s">
        <v>85</v>
      </c>
      <c r="N109" s="16" t="s">
        <v>95</v>
      </c>
      <c r="O109" s="16" t="s">
        <v>86</v>
      </c>
      <c r="P109" s="16" t="s">
        <v>80</v>
      </c>
      <c r="Q109" s="21" t="s">
        <v>98</v>
      </c>
      <c r="S109" s="22">
        <v>460.298995971679</v>
      </c>
      <c r="T109" s="22">
        <v>429.857576370239</v>
      </c>
      <c r="U109" s="22">
        <v>2.81245989437439</v>
      </c>
      <c r="V109" s="22">
        <v>13.7430441428353</v>
      </c>
      <c r="W109" s="22">
        <v>3.70716119730925</v>
      </c>
      <c r="X109" s="22">
        <v>0.584468232517442</v>
      </c>
      <c r="Y109" s="22">
        <v>0.0787504547243103</v>
      </c>
      <c r="Z109" s="22">
        <v>0.0104575378680769</v>
      </c>
      <c r="AA109" s="22">
        <v>0.102262103772985</v>
      </c>
      <c r="AB109" s="22">
        <v>0.753407405391814</v>
      </c>
      <c r="AC109" s="22">
        <v>0.0800697852287877</v>
      </c>
      <c r="AD109" s="22">
        <v>0.103627172193156</v>
      </c>
      <c r="AE109" s="22">
        <v>0.750761912730863</v>
      </c>
      <c r="AF109" s="22">
        <v>0.0945317192265709</v>
      </c>
      <c r="AG109" s="22">
        <v>0.124754447149597</v>
      </c>
      <c r="AH109" s="22">
        <v>0.642108716416897</v>
      </c>
      <c r="AI109" s="22">
        <v>10.0</v>
      </c>
      <c r="AJ109" s="22">
        <v>2.81245989437438</v>
      </c>
      <c r="AK109" s="22">
        <v>13.7430441428353</v>
      </c>
      <c r="AL109" s="22">
        <v>3.70716119730925</v>
      </c>
      <c r="AM109" s="22">
        <v>0.584428325225545</v>
      </c>
      <c r="AN109" s="22">
        <v>2.21526405799638</v>
      </c>
      <c r="AO109" s="22">
        <v>8.21979468184351</v>
      </c>
      <c r="AP109" s="22">
        <v>2.86701843067733</v>
      </c>
      <c r="AQ109" s="22">
        <v>0.750761912730863</v>
      </c>
      <c r="AR109" s="22">
        <v>2.61537756526838</v>
      </c>
      <c r="AS109" s="22">
        <v>11.913126331548</v>
      </c>
      <c r="AT109" s="22">
        <v>3.45153970447219</v>
      </c>
      <c r="AU109" s="22">
        <v>0.642108716416897</v>
      </c>
      <c r="AV109" s="23">
        <f t="shared" ref="AV109:AW109" si="221">(AC109-AC$289)/AC$290</f>
        <v>-0.7235381526</v>
      </c>
      <c r="AW109" s="24">
        <f t="shared" si="221"/>
        <v>-0.5377988953</v>
      </c>
      <c r="AX109" s="24">
        <f t="shared" si="5"/>
        <v>-1.003192648</v>
      </c>
      <c r="AY109" s="25">
        <f t="shared" si="6"/>
        <v>-0.8390921394</v>
      </c>
      <c r="AZ109" s="23">
        <f t="shared" si="7"/>
        <v>-0.3826880676</v>
      </c>
      <c r="BA109" s="25">
        <f t="shared" si="8"/>
        <v>-0.1267445589</v>
      </c>
      <c r="BB109" s="23">
        <f t="shared" si="9"/>
        <v>-0.4228153644</v>
      </c>
      <c r="BC109" s="24">
        <f t="shared" si="10"/>
        <v>-0.7109078314</v>
      </c>
      <c r="BD109" s="25">
        <f t="shared" si="11"/>
        <v>-0.1666614844</v>
      </c>
      <c r="BE109" s="26">
        <f t="shared" ref="BE109:BF109" si="222">((S109-S$289)/S$290)</f>
        <v>-0.1876793183</v>
      </c>
      <c r="BF109" s="26">
        <f t="shared" si="222"/>
        <v>1.367409948</v>
      </c>
    </row>
    <row r="110">
      <c r="A110" s="16" t="s">
        <v>82</v>
      </c>
      <c r="B110" s="20">
        <f t="shared" si="3"/>
        <v>0.3240321696</v>
      </c>
      <c r="C110" s="16" t="s">
        <v>68</v>
      </c>
      <c r="D110" s="16" t="s">
        <v>69</v>
      </c>
      <c r="E110" s="16">
        <v>61.0</v>
      </c>
      <c r="F110" s="21" t="s">
        <v>70</v>
      </c>
      <c r="G110" s="16" t="s">
        <v>71</v>
      </c>
      <c r="H110" s="21" t="s">
        <v>72</v>
      </c>
      <c r="I110" s="21" t="s">
        <v>88</v>
      </c>
      <c r="J110" s="21" t="s">
        <v>97</v>
      </c>
      <c r="K110" s="21" t="s">
        <v>99</v>
      </c>
      <c r="L110" s="16" t="s">
        <v>76</v>
      </c>
      <c r="M110" s="21" t="s">
        <v>85</v>
      </c>
      <c r="N110" s="16" t="s">
        <v>78</v>
      </c>
      <c r="O110" s="16" t="s">
        <v>86</v>
      </c>
      <c r="P110" s="16" t="s">
        <v>80</v>
      </c>
      <c r="Q110" s="21" t="s">
        <v>81</v>
      </c>
      <c r="S110" s="22">
        <v>247.661003112792</v>
      </c>
      <c r="T110" s="22">
        <v>129.692441940307</v>
      </c>
      <c r="U110" s="22">
        <v>2.81596879100324</v>
      </c>
      <c r="V110" s="22">
        <v>12.6691173376259</v>
      </c>
      <c r="W110" s="22">
        <v>3.55937035690667</v>
      </c>
      <c r="X110" s="22">
        <v>0.622022541453223</v>
      </c>
      <c r="Y110" s="22">
        <v>0.087934918144003</v>
      </c>
      <c r="Z110" s="22">
        <v>0.0117419671047416</v>
      </c>
      <c r="AA110" s="22">
        <v>0.10836035762557</v>
      </c>
      <c r="AB110" s="22">
        <v>0.746349782884137</v>
      </c>
      <c r="AC110" s="22">
        <v>0.0882337340145768</v>
      </c>
      <c r="AD110" s="22">
        <v>0.10850945083034</v>
      </c>
      <c r="AE110" s="22">
        <v>0.747878551481949</v>
      </c>
      <c r="AF110" s="22">
        <v>0.122352151228235</v>
      </c>
      <c r="AG110" s="22">
        <v>0.154865365889727</v>
      </c>
      <c r="AH110" s="22">
        <v>0.489300516900055</v>
      </c>
      <c r="AI110" s="22">
        <v>10.0</v>
      </c>
      <c r="AJ110" s="22">
        <v>2.81596879100324</v>
      </c>
      <c r="AK110" s="22">
        <v>12.6691173376259</v>
      </c>
      <c r="AL110" s="22">
        <v>3.55937035690667</v>
      </c>
      <c r="AM110" s="22">
        <v>0.621935538881882</v>
      </c>
      <c r="AN110" s="22">
        <v>2.36025238488992</v>
      </c>
      <c r="AO110" s="22">
        <v>8.42524820171114</v>
      </c>
      <c r="AP110" s="22">
        <v>2.90262780971159</v>
      </c>
      <c r="AQ110" s="22">
        <v>0.747878551481949</v>
      </c>
      <c r="AR110" s="22">
        <v>3.27292004535531</v>
      </c>
      <c r="AS110" s="22">
        <v>17.1615369056669</v>
      </c>
      <c r="AT110" s="22">
        <v>4.14264853755022</v>
      </c>
      <c r="AU110" s="22">
        <v>0.489300516900055</v>
      </c>
      <c r="AV110" s="23">
        <f t="shared" ref="AV110:AW110" si="223">(AC110-AC$289)/AC$290</f>
        <v>-0.4047284169</v>
      </c>
      <c r="AW110" s="24">
        <f t="shared" si="223"/>
        <v>-0.3803696746</v>
      </c>
      <c r="AX110" s="24">
        <f t="shared" si="5"/>
        <v>0.120689498</v>
      </c>
      <c r="AY110" s="25">
        <f t="shared" si="6"/>
        <v>0.1676148984</v>
      </c>
      <c r="AZ110" s="23">
        <f t="shared" si="7"/>
        <v>-0.3762133039</v>
      </c>
      <c r="BA110" s="25">
        <f t="shared" si="8"/>
        <v>-0.3516889812</v>
      </c>
      <c r="BB110" s="23">
        <f t="shared" si="9"/>
        <v>-0.4099572021</v>
      </c>
      <c r="BC110" s="24">
        <f t="shared" si="10"/>
        <v>0.06119437097</v>
      </c>
      <c r="BD110" s="25">
        <f t="shared" si="11"/>
        <v>-0.3891265607</v>
      </c>
      <c r="BE110" s="26">
        <f t="shared" ref="BE110:BF110" si="224">((S110-S$289)/S$290)</f>
        <v>-0.595932941</v>
      </c>
      <c r="BF110" s="26">
        <f t="shared" si="224"/>
        <v>-1.005835553</v>
      </c>
    </row>
    <row r="111">
      <c r="A111" s="16" t="s">
        <v>82</v>
      </c>
      <c r="B111" s="20">
        <f t="shared" si="3"/>
        <v>0.3012459138</v>
      </c>
      <c r="C111" s="16" t="s">
        <v>68</v>
      </c>
      <c r="D111" s="16" t="s">
        <v>69</v>
      </c>
      <c r="E111" s="16">
        <v>213.0</v>
      </c>
      <c r="F111" s="21" t="s">
        <v>102</v>
      </c>
      <c r="G111" s="16" t="s">
        <v>71</v>
      </c>
      <c r="H111" s="21" t="s">
        <v>103</v>
      </c>
      <c r="I111" s="21" t="s">
        <v>73</v>
      </c>
      <c r="J111" s="21" t="s">
        <v>74</v>
      </c>
      <c r="K111" s="21" t="s">
        <v>75</v>
      </c>
      <c r="L111" s="16" t="s">
        <v>90</v>
      </c>
      <c r="M111" s="21" t="s">
        <v>77</v>
      </c>
      <c r="N111" s="16" t="s">
        <v>95</v>
      </c>
      <c r="O111" s="16" t="s">
        <v>86</v>
      </c>
      <c r="P111" s="16" t="s">
        <v>80</v>
      </c>
      <c r="Q111" s="21" t="s">
        <v>96</v>
      </c>
      <c r="R111" s="21" t="s">
        <v>93</v>
      </c>
      <c r="S111" s="22">
        <v>228.130105018615</v>
      </c>
      <c r="T111" s="22">
        <v>398.746924400329</v>
      </c>
      <c r="U111" s="22">
        <v>2.7831831875329</v>
      </c>
      <c r="V111" s="22">
        <v>12.1395092482202</v>
      </c>
      <c r="W111" s="22">
        <v>3.48417985302428</v>
      </c>
      <c r="X111" s="22">
        <v>0.633834608019426</v>
      </c>
      <c r="Y111" s="22">
        <v>0.0868606634586039</v>
      </c>
      <c r="Z111" s="22">
        <v>0.0112395571813246</v>
      </c>
      <c r="AA111" s="22">
        <v>0.106016777829382</v>
      </c>
      <c r="AB111" s="22">
        <v>0.738397113140043</v>
      </c>
      <c r="AC111" s="22">
        <v>0.0871141774772322</v>
      </c>
      <c r="AD111" s="22">
        <v>0.106134109460681</v>
      </c>
      <c r="AE111" s="22">
        <v>0.739806041144126</v>
      </c>
      <c r="AF111" s="22">
        <v>0.108080388611669</v>
      </c>
      <c r="AG111" s="22">
        <v>0.135381290264875</v>
      </c>
      <c r="AH111" s="22">
        <v>0.57792835249302</v>
      </c>
      <c r="AI111" s="22">
        <v>10.0</v>
      </c>
      <c r="AJ111" s="22">
        <v>2.78318318753289</v>
      </c>
      <c r="AK111" s="22">
        <v>12.1395092482202</v>
      </c>
      <c r="AL111" s="22">
        <v>3.48417985302427</v>
      </c>
      <c r="AM111" s="22">
        <v>0.633809652365077</v>
      </c>
      <c r="AN111" s="22">
        <v>2.4101589102034</v>
      </c>
      <c r="AO111" s="22">
        <v>8.62231005298676</v>
      </c>
      <c r="AP111" s="22">
        <v>2.93637702841218</v>
      </c>
      <c r="AQ111" s="22">
        <v>0.739806041144126</v>
      </c>
      <c r="AR111" s="22">
        <v>2.99022408492287</v>
      </c>
      <c r="AS111" s="22">
        <v>14.0291375410897</v>
      </c>
      <c r="AT111" s="22">
        <v>3.74554903066155</v>
      </c>
      <c r="AU111" s="22">
        <v>0.57792835249302</v>
      </c>
      <c r="AV111" s="23">
        <f t="shared" ref="AV111:AW111" si="225">(AC111-AC$289)/AC$290</f>
        <v>-0.4484481331</v>
      </c>
      <c r="AW111" s="24">
        <f t="shared" si="225"/>
        <v>-0.4569626281</v>
      </c>
      <c r="AX111" s="24">
        <f t="shared" si="5"/>
        <v>-0.3624989686</v>
      </c>
      <c r="AY111" s="25">
        <f t="shared" si="6"/>
        <v>-0.4108220267</v>
      </c>
      <c r="AZ111" s="23">
        <f t="shared" si="7"/>
        <v>-0.4367106785</v>
      </c>
      <c r="BA111" s="25">
        <f t="shared" si="8"/>
        <v>-0.466132369</v>
      </c>
      <c r="BB111" s="23">
        <f t="shared" si="9"/>
        <v>-0.3739583664</v>
      </c>
      <c r="BC111" s="24">
        <f t="shared" si="10"/>
        <v>-0.3866202572</v>
      </c>
      <c r="BD111" s="25">
        <f t="shared" si="11"/>
        <v>-0.4595550277</v>
      </c>
      <c r="BE111" s="26">
        <f t="shared" ref="BE111:BF111" si="226">((S111-S$289)/S$290)</f>
        <v>-0.6334312253</v>
      </c>
      <c r="BF111" s="26">
        <f t="shared" si="226"/>
        <v>1.121434629</v>
      </c>
    </row>
    <row r="112">
      <c r="A112" s="16" t="s">
        <v>82</v>
      </c>
      <c r="B112" s="20">
        <f t="shared" si="3"/>
        <v>0.3012390558</v>
      </c>
      <c r="C112" s="16" t="s">
        <v>68</v>
      </c>
      <c r="D112" s="16" t="s">
        <v>69</v>
      </c>
      <c r="E112" s="16">
        <v>182.0</v>
      </c>
      <c r="F112" s="21" t="s">
        <v>102</v>
      </c>
      <c r="G112" s="16" t="s">
        <v>71</v>
      </c>
      <c r="H112" s="21" t="s">
        <v>103</v>
      </c>
      <c r="I112" s="21" t="s">
        <v>73</v>
      </c>
      <c r="J112" s="21" t="s">
        <v>83</v>
      </c>
      <c r="K112" s="21" t="s">
        <v>75</v>
      </c>
      <c r="L112" s="16" t="s">
        <v>90</v>
      </c>
      <c r="M112" s="21" t="s">
        <v>77</v>
      </c>
      <c r="N112" s="16" t="s">
        <v>95</v>
      </c>
      <c r="O112" s="16" t="s">
        <v>86</v>
      </c>
      <c r="P112" s="16" t="s">
        <v>80</v>
      </c>
      <c r="Q112" s="21" t="s">
        <v>93</v>
      </c>
      <c r="R112" s="21" t="s">
        <v>94</v>
      </c>
      <c r="S112" s="22">
        <v>203.340547323226</v>
      </c>
      <c r="T112" s="22">
        <v>328.5890147686</v>
      </c>
      <c r="U112" s="22">
        <v>2.80589335461961</v>
      </c>
      <c r="V112" s="22">
        <v>12.3061947610442</v>
      </c>
      <c r="W112" s="22">
        <v>3.50801863749955</v>
      </c>
      <c r="X112" s="22">
        <v>0.628800709739145</v>
      </c>
      <c r="Y112" s="22">
        <v>0.090870174282902</v>
      </c>
      <c r="Z112" s="22">
        <v>0.0121205562001303</v>
      </c>
      <c r="AA112" s="22">
        <v>0.110093397622792</v>
      </c>
      <c r="AB112" s="22">
        <v>0.717891689045284</v>
      </c>
      <c r="AC112" s="22">
        <v>0.0911526513880177</v>
      </c>
      <c r="AD112" s="22">
        <v>0.110241616370471</v>
      </c>
      <c r="AE112" s="22">
        <v>0.719276743616084</v>
      </c>
      <c r="AF112" s="22">
        <v>0.108337871767033</v>
      </c>
      <c r="AG112" s="22">
        <v>0.136777466207054</v>
      </c>
      <c r="AH112" s="22">
        <v>0.569177883221128</v>
      </c>
      <c r="AI112" s="22">
        <v>10.0</v>
      </c>
      <c r="AJ112" s="22">
        <v>2.8058933546196</v>
      </c>
      <c r="AK112" s="22">
        <v>12.3061947610442</v>
      </c>
      <c r="AL112" s="22">
        <v>3.50801863749955</v>
      </c>
      <c r="AM112" s="22">
        <v>0.628781555706585</v>
      </c>
      <c r="AN112" s="22">
        <v>2.52189002173514</v>
      </c>
      <c r="AO112" s="22">
        <v>9.30261012311575</v>
      </c>
      <c r="AP112" s="22">
        <v>3.05001805291636</v>
      </c>
      <c r="AQ112" s="22">
        <v>0.719276743616084</v>
      </c>
      <c r="AR112" s="22">
        <v>2.99734778555459</v>
      </c>
      <c r="AS112" s="22">
        <v>14.3199922755632</v>
      </c>
      <c r="AT112" s="22">
        <v>3.78417656506184</v>
      </c>
      <c r="AU112" s="22">
        <v>0.569177883221128</v>
      </c>
      <c r="AV112" s="23">
        <f t="shared" ref="AV112:AW112" si="227">(AC112-AC$289)/AC$290</f>
        <v>-0.2907419992</v>
      </c>
      <c r="AW112" s="24">
        <f t="shared" si="227"/>
        <v>-0.3245159449</v>
      </c>
      <c r="AX112" s="24">
        <f t="shared" si="5"/>
        <v>-0.3503230253</v>
      </c>
      <c r="AY112" s="25">
        <f t="shared" si="6"/>
        <v>-0.3545550411</v>
      </c>
      <c r="AZ112" s="23">
        <f t="shared" si="7"/>
        <v>-0.3948049229</v>
      </c>
      <c r="BA112" s="25">
        <f t="shared" si="8"/>
        <v>-0.4298486481</v>
      </c>
      <c r="BB112" s="23">
        <f t="shared" si="9"/>
        <v>-0.282409297</v>
      </c>
      <c r="BC112" s="24">
        <f t="shared" si="10"/>
        <v>-0.3424062908</v>
      </c>
      <c r="BD112" s="25">
        <f t="shared" si="11"/>
        <v>-0.4297320737</v>
      </c>
      <c r="BE112" s="26">
        <f t="shared" ref="BE112:BF112" si="228">((S112-S$289)/S$290)</f>
        <v>-0.681025856</v>
      </c>
      <c r="BF112" s="26">
        <f t="shared" si="228"/>
        <v>0.5667334849</v>
      </c>
    </row>
    <row r="113">
      <c r="A113" s="16" t="s">
        <v>82</v>
      </c>
      <c r="B113" s="20">
        <f t="shared" si="3"/>
        <v>0.2924802338</v>
      </c>
      <c r="C113" s="16" t="s">
        <v>68</v>
      </c>
      <c r="D113" s="16" t="s">
        <v>69</v>
      </c>
      <c r="E113" s="16">
        <v>46.0</v>
      </c>
      <c r="F113" s="21" t="s">
        <v>70</v>
      </c>
      <c r="G113" s="16" t="s">
        <v>71</v>
      </c>
      <c r="H113" s="21" t="s">
        <v>72</v>
      </c>
      <c r="I113" s="21" t="s">
        <v>88</v>
      </c>
      <c r="J113" s="21" t="s">
        <v>83</v>
      </c>
      <c r="K113" s="21" t="s">
        <v>75</v>
      </c>
      <c r="L113" s="16" t="s">
        <v>90</v>
      </c>
      <c r="M113" s="21" t="s">
        <v>77</v>
      </c>
      <c r="N113" s="16" t="s">
        <v>95</v>
      </c>
      <c r="O113" s="16" t="s">
        <v>86</v>
      </c>
      <c r="P113" s="16" t="s">
        <v>80</v>
      </c>
      <c r="Q113" s="21" t="s">
        <v>94</v>
      </c>
      <c r="R113" s="21" t="s">
        <v>93</v>
      </c>
      <c r="S113" s="22">
        <v>182.399205684661</v>
      </c>
      <c r="T113" s="22">
        <v>133.125408172607</v>
      </c>
      <c r="U113" s="22">
        <v>2.90092779932012</v>
      </c>
      <c r="V113" s="22">
        <v>13.2779026014621</v>
      </c>
      <c r="W113" s="22">
        <v>3.64388564604628</v>
      </c>
      <c r="X113" s="22">
        <v>0.60377857380755</v>
      </c>
      <c r="Y113" s="22">
        <v>0.108803240371684</v>
      </c>
      <c r="Z113" s="22">
        <v>0.0178447721749559</v>
      </c>
      <c r="AA113" s="22">
        <v>0.13358432608265</v>
      </c>
      <c r="AB113" s="22">
        <v>0.614516861086006</v>
      </c>
      <c r="AC113" s="22">
        <v>0.109231971142365</v>
      </c>
      <c r="AD113" s="22">
        <v>0.133837461920572</v>
      </c>
      <c r="AE113" s="22">
        <v>0.616442881907494</v>
      </c>
      <c r="AF113" s="22">
        <v>0.106848633287875</v>
      </c>
      <c r="AG113" s="22">
        <v>0.133994182867987</v>
      </c>
      <c r="AH113" s="22">
        <v>0.617678517437617</v>
      </c>
      <c r="AI113" s="22">
        <v>10.0</v>
      </c>
      <c r="AJ113" s="22">
        <v>2.90092779932012</v>
      </c>
      <c r="AK113" s="22">
        <v>13.2779026014621</v>
      </c>
      <c r="AL113" s="22">
        <v>3.64388564604628</v>
      </c>
      <c r="AM113" s="22">
        <v>0.603768521671824</v>
      </c>
      <c r="AN113" s="22">
        <v>2.92195522805827</v>
      </c>
      <c r="AO113" s="22">
        <v>12.8174891047836</v>
      </c>
      <c r="AP113" s="22">
        <v>3.58015210637532</v>
      </c>
      <c r="AQ113" s="22">
        <v>0.616442881907495</v>
      </c>
      <c r="AR113" s="22">
        <v>2.85820094045066</v>
      </c>
      <c r="AS113" s="22">
        <v>12.847524718445</v>
      </c>
      <c r="AT113" s="22">
        <v>3.58434439171866</v>
      </c>
      <c r="AU113" s="22">
        <v>0.617678517437617</v>
      </c>
      <c r="AV113" s="23">
        <f t="shared" ref="AV113:AW113" si="229">(AC113-AC$289)/AC$290</f>
        <v>0.415272125</v>
      </c>
      <c r="AW113" s="24">
        <f t="shared" si="229"/>
        <v>0.436332801</v>
      </c>
      <c r="AX113" s="24">
        <f t="shared" si="5"/>
        <v>-0.5881550432</v>
      </c>
      <c r="AY113" s="25">
        <f t="shared" si="6"/>
        <v>-0.6456415468</v>
      </c>
      <c r="AZ113" s="23">
        <f t="shared" si="7"/>
        <v>-0.219443368</v>
      </c>
      <c r="BA113" s="25">
        <f t="shared" si="8"/>
        <v>-0.2230528436</v>
      </c>
      <c r="BB113" s="23">
        <f t="shared" si="9"/>
        <v>0.1761716323</v>
      </c>
      <c r="BC113" s="24">
        <f t="shared" si="10"/>
        <v>-0.587468052</v>
      </c>
      <c r="BD113" s="25">
        <f t="shared" si="11"/>
        <v>-0.2813732387</v>
      </c>
      <c r="BE113" s="26">
        <f t="shared" ref="BE113:BF113" si="230">((S113-S$289)/S$290)</f>
        <v>-0.7212321167</v>
      </c>
      <c r="BF113" s="26">
        <f t="shared" si="230"/>
        <v>-0.978692921</v>
      </c>
    </row>
    <row r="114">
      <c r="A114" s="16" t="s">
        <v>67</v>
      </c>
      <c r="B114" s="20">
        <f t="shared" si="3"/>
        <v>0.2901257971</v>
      </c>
      <c r="C114" s="16" t="s">
        <v>68</v>
      </c>
      <c r="D114" s="16" t="s">
        <v>69</v>
      </c>
      <c r="E114" s="16">
        <v>2.0</v>
      </c>
      <c r="F114" s="21" t="s">
        <v>70</v>
      </c>
      <c r="G114" s="16" t="s">
        <v>71</v>
      </c>
      <c r="H114" s="21" t="s">
        <v>72</v>
      </c>
      <c r="I114" s="21" t="s">
        <v>73</v>
      </c>
      <c r="J114" s="21" t="s">
        <v>83</v>
      </c>
      <c r="K114" s="21" t="s">
        <v>99</v>
      </c>
      <c r="L114" s="16" t="s">
        <v>84</v>
      </c>
      <c r="M114" s="21" t="s">
        <v>77</v>
      </c>
      <c r="N114" s="16" t="s">
        <v>95</v>
      </c>
      <c r="O114" s="16" t="s">
        <v>86</v>
      </c>
      <c r="P114" s="16" t="s">
        <v>80</v>
      </c>
      <c r="Q114" s="21" t="s">
        <v>94</v>
      </c>
      <c r="R114" s="21" t="s">
        <v>89</v>
      </c>
      <c r="S114" s="22">
        <v>461.764443159103</v>
      </c>
      <c r="T114" s="22">
        <v>177.413169145584</v>
      </c>
      <c r="U114" s="22">
        <v>2.88787701789123</v>
      </c>
      <c r="V114" s="22">
        <v>12.9920904915018</v>
      </c>
      <c r="W114" s="22">
        <v>3.6044542570966</v>
      </c>
      <c r="X114" s="22">
        <v>0.616945337722601</v>
      </c>
      <c r="Y114" s="22">
        <v>0.0872266525118389</v>
      </c>
      <c r="Z114" s="22">
        <v>0.01143493315382</v>
      </c>
      <c r="AA114" s="22">
        <v>0.106934246870776</v>
      </c>
      <c r="AB114" s="22">
        <v>0.755754028477177</v>
      </c>
      <c r="AC114" s="22">
        <v>0.0875471308380675</v>
      </c>
      <c r="AD114" s="22">
        <v>0.107118332409902</v>
      </c>
      <c r="AE114" s="22">
        <v>0.756861821522688</v>
      </c>
      <c r="AF114" s="22">
        <v>0.119749843051511</v>
      </c>
      <c r="AG114" s="22">
        <v>0.149487163461214</v>
      </c>
      <c r="AH114" s="22">
        <v>0.530237903017189</v>
      </c>
      <c r="AI114" s="22">
        <v>10.0</v>
      </c>
      <c r="AJ114" s="22">
        <v>2.88787701789123</v>
      </c>
      <c r="AK114" s="22">
        <v>12.9920904915018</v>
      </c>
      <c r="AL114" s="22">
        <v>3.6044542570966</v>
      </c>
      <c r="AM114" s="22">
        <v>0.616807681010279</v>
      </c>
      <c r="AN114" s="22">
        <v>2.34188574991831</v>
      </c>
      <c r="AO114" s="22">
        <v>8.2106053685093</v>
      </c>
      <c r="AP114" s="22">
        <v>2.86541539196489</v>
      </c>
      <c r="AQ114" s="22">
        <v>0.756861821522688</v>
      </c>
      <c r="AR114" s="22">
        <v>3.20330830162792</v>
      </c>
      <c r="AS114" s="22">
        <v>15.9902544651434</v>
      </c>
      <c r="AT114" s="22">
        <v>3.99878162258748</v>
      </c>
      <c r="AU114" s="22">
        <v>0.530237903017189</v>
      </c>
      <c r="AV114" s="23">
        <f t="shared" ref="AV114:AW114" si="231">(AC114-AC$289)/AC$290</f>
        <v>-0.4315409047</v>
      </c>
      <c r="AW114" s="24">
        <f t="shared" si="231"/>
        <v>-0.4252263296</v>
      </c>
      <c r="AX114" s="24">
        <f t="shared" si="5"/>
        <v>0.001707989928</v>
      </c>
      <c r="AY114" s="25">
        <f t="shared" si="6"/>
        <v>-0.04194954189</v>
      </c>
      <c r="AZ114" s="23">
        <f t="shared" si="7"/>
        <v>-0.2435252188</v>
      </c>
      <c r="BA114" s="25">
        <f t="shared" si="8"/>
        <v>-0.283069222</v>
      </c>
      <c r="BB114" s="23">
        <f t="shared" si="9"/>
        <v>-0.4500175116</v>
      </c>
      <c r="BC114" s="24">
        <f t="shared" si="10"/>
        <v>-0.14565216</v>
      </c>
      <c r="BD114" s="25">
        <f t="shared" si="11"/>
        <v>-0.3587118969</v>
      </c>
      <c r="BE114" s="26">
        <f t="shared" ref="BE114:BF114" si="232">((S114-S$289)/S$290)</f>
        <v>-0.1848657378</v>
      </c>
      <c r="BF114" s="26">
        <f t="shared" si="232"/>
        <v>-0.6285332342</v>
      </c>
    </row>
    <row r="115">
      <c r="A115" s="16" t="s">
        <v>67</v>
      </c>
      <c r="B115" s="20">
        <f t="shared" si="3"/>
        <v>0.2879470723</v>
      </c>
      <c r="C115" s="16" t="s">
        <v>68</v>
      </c>
      <c r="D115" s="16" t="s">
        <v>69</v>
      </c>
      <c r="E115" s="16">
        <v>101.0</v>
      </c>
      <c r="F115" s="21" t="s">
        <v>70</v>
      </c>
      <c r="G115" s="16" t="s">
        <v>100</v>
      </c>
      <c r="H115" s="21" t="s">
        <v>101</v>
      </c>
      <c r="I115" s="21" t="s">
        <v>73</v>
      </c>
      <c r="J115" s="21" t="s">
        <v>97</v>
      </c>
      <c r="K115" s="21" t="s">
        <v>75</v>
      </c>
      <c r="L115" s="16" t="s">
        <v>84</v>
      </c>
      <c r="M115" s="21" t="s">
        <v>77</v>
      </c>
      <c r="N115" s="16" t="s">
        <v>91</v>
      </c>
      <c r="O115" s="16" t="s">
        <v>86</v>
      </c>
      <c r="P115" s="16" t="s">
        <v>80</v>
      </c>
      <c r="Q115" s="21" t="s">
        <v>94</v>
      </c>
      <c r="R115" s="21" t="s">
        <v>98</v>
      </c>
      <c r="S115" s="22">
        <v>276.408039093017</v>
      </c>
      <c r="T115" s="22">
        <v>135.210669994354</v>
      </c>
      <c r="U115" s="22">
        <v>2.98061718681479</v>
      </c>
      <c r="V115" s="22">
        <v>13.71031791364</v>
      </c>
      <c r="W115" s="22">
        <v>3.70274464602138</v>
      </c>
      <c r="X115" s="22">
        <v>0.594515545497467</v>
      </c>
      <c r="Y115" s="22">
        <v>0.0891032681643756</v>
      </c>
      <c r="Z115" s="22">
        <v>0.0115708215642643</v>
      </c>
      <c r="AA115" s="22">
        <v>0.107567753366259</v>
      </c>
      <c r="AB115" s="22">
        <v>0.749404007519913</v>
      </c>
      <c r="AC115" s="22">
        <v>0.0891544902685481</v>
      </c>
      <c r="AD115" s="22">
        <v>0.107393421168031</v>
      </c>
      <c r="AE115" s="22">
        <v>0.75434523138875</v>
      </c>
      <c r="AF115" s="22">
        <v>0.122233238311567</v>
      </c>
      <c r="AG115" s="22">
        <v>0.15021738426829</v>
      </c>
      <c r="AH115" s="22">
        <v>0.523351805552386</v>
      </c>
      <c r="AI115" s="22">
        <v>10.0</v>
      </c>
      <c r="AJ115" s="22">
        <v>2.9806171868148</v>
      </c>
      <c r="AK115" s="22">
        <v>13.71031791364</v>
      </c>
      <c r="AL115" s="22">
        <v>3.70274464602138</v>
      </c>
      <c r="AM115" s="22">
        <v>0.594362369543928</v>
      </c>
      <c r="AN115" s="22">
        <v>2.38488261468366</v>
      </c>
      <c r="AO115" s="22">
        <v>8.25283054841156</v>
      </c>
      <c r="AP115" s="22">
        <v>2.87277401624484</v>
      </c>
      <c r="AQ115" s="22">
        <v>0.75434523138875</v>
      </c>
      <c r="AR115" s="22">
        <v>3.26973912483443</v>
      </c>
      <c r="AS115" s="22">
        <v>16.1468556737078</v>
      </c>
      <c r="AT115" s="22">
        <v>4.01831502917675</v>
      </c>
      <c r="AU115" s="22">
        <v>0.523351805552386</v>
      </c>
      <c r="AV115" s="23">
        <f t="shared" ref="AV115:AW115" si="233">(AC115-AC$289)/AC$290</f>
        <v>-0.3687720353</v>
      </c>
      <c r="AW115" s="24">
        <f t="shared" si="233"/>
        <v>-0.4163560844</v>
      </c>
      <c r="AX115" s="24">
        <f t="shared" si="5"/>
        <v>0.1152526177</v>
      </c>
      <c r="AY115" s="25">
        <f t="shared" si="6"/>
        <v>-0.01349611032</v>
      </c>
      <c r="AZ115" s="23">
        <f t="shared" si="7"/>
        <v>-0.07239715805</v>
      </c>
      <c r="BA115" s="25">
        <f t="shared" si="8"/>
        <v>-0.1334667521</v>
      </c>
      <c r="BB115" s="23">
        <f t="shared" si="9"/>
        <v>-0.4387949413</v>
      </c>
      <c r="BC115" s="24">
        <f t="shared" si="10"/>
        <v>-0.1108584053</v>
      </c>
      <c r="BD115" s="25">
        <f t="shared" si="11"/>
        <v>-0.2255828947</v>
      </c>
      <c r="BE115" s="26">
        <f t="shared" ref="BE115:BF115" si="234">((S115-S$289)/S$290)</f>
        <v>-0.5407401628</v>
      </c>
      <c r="BF115" s="26">
        <f t="shared" si="234"/>
        <v>-0.9622058688</v>
      </c>
    </row>
    <row r="116">
      <c r="A116" s="16" t="s">
        <v>67</v>
      </c>
      <c r="B116" s="20">
        <f t="shared" si="3"/>
        <v>0.2855157269</v>
      </c>
      <c r="C116" s="16" t="s">
        <v>68</v>
      </c>
      <c r="D116" s="16" t="s">
        <v>69</v>
      </c>
      <c r="E116" s="16">
        <v>151.0</v>
      </c>
      <c r="F116" s="21" t="s">
        <v>102</v>
      </c>
      <c r="G116" s="16" t="s">
        <v>71</v>
      </c>
      <c r="H116" s="21" t="s">
        <v>103</v>
      </c>
      <c r="I116" s="21" t="s">
        <v>88</v>
      </c>
      <c r="J116" s="21" t="s">
        <v>97</v>
      </c>
      <c r="K116" s="21" t="s">
        <v>99</v>
      </c>
      <c r="L116" s="16" t="s">
        <v>76</v>
      </c>
      <c r="M116" s="21" t="s">
        <v>85</v>
      </c>
      <c r="N116" s="16" t="s">
        <v>78</v>
      </c>
      <c r="O116" s="16" t="s">
        <v>92</v>
      </c>
      <c r="P116" s="16" t="s">
        <v>80</v>
      </c>
      <c r="Q116" s="21" t="s">
        <v>94</v>
      </c>
      <c r="S116" s="22">
        <v>954.373946428299</v>
      </c>
      <c r="T116" s="22">
        <v>403.033130645751</v>
      </c>
      <c r="U116" s="22">
        <v>2.74673610330372</v>
      </c>
      <c r="V116" s="22">
        <v>11.5794424320626</v>
      </c>
      <c r="W116" s="22">
        <v>3.40285798000189</v>
      </c>
      <c r="X116" s="22">
        <v>0.650717169760229</v>
      </c>
      <c r="Y116" s="22">
        <v>0.0863380935073659</v>
      </c>
      <c r="Z116" s="22">
        <v>0.0107639162638317</v>
      </c>
      <c r="AA116" s="22">
        <v>0.103749295244988</v>
      </c>
      <c r="AB116" s="22">
        <v>0.748212712127794</v>
      </c>
      <c r="AC116" s="22">
        <v>0.0866534179252558</v>
      </c>
      <c r="AD116" s="22">
        <v>0.103950886941166</v>
      </c>
      <c r="AE116" s="22">
        <v>0.74923138584442</v>
      </c>
      <c r="AF116" s="22">
        <v>0.101927945997476</v>
      </c>
      <c r="AG116" s="22">
        <v>0.127757675327116</v>
      </c>
      <c r="AH116" s="22">
        <v>0.624642231102635</v>
      </c>
      <c r="AI116" s="22">
        <v>10.0</v>
      </c>
      <c r="AJ116" s="22">
        <v>2.74673610330371</v>
      </c>
      <c r="AK116" s="22">
        <v>11.5794424320626</v>
      </c>
      <c r="AL116" s="22">
        <v>3.40285798000189</v>
      </c>
      <c r="AM116" s="22">
        <v>0.650592594248758</v>
      </c>
      <c r="AN116" s="22">
        <v>2.39741122926538</v>
      </c>
      <c r="AO116" s="22">
        <v>8.27122954728298</v>
      </c>
      <c r="AP116" s="22">
        <v>2.87597453870561</v>
      </c>
      <c r="AQ116" s="22">
        <v>0.749231385844421</v>
      </c>
      <c r="AR116" s="22">
        <v>2.82000650593019</v>
      </c>
      <c r="AS116" s="22">
        <v>12.4936022905298</v>
      </c>
      <c r="AT116" s="22">
        <v>3.53462901738355</v>
      </c>
      <c r="AU116" s="22">
        <v>0.624642231102635</v>
      </c>
      <c r="AV116" s="23">
        <f t="shared" ref="AV116:AW116" si="235">(AC116-AC$289)/AC$290</f>
        <v>-0.4664412189</v>
      </c>
      <c r="AW116" s="24">
        <f t="shared" si="235"/>
        <v>-0.5273607036</v>
      </c>
      <c r="AX116" s="24">
        <f t="shared" si="5"/>
        <v>-0.6534375829</v>
      </c>
      <c r="AY116" s="25">
        <f t="shared" si="6"/>
        <v>-0.7180596883</v>
      </c>
      <c r="AZ116" s="23">
        <f t="shared" si="7"/>
        <v>-0.5039643715</v>
      </c>
      <c r="BA116" s="25">
        <f t="shared" si="8"/>
        <v>-0.5899079811</v>
      </c>
      <c r="BB116" s="23">
        <f t="shared" si="9"/>
        <v>-0.4159900791</v>
      </c>
      <c r="BC116" s="24">
        <f t="shared" si="10"/>
        <v>-0.6226539823</v>
      </c>
      <c r="BD116" s="25">
        <f t="shared" si="11"/>
        <v>-0.5590990376</v>
      </c>
      <c r="BE116" s="26">
        <f t="shared" ref="BE116:BF116" si="236">((S116-S$289)/S$290)</f>
        <v>0.7609182756</v>
      </c>
      <c r="BF116" s="26">
        <f t="shared" si="236"/>
        <v>1.155323374</v>
      </c>
    </row>
    <row r="117">
      <c r="A117" s="16" t="s">
        <v>67</v>
      </c>
      <c r="B117" s="20">
        <f t="shared" si="3"/>
        <v>0.2750450376</v>
      </c>
      <c r="C117" s="16" t="s">
        <v>68</v>
      </c>
      <c r="D117" s="16" t="s">
        <v>69</v>
      </c>
      <c r="E117" s="16">
        <v>228.0</v>
      </c>
      <c r="F117" s="21" t="s">
        <v>102</v>
      </c>
      <c r="G117" s="16" t="s">
        <v>100</v>
      </c>
      <c r="H117" s="21" t="s">
        <v>105</v>
      </c>
      <c r="I117" s="21" t="s">
        <v>88</v>
      </c>
      <c r="J117" s="21" t="s">
        <v>74</v>
      </c>
      <c r="K117" s="21" t="s">
        <v>75</v>
      </c>
      <c r="L117" s="16" t="s">
        <v>90</v>
      </c>
      <c r="M117" s="21" t="s">
        <v>77</v>
      </c>
      <c r="N117" s="16" t="s">
        <v>78</v>
      </c>
      <c r="O117" s="16" t="s">
        <v>86</v>
      </c>
      <c r="P117" s="16" t="s">
        <v>80</v>
      </c>
      <c r="Q117" s="21" t="s">
        <v>93</v>
      </c>
      <c r="R117" s="21" t="s">
        <v>94</v>
      </c>
      <c r="S117" s="22">
        <v>476.914104938507</v>
      </c>
      <c r="T117" s="22">
        <v>443.554799079895</v>
      </c>
      <c r="U117" s="22">
        <v>2.71225896693428</v>
      </c>
      <c r="V117" s="22">
        <v>11.8042270475844</v>
      </c>
      <c r="W117" s="22">
        <v>3.43572802293552</v>
      </c>
      <c r="X117" s="22">
        <v>0.643137874273141</v>
      </c>
      <c r="Y117" s="22">
        <v>0.0950106552180942</v>
      </c>
      <c r="Z117" s="22">
        <v>0.0135101866279673</v>
      </c>
      <c r="AA117" s="22">
        <v>0.116233328387202</v>
      </c>
      <c r="AB117" s="22">
        <v>0.679667855102466</v>
      </c>
      <c r="AC117" s="22">
        <v>0.0957869500187694</v>
      </c>
      <c r="AD117" s="22">
        <v>0.116808491808681</v>
      </c>
      <c r="AE117" s="22">
        <v>0.681773416815158</v>
      </c>
      <c r="AF117" s="22">
        <v>0.0983063187194144</v>
      </c>
      <c r="AG117" s="22">
        <v>0.124569693632815</v>
      </c>
      <c r="AH117" s="22">
        <v>0.642913472915941</v>
      </c>
      <c r="AI117" s="22">
        <v>10.0</v>
      </c>
      <c r="AJ117" s="22">
        <v>2.71225896693427</v>
      </c>
      <c r="AK117" s="22">
        <v>11.8042270475844</v>
      </c>
      <c r="AL117" s="22">
        <v>3.43572802293552</v>
      </c>
      <c r="AM117" s="22">
        <v>0.642997491268363</v>
      </c>
      <c r="AN117" s="22">
        <v>2.65010561718595</v>
      </c>
      <c r="AO117" s="22">
        <v>10.4438952747916</v>
      </c>
      <c r="AP117" s="22">
        <v>3.23170160670685</v>
      </c>
      <c r="AQ117" s="22">
        <v>0.681773416815158</v>
      </c>
      <c r="AR117" s="22">
        <v>2.71980815123709</v>
      </c>
      <c r="AS117" s="22">
        <v>11.8778672723274</v>
      </c>
      <c r="AT117" s="22">
        <v>3.44642819050788</v>
      </c>
      <c r="AU117" s="22">
        <v>0.642913472915941</v>
      </c>
      <c r="AV117" s="23">
        <f t="shared" ref="AV117:AW117" si="237">(AC117-AC$289)/AC$290</f>
        <v>-0.1097683601</v>
      </c>
      <c r="AW117" s="24">
        <f t="shared" si="237"/>
        <v>-0.1127668499</v>
      </c>
      <c r="AX117" s="24">
        <f t="shared" si="5"/>
        <v>-0.8246982167</v>
      </c>
      <c r="AY117" s="25">
        <f t="shared" si="6"/>
        <v>-0.8465378511</v>
      </c>
      <c r="AZ117" s="23">
        <f t="shared" si="7"/>
        <v>-0.5675830338</v>
      </c>
      <c r="BA117" s="25">
        <f t="shared" si="8"/>
        <v>-0.5398782716</v>
      </c>
      <c r="BB117" s="23">
        <f t="shared" si="9"/>
        <v>-0.1151656463</v>
      </c>
      <c r="BC117" s="24">
        <f t="shared" si="10"/>
        <v>-0.7149740678</v>
      </c>
      <c r="BD117" s="25">
        <f t="shared" si="11"/>
        <v>-0.5140504989</v>
      </c>
      <c r="BE117" s="26">
        <f t="shared" ref="BE117:BF117" si="238">((S117-S$289)/S$290)</f>
        <v>-0.1557791939</v>
      </c>
      <c r="BF117" s="26">
        <f t="shared" si="238"/>
        <v>1.475706577</v>
      </c>
    </row>
    <row r="118">
      <c r="A118" s="16" t="s">
        <v>67</v>
      </c>
      <c r="B118" s="20">
        <f t="shared" si="3"/>
        <v>0.273422325</v>
      </c>
      <c r="C118" s="16" t="s">
        <v>68</v>
      </c>
      <c r="D118" s="16" t="s">
        <v>69</v>
      </c>
      <c r="E118" s="16">
        <v>249.0</v>
      </c>
      <c r="F118" s="21" t="s">
        <v>102</v>
      </c>
      <c r="G118" s="16" t="s">
        <v>100</v>
      </c>
      <c r="H118" s="21" t="s">
        <v>105</v>
      </c>
      <c r="I118" s="21" t="s">
        <v>73</v>
      </c>
      <c r="J118" s="21" t="s">
        <v>97</v>
      </c>
      <c r="K118" s="21" t="s">
        <v>75</v>
      </c>
      <c r="L118" s="16" t="s">
        <v>84</v>
      </c>
      <c r="M118" s="21" t="s">
        <v>77</v>
      </c>
      <c r="N118" s="16" t="s">
        <v>91</v>
      </c>
      <c r="O118" s="16" t="s">
        <v>79</v>
      </c>
      <c r="P118" s="16" t="s">
        <v>80</v>
      </c>
      <c r="Q118" s="21" t="s">
        <v>98</v>
      </c>
      <c r="R118" s="21" t="s">
        <v>89</v>
      </c>
      <c r="S118" s="22">
        <v>622.568468093872</v>
      </c>
      <c r="T118" s="22">
        <v>414.546366214752</v>
      </c>
      <c r="U118" s="22">
        <v>2.85908547821045</v>
      </c>
      <c r="V118" s="22">
        <v>11.907114147408</v>
      </c>
      <c r="W118" s="22">
        <v>3.45066865221916</v>
      </c>
      <c r="X118" s="22">
        <v>0.640057266090938</v>
      </c>
      <c r="Y118" s="22">
        <v>0.0882780464905422</v>
      </c>
      <c r="Z118" s="22">
        <v>0.01130150836689</v>
      </c>
      <c r="AA118" s="22">
        <v>0.106308552651656</v>
      </c>
      <c r="AB118" s="22">
        <v>0.73350627018193</v>
      </c>
      <c r="AC118" s="22">
        <v>0.0879289555841235</v>
      </c>
      <c r="AD118" s="22">
        <v>0.105851587954695</v>
      </c>
      <c r="AE118" s="22">
        <v>0.739946998643394</v>
      </c>
      <c r="AF118" s="22">
        <v>0.106473820915885</v>
      </c>
      <c r="AG118" s="22">
        <v>0.127306993805855</v>
      </c>
      <c r="AH118" s="22">
        <v>0.627313573896605</v>
      </c>
      <c r="AI118" s="22">
        <v>10.0</v>
      </c>
      <c r="AJ118" s="22">
        <v>2.85908547821045</v>
      </c>
      <c r="AK118" s="22">
        <v>11.907114147408</v>
      </c>
      <c r="AL118" s="22">
        <v>3.45066865221916</v>
      </c>
      <c r="AM118" s="22">
        <v>0.639944446329336</v>
      </c>
      <c r="AN118" s="22">
        <v>2.43270110449423</v>
      </c>
      <c r="AO118" s="22">
        <v>8.57646718834038</v>
      </c>
      <c r="AP118" s="22">
        <v>2.9285606000799</v>
      </c>
      <c r="AQ118" s="22">
        <v>0.739946998643394</v>
      </c>
      <c r="AR118" s="22">
        <v>2.94577571200631</v>
      </c>
      <c r="AS118" s="22">
        <v>12.4056122065122</v>
      </c>
      <c r="AT118" s="22">
        <v>3.52216016196201</v>
      </c>
      <c r="AU118" s="22">
        <v>0.627313573896605</v>
      </c>
      <c r="AV118" s="23">
        <f t="shared" ref="AV118:AW118" si="239">(AC118-AC$289)/AC$290</f>
        <v>-0.416630296</v>
      </c>
      <c r="AW118" s="24">
        <f t="shared" si="239"/>
        <v>-0.4660725425</v>
      </c>
      <c r="AX118" s="24">
        <f t="shared" si="5"/>
        <v>-0.43847084</v>
      </c>
      <c r="AY118" s="25">
        <f t="shared" si="6"/>
        <v>-0.7362225071</v>
      </c>
      <c r="AZ118" s="23">
        <f t="shared" si="7"/>
        <v>-0.296652579</v>
      </c>
      <c r="BA118" s="25">
        <f t="shared" si="8"/>
        <v>-0.5171379501</v>
      </c>
      <c r="BB118" s="23">
        <f t="shared" si="9"/>
        <v>-0.3745869572</v>
      </c>
      <c r="BC118" s="24">
        <f t="shared" si="10"/>
        <v>-0.6361516196</v>
      </c>
      <c r="BD118" s="25">
        <f t="shared" si="11"/>
        <v>-0.4959420923</v>
      </c>
      <c r="BE118" s="26">
        <f t="shared" ref="BE118:BF118" si="240">((S118-S$289)/S$290)</f>
        <v>0.1238694268</v>
      </c>
      <c r="BF118" s="26">
        <f t="shared" si="240"/>
        <v>1.246352382</v>
      </c>
    </row>
    <row r="119">
      <c r="A119" s="16" t="s">
        <v>67</v>
      </c>
      <c r="B119" s="20">
        <f t="shared" si="3"/>
        <v>0.2697037324</v>
      </c>
      <c r="C119" s="16" t="s">
        <v>68</v>
      </c>
      <c r="D119" s="16" t="s">
        <v>69</v>
      </c>
      <c r="E119" s="16">
        <v>94.0</v>
      </c>
      <c r="F119" s="21" t="s">
        <v>70</v>
      </c>
      <c r="G119" s="16" t="s">
        <v>100</v>
      </c>
      <c r="H119" s="21" t="s">
        <v>101</v>
      </c>
      <c r="I119" s="21" t="s">
        <v>88</v>
      </c>
      <c r="J119" s="21" t="s">
        <v>83</v>
      </c>
      <c r="K119" s="21" t="s">
        <v>99</v>
      </c>
      <c r="L119" s="16" t="s">
        <v>76</v>
      </c>
      <c r="M119" s="21" t="s">
        <v>85</v>
      </c>
      <c r="N119" s="16" t="s">
        <v>95</v>
      </c>
      <c r="O119" s="16" t="s">
        <v>92</v>
      </c>
      <c r="P119" s="16" t="s">
        <v>80</v>
      </c>
      <c r="Q119" s="21" t="s">
        <v>104</v>
      </c>
      <c r="S119" s="22">
        <v>465.3984375</v>
      </c>
      <c r="T119" s="22">
        <v>131.879397392272</v>
      </c>
      <c r="U119" s="22">
        <v>2.94980818141455</v>
      </c>
      <c r="V119" s="22">
        <v>13.7737334424811</v>
      </c>
      <c r="W119" s="22">
        <v>3.7112980805213</v>
      </c>
      <c r="X119" s="22">
        <v>0.587223875064495</v>
      </c>
      <c r="Y119" s="22">
        <v>0.0840938497024674</v>
      </c>
      <c r="Z119" s="22">
        <v>0.0106654444719188</v>
      </c>
      <c r="AA119" s="22">
        <v>0.103273638804483</v>
      </c>
      <c r="AB119" s="22">
        <v>0.766093828777072</v>
      </c>
      <c r="AC119" s="22">
        <v>0.0848089135466145</v>
      </c>
      <c r="AD119" s="22">
        <v>0.103800154082339</v>
      </c>
      <c r="AE119" s="22">
        <v>0.767969605309411</v>
      </c>
      <c r="AF119" s="22">
        <v>0.122135039080839</v>
      </c>
      <c r="AG119" s="22">
        <v>0.152718615044245</v>
      </c>
      <c r="AH119" s="22">
        <v>0.49990483559055</v>
      </c>
      <c r="AI119" s="22">
        <v>10.0</v>
      </c>
      <c r="AJ119" s="22">
        <v>2.94980818141456</v>
      </c>
      <c r="AK119" s="22">
        <v>13.7737334424811</v>
      </c>
      <c r="AL119" s="22">
        <v>3.7112980805213</v>
      </c>
      <c r="AM119" s="22">
        <v>0.587134178696251</v>
      </c>
      <c r="AN119" s="22">
        <v>2.26863843737194</v>
      </c>
      <c r="AO119" s="22">
        <v>7.7098081115679</v>
      </c>
      <c r="AP119" s="22">
        <v>2.77665412170257</v>
      </c>
      <c r="AQ119" s="22">
        <v>0.767969605309411</v>
      </c>
      <c r="AR119" s="22">
        <v>3.26711229541246</v>
      </c>
      <c r="AS119" s="22">
        <v>16.68904657109</v>
      </c>
      <c r="AT119" s="22">
        <v>4.08522295243357</v>
      </c>
      <c r="AU119" s="22">
        <v>0.49990483559055</v>
      </c>
      <c r="AV119" s="23">
        <f t="shared" ref="AV119:AW119" si="241">(AC119-AC$289)/AC$290</f>
        <v>-0.5384708174</v>
      </c>
      <c r="AW119" s="24">
        <f t="shared" si="241"/>
        <v>-0.5322210891</v>
      </c>
      <c r="AX119" s="24">
        <f t="shared" si="5"/>
        <v>0.1107627988</v>
      </c>
      <c r="AY119" s="25">
        <f t="shared" si="6"/>
        <v>0.08396564101</v>
      </c>
      <c r="AZ119" s="23">
        <f t="shared" si="7"/>
        <v>-0.1292472308</v>
      </c>
      <c r="BA119" s="25">
        <f t="shared" si="8"/>
        <v>-0.1204480334</v>
      </c>
      <c r="BB119" s="23">
        <f t="shared" si="9"/>
        <v>-0.4995519521</v>
      </c>
      <c r="BC119" s="24">
        <f t="shared" si="10"/>
        <v>0.007613359998</v>
      </c>
      <c r="BD119" s="25">
        <f t="shared" si="11"/>
        <v>-0.1827106078</v>
      </c>
      <c r="BE119" s="26">
        <f t="shared" ref="BE119:BF119" si="242">((S119-S$289)/S$290)</f>
        <v>-0.1778886622</v>
      </c>
      <c r="BF119" s="26">
        <f t="shared" si="242"/>
        <v>-0.9885444632</v>
      </c>
    </row>
    <row r="120">
      <c r="A120" s="16" t="s">
        <v>82</v>
      </c>
      <c r="B120" s="20">
        <f t="shared" si="3"/>
        <v>0.2607111992</v>
      </c>
      <c r="C120" s="16" t="s">
        <v>68</v>
      </c>
      <c r="D120" s="16" t="s">
        <v>69</v>
      </c>
      <c r="E120" s="16">
        <v>64.0</v>
      </c>
      <c r="F120" s="21" t="s">
        <v>70</v>
      </c>
      <c r="G120" s="16" t="s">
        <v>71</v>
      </c>
      <c r="H120" s="21" t="s">
        <v>72</v>
      </c>
      <c r="I120" s="21" t="s">
        <v>88</v>
      </c>
      <c r="J120" s="21" t="s">
        <v>83</v>
      </c>
      <c r="K120" s="21" t="s">
        <v>99</v>
      </c>
      <c r="L120" s="16" t="s">
        <v>76</v>
      </c>
      <c r="M120" s="21" t="s">
        <v>85</v>
      </c>
      <c r="N120" s="16" t="s">
        <v>78</v>
      </c>
      <c r="O120" s="16" t="s">
        <v>86</v>
      </c>
      <c r="P120" s="16" t="s">
        <v>80</v>
      </c>
      <c r="Q120" s="21" t="s">
        <v>94</v>
      </c>
      <c r="S120" s="22">
        <v>440.608166933059</v>
      </c>
      <c r="T120" s="22">
        <v>127.818686723709</v>
      </c>
      <c r="U120" s="22">
        <v>2.93830808382588</v>
      </c>
      <c r="V120" s="22">
        <v>13.5071817861068</v>
      </c>
      <c r="W120" s="22">
        <v>3.67521180153019</v>
      </c>
      <c r="X120" s="22">
        <v>0.596975901959</v>
      </c>
      <c r="Y120" s="22">
        <v>0.0980250002274825</v>
      </c>
      <c r="Z120" s="22">
        <v>0.0144051856026408</v>
      </c>
      <c r="AA120" s="22">
        <v>0.120021604732818</v>
      </c>
      <c r="AB120" s="22">
        <v>0.688818881614083</v>
      </c>
      <c r="AC120" s="22">
        <v>0.0983850884506135</v>
      </c>
      <c r="AD120" s="22">
        <v>0.120223400581372</v>
      </c>
      <c r="AE120" s="22">
        <v>0.690505683083222</v>
      </c>
      <c r="AF120" s="22">
        <v>0.113475252775971</v>
      </c>
      <c r="AG120" s="22">
        <v>0.143128797120441</v>
      </c>
      <c r="AH120" s="22">
        <v>0.563774694754433</v>
      </c>
      <c r="AI120" s="22">
        <v>10.0</v>
      </c>
      <c r="AJ120" s="22">
        <v>2.93830808382589</v>
      </c>
      <c r="AK120" s="22">
        <v>13.5071817861068</v>
      </c>
      <c r="AL120" s="22">
        <v>3.67521180153019</v>
      </c>
      <c r="AM120" s="22">
        <v>0.596926505051544</v>
      </c>
      <c r="AN120" s="22">
        <v>2.63180111605391</v>
      </c>
      <c r="AO120" s="22">
        <v>10.3425014110063</v>
      </c>
      <c r="AP120" s="22">
        <v>3.21597596555172</v>
      </c>
      <c r="AQ120" s="22">
        <v>0.690505683083222</v>
      </c>
      <c r="AR120" s="22">
        <v>3.03546301175723</v>
      </c>
      <c r="AS120" s="22">
        <v>14.6589078761463</v>
      </c>
      <c r="AT120" s="22">
        <v>3.82869532297182</v>
      </c>
      <c r="AU120" s="22">
        <v>0.563774694754433</v>
      </c>
      <c r="AV120" s="23">
        <f t="shared" ref="AV120:AW120" si="243">(AC120-AC$289)/AC$290</f>
        <v>-0.008308656178</v>
      </c>
      <c r="AW120" s="24">
        <f t="shared" si="243"/>
        <v>-0.002653014307</v>
      </c>
      <c r="AX120" s="24">
        <f t="shared" si="5"/>
        <v>-0.2851758698</v>
      </c>
      <c r="AY120" s="25">
        <f t="shared" si="6"/>
        <v>-0.2897065762</v>
      </c>
      <c r="AZ120" s="23">
        <f t="shared" si="7"/>
        <v>-0.1504676946</v>
      </c>
      <c r="BA120" s="25">
        <f t="shared" si="8"/>
        <v>-0.1753730014</v>
      </c>
      <c r="BB120" s="23">
        <f t="shared" si="9"/>
        <v>-0.1541066207</v>
      </c>
      <c r="BC120" s="24">
        <f t="shared" si="10"/>
        <v>-0.3151053101</v>
      </c>
      <c r="BD120" s="25">
        <f t="shared" si="11"/>
        <v>-0.2407914519</v>
      </c>
      <c r="BE120" s="26">
        <f t="shared" ref="BE120:BF120" si="244">((S120-S$289)/S$290)</f>
        <v>-0.2254846615</v>
      </c>
      <c r="BF120" s="26">
        <f t="shared" si="244"/>
        <v>-1.020650335</v>
      </c>
    </row>
    <row r="121">
      <c r="A121" s="16" t="s">
        <v>82</v>
      </c>
      <c r="B121" s="20">
        <f t="shared" si="3"/>
        <v>0.2603428557</v>
      </c>
      <c r="C121" s="16" t="s">
        <v>68</v>
      </c>
      <c r="D121" s="16" t="s">
        <v>69</v>
      </c>
      <c r="E121" s="16">
        <v>178.0</v>
      </c>
      <c r="F121" s="21" t="s">
        <v>102</v>
      </c>
      <c r="G121" s="16" t="s">
        <v>71</v>
      </c>
      <c r="H121" s="21" t="s">
        <v>103</v>
      </c>
      <c r="I121" s="21" t="s">
        <v>88</v>
      </c>
      <c r="J121" s="21" t="s">
        <v>74</v>
      </c>
      <c r="K121" s="21" t="s">
        <v>75</v>
      </c>
      <c r="L121" s="16" t="s">
        <v>76</v>
      </c>
      <c r="M121" s="21" t="s">
        <v>85</v>
      </c>
      <c r="N121" s="16" t="s">
        <v>78</v>
      </c>
      <c r="O121" s="16" t="s">
        <v>86</v>
      </c>
      <c r="P121" s="16" t="s">
        <v>80</v>
      </c>
      <c r="Q121" s="21" t="s">
        <v>81</v>
      </c>
      <c r="S121" s="22">
        <v>467.196420669555</v>
      </c>
      <c r="T121" s="22">
        <v>328.662520885467</v>
      </c>
      <c r="U121" s="22">
        <v>2.89802713157741</v>
      </c>
      <c r="V121" s="22">
        <v>13.0118592313193</v>
      </c>
      <c r="W121" s="22">
        <v>3.60719548005362</v>
      </c>
      <c r="X121" s="22">
        <v>0.607465693448011</v>
      </c>
      <c r="Y121" s="22">
        <v>0.0910498174318534</v>
      </c>
      <c r="Z121" s="22">
        <v>0.0122225078634514</v>
      </c>
      <c r="AA121" s="22">
        <v>0.110555451532032</v>
      </c>
      <c r="AB121" s="22">
        <v>0.714093641152162</v>
      </c>
      <c r="AC121" s="22">
        <v>0.0914496313180789</v>
      </c>
      <c r="AD121" s="22">
        <v>0.110839460944313</v>
      </c>
      <c r="AE121" s="22">
        <v>0.71489450264346</v>
      </c>
      <c r="AF121" s="22">
        <v>0.103987099836749</v>
      </c>
      <c r="AG121" s="22">
        <v>0.131926541582538</v>
      </c>
      <c r="AH121" s="22">
        <v>0.59974592444501</v>
      </c>
      <c r="AI121" s="22">
        <v>10.0</v>
      </c>
      <c r="AJ121" s="22">
        <v>2.8980271315774</v>
      </c>
      <c r="AK121" s="22">
        <v>13.0118592313193</v>
      </c>
      <c r="AL121" s="22">
        <v>3.60719548005362</v>
      </c>
      <c r="AM121" s="22">
        <v>0.607369698092986</v>
      </c>
      <c r="AN121" s="22">
        <v>2.53010646646683</v>
      </c>
      <c r="AO121" s="22">
        <v>9.40378053995699</v>
      </c>
      <c r="AP121" s="22">
        <v>3.06655841945934</v>
      </c>
      <c r="AQ121" s="22">
        <v>0.71489450264346</v>
      </c>
      <c r="AR121" s="22">
        <v>2.87697642881674</v>
      </c>
      <c r="AS121" s="22">
        <v>13.3222638493331</v>
      </c>
      <c r="AT121" s="22">
        <v>3.64996765045023</v>
      </c>
      <c r="AU121" s="22">
        <v>0.59974592444501</v>
      </c>
      <c r="AV121" s="23">
        <f t="shared" ref="AV121:AW121" si="245">(AC121-AC$289)/AC$290</f>
        <v>-0.2791446589</v>
      </c>
      <c r="AW121" s="24">
        <f t="shared" si="245"/>
        <v>-0.3052384287</v>
      </c>
      <c r="AX121" s="24">
        <f t="shared" si="5"/>
        <v>-0.5560636775</v>
      </c>
      <c r="AY121" s="25">
        <f t="shared" si="6"/>
        <v>-0.5500511083</v>
      </c>
      <c r="AZ121" s="23">
        <f t="shared" si="7"/>
        <v>-0.2247958021</v>
      </c>
      <c r="BA121" s="25">
        <f t="shared" si="8"/>
        <v>-0.2788969552</v>
      </c>
      <c r="BB121" s="23">
        <f t="shared" si="9"/>
        <v>-0.262866978</v>
      </c>
      <c r="BC121" s="24">
        <f t="shared" si="10"/>
        <v>-0.4968590756</v>
      </c>
      <c r="BD121" s="25">
        <f t="shared" si="11"/>
        <v>-0.3027327562</v>
      </c>
      <c r="BE121" s="26">
        <f t="shared" ref="BE121:BF121" si="246">((S121-S$289)/S$290)</f>
        <v>-0.1744366302</v>
      </c>
      <c r="BF121" s="26">
        <f t="shared" si="246"/>
        <v>0.5673146586</v>
      </c>
    </row>
    <row r="122">
      <c r="A122" s="16" t="s">
        <v>67</v>
      </c>
      <c r="B122" s="20">
        <f t="shared" si="3"/>
        <v>0.2492837935</v>
      </c>
      <c r="C122" s="16" t="s">
        <v>68</v>
      </c>
      <c r="D122" s="16" t="s">
        <v>69</v>
      </c>
      <c r="E122" s="16">
        <v>19.0</v>
      </c>
      <c r="F122" s="21" t="s">
        <v>70</v>
      </c>
      <c r="G122" s="16" t="s">
        <v>71</v>
      </c>
      <c r="H122" s="21" t="s">
        <v>72</v>
      </c>
      <c r="I122" s="21" t="s">
        <v>88</v>
      </c>
      <c r="J122" s="21" t="s">
        <v>74</v>
      </c>
      <c r="K122" s="21" t="s">
        <v>99</v>
      </c>
      <c r="L122" s="16" t="s">
        <v>84</v>
      </c>
      <c r="M122" s="21" t="s">
        <v>77</v>
      </c>
      <c r="N122" s="16" t="s">
        <v>78</v>
      </c>
      <c r="O122" s="16" t="s">
        <v>79</v>
      </c>
      <c r="P122" s="16" t="s">
        <v>80</v>
      </c>
      <c r="Q122" s="21" t="s">
        <v>89</v>
      </c>
      <c r="R122" s="21" t="s">
        <v>89</v>
      </c>
      <c r="S122" s="22">
        <v>1217.31132483482</v>
      </c>
      <c r="T122" s="22">
        <v>141.195344448089</v>
      </c>
      <c r="U122" s="22">
        <v>2.84296334723646</v>
      </c>
      <c r="V122" s="22">
        <v>12.3825798917604</v>
      </c>
      <c r="W122" s="22">
        <v>3.5188890138452</v>
      </c>
      <c r="X122" s="22">
        <v>0.630590556400181</v>
      </c>
      <c r="Y122" s="22">
        <v>0.0863138055402139</v>
      </c>
      <c r="Z122" s="22">
        <v>0.0108454161608251</v>
      </c>
      <c r="AA122" s="22">
        <v>0.10414132782342</v>
      </c>
      <c r="AB122" s="22">
        <v>0.765717094983658</v>
      </c>
      <c r="AC122" s="22">
        <v>0.0866851846714803</v>
      </c>
      <c r="AD122" s="22">
        <v>0.104403410007315</v>
      </c>
      <c r="AE122" s="22">
        <v>0.766598291846521</v>
      </c>
      <c r="AF122" s="22">
        <v>0.117981466921328</v>
      </c>
      <c r="AG122" s="22">
        <v>0.146578290970124</v>
      </c>
      <c r="AH122" s="22">
        <v>0.542494710204474</v>
      </c>
      <c r="AI122" s="22">
        <v>10.0</v>
      </c>
      <c r="AJ122" s="22">
        <v>2.84296334723647</v>
      </c>
      <c r="AK122" s="22">
        <v>12.3825798917604</v>
      </c>
      <c r="AL122" s="22">
        <v>3.5188890138452</v>
      </c>
      <c r="AM122" s="22">
        <v>0.630486223367182</v>
      </c>
      <c r="AN122" s="22">
        <v>2.3188286899621</v>
      </c>
      <c r="AO122" s="22">
        <v>7.79968278563822</v>
      </c>
      <c r="AP122" s="22">
        <v>2.79279121769569</v>
      </c>
      <c r="AQ122" s="22">
        <v>0.766598291846521</v>
      </c>
      <c r="AR122" s="22">
        <v>3.15600424014552</v>
      </c>
      <c r="AS122" s="22">
        <v>15.3740001217648</v>
      </c>
      <c r="AT122" s="22">
        <v>3.92096928345082</v>
      </c>
      <c r="AU122" s="22">
        <v>0.542494710204474</v>
      </c>
      <c r="AV122" s="23">
        <f t="shared" ref="AV122:AW122" si="247">(AC122-AC$289)/AC$290</f>
        <v>-0.4652006981</v>
      </c>
      <c r="AW122" s="24">
        <f t="shared" si="247"/>
        <v>-0.5127690838</v>
      </c>
      <c r="AX122" s="24">
        <f t="shared" si="5"/>
        <v>-0.07914487015</v>
      </c>
      <c r="AY122" s="25">
        <f t="shared" si="6"/>
        <v>-0.1552952636</v>
      </c>
      <c r="AZ122" s="23">
        <f t="shared" si="7"/>
        <v>-0.3264018132</v>
      </c>
      <c r="BA122" s="25">
        <f t="shared" si="8"/>
        <v>-0.4133034378</v>
      </c>
      <c r="BB122" s="23">
        <f t="shared" si="9"/>
        <v>-0.4934366688</v>
      </c>
      <c r="BC122" s="24">
        <f t="shared" si="10"/>
        <v>-0.2075827885</v>
      </c>
      <c r="BD122" s="25">
        <f t="shared" si="11"/>
        <v>-0.4398429027</v>
      </c>
      <c r="BE122" s="26">
        <f t="shared" ref="BE122:BF122" si="248">((S122-S$289)/S$290)</f>
        <v>1.26574404</v>
      </c>
      <c r="BF122" s="26">
        <f t="shared" si="248"/>
        <v>-0.9148882423</v>
      </c>
    </row>
    <row r="123">
      <c r="A123" s="16" t="s">
        <v>67</v>
      </c>
      <c r="B123" s="20">
        <f t="shared" si="3"/>
        <v>0.2432758295</v>
      </c>
      <c r="C123" s="16" t="s">
        <v>68</v>
      </c>
      <c r="D123" s="16" t="s">
        <v>69</v>
      </c>
      <c r="E123" s="16">
        <v>247.0</v>
      </c>
      <c r="F123" s="21" t="s">
        <v>102</v>
      </c>
      <c r="G123" s="16" t="s">
        <v>100</v>
      </c>
      <c r="H123" s="21" t="s">
        <v>105</v>
      </c>
      <c r="I123" s="21" t="s">
        <v>88</v>
      </c>
      <c r="J123" s="21" t="s">
        <v>97</v>
      </c>
      <c r="K123" s="21" t="s">
        <v>75</v>
      </c>
      <c r="L123" s="16" t="s">
        <v>90</v>
      </c>
      <c r="M123" s="21" t="s">
        <v>77</v>
      </c>
      <c r="N123" s="16" t="s">
        <v>78</v>
      </c>
      <c r="O123" s="16" t="s">
        <v>86</v>
      </c>
      <c r="P123" s="16" t="s">
        <v>80</v>
      </c>
      <c r="Q123" s="21" t="s">
        <v>93</v>
      </c>
      <c r="R123" s="21" t="s">
        <v>104</v>
      </c>
      <c r="S123" s="22">
        <v>307.426788568496</v>
      </c>
      <c r="T123" s="22">
        <v>424.499297857284</v>
      </c>
      <c r="U123" s="22">
        <v>2.80441240576655</v>
      </c>
      <c r="V123" s="22">
        <v>12.9032135589069</v>
      </c>
      <c r="W123" s="22">
        <v>3.59210433574902</v>
      </c>
      <c r="X123" s="22">
        <v>0.609896877446263</v>
      </c>
      <c r="Y123" s="22">
        <v>0.0867684259111165</v>
      </c>
      <c r="Z123" s="22">
        <v>0.0114592024145235</v>
      </c>
      <c r="AA123" s="22">
        <v>0.107047664217971</v>
      </c>
      <c r="AB123" s="22">
        <v>0.728297543968745</v>
      </c>
      <c r="AC123" s="22">
        <v>0.0876275466166528</v>
      </c>
      <c r="AD123" s="22">
        <v>0.107759409644157</v>
      </c>
      <c r="AE123" s="22">
        <v>0.729169214280559</v>
      </c>
      <c r="AF123" s="22">
        <v>0.106020700343824</v>
      </c>
      <c r="AG123" s="22">
        <v>0.134192282025684</v>
      </c>
      <c r="AH123" s="22">
        <v>0.585615264949858</v>
      </c>
      <c r="AI123" s="22">
        <v>10.0</v>
      </c>
      <c r="AJ123" s="22">
        <v>2.80441240576654</v>
      </c>
      <c r="AK123" s="22">
        <v>12.9032135589069</v>
      </c>
      <c r="AL123" s="22">
        <v>3.59210433574902</v>
      </c>
      <c r="AM123" s="22">
        <v>0.609760165349202</v>
      </c>
      <c r="AN123" s="22">
        <v>2.42436212306067</v>
      </c>
      <c r="AO123" s="22">
        <v>8.88841005969775</v>
      </c>
      <c r="AP123" s="22">
        <v>2.98134366682168</v>
      </c>
      <c r="AQ123" s="22">
        <v>0.729169214280559</v>
      </c>
      <c r="AR123" s="22">
        <v>2.93323937617912</v>
      </c>
      <c r="AS123" s="22">
        <v>13.7837933085767</v>
      </c>
      <c r="AT123" s="22">
        <v>3.71265313604392</v>
      </c>
      <c r="AU123" s="22">
        <v>0.585615264949858</v>
      </c>
      <c r="AV123" s="23">
        <f t="shared" ref="AV123:AW123" si="249">(AC123-AC$289)/AC$290</f>
        <v>-0.4284005944</v>
      </c>
      <c r="AW123" s="24">
        <f t="shared" si="249"/>
        <v>-0.404554775</v>
      </c>
      <c r="AX123" s="24">
        <f t="shared" si="5"/>
        <v>-0.4598981461</v>
      </c>
      <c r="AY123" s="25">
        <f t="shared" si="6"/>
        <v>-0.4587399913</v>
      </c>
      <c r="AZ123" s="23">
        <f t="shared" si="7"/>
        <v>-0.3975376321</v>
      </c>
      <c r="BA123" s="25">
        <f t="shared" si="8"/>
        <v>-0.3018663674</v>
      </c>
      <c r="BB123" s="23">
        <f t="shared" si="9"/>
        <v>-0.3265241276</v>
      </c>
      <c r="BC123" s="24">
        <f t="shared" si="10"/>
        <v>-0.4254603329</v>
      </c>
      <c r="BD123" s="25">
        <f t="shared" si="11"/>
        <v>-0.3169112416</v>
      </c>
      <c r="BE123" s="26">
        <f t="shared" ref="BE123:BF123" si="250">((S123-S$289)/S$290)</f>
        <v>-0.4811858157</v>
      </c>
      <c r="BF123" s="26">
        <f t="shared" si="250"/>
        <v>1.3250449</v>
      </c>
    </row>
    <row r="124">
      <c r="A124" s="16" t="s">
        <v>67</v>
      </c>
      <c r="B124" s="20">
        <f t="shared" si="3"/>
        <v>0.2402086472</v>
      </c>
      <c r="C124" s="16" t="s">
        <v>68</v>
      </c>
      <c r="D124" s="16" t="s">
        <v>69</v>
      </c>
      <c r="E124" s="16">
        <v>155.0</v>
      </c>
      <c r="F124" s="21" t="s">
        <v>102</v>
      </c>
      <c r="G124" s="16" t="s">
        <v>71</v>
      </c>
      <c r="H124" s="21" t="s">
        <v>103</v>
      </c>
      <c r="I124" s="21" t="s">
        <v>73</v>
      </c>
      <c r="J124" s="21" t="s">
        <v>97</v>
      </c>
      <c r="K124" s="21" t="s">
        <v>99</v>
      </c>
      <c r="L124" s="16" t="s">
        <v>90</v>
      </c>
      <c r="M124" s="21" t="s">
        <v>85</v>
      </c>
      <c r="N124" s="16" t="s">
        <v>78</v>
      </c>
      <c r="O124" s="16" t="s">
        <v>86</v>
      </c>
      <c r="P124" s="16" t="s">
        <v>80</v>
      </c>
      <c r="Q124" s="21" t="s">
        <v>94</v>
      </c>
      <c r="S124" s="22">
        <v>405.193808555603</v>
      </c>
      <c r="T124" s="22">
        <v>392.813366889953</v>
      </c>
      <c r="U124" s="22">
        <v>2.81541747487187</v>
      </c>
      <c r="V124" s="22">
        <v>12.235404856776</v>
      </c>
      <c r="W124" s="22">
        <v>3.49791435812485</v>
      </c>
      <c r="X124" s="22">
        <v>0.630949371085162</v>
      </c>
      <c r="Y124" s="22">
        <v>0.0859315710881953</v>
      </c>
      <c r="Z124" s="22">
        <v>0.0108009271693885</v>
      </c>
      <c r="AA124" s="22">
        <v>0.103927509204197</v>
      </c>
      <c r="AB124" s="22">
        <v>0.74860631226904</v>
      </c>
      <c r="AC124" s="22">
        <v>0.0862993196849913</v>
      </c>
      <c r="AD124" s="22">
        <v>0.104188985043802</v>
      </c>
      <c r="AE124" s="22">
        <v>0.749255818950088</v>
      </c>
      <c r="AF124" s="22">
        <v>0.111280863205295</v>
      </c>
      <c r="AG124" s="22">
        <v>0.139066010514964</v>
      </c>
      <c r="AH124" s="22">
        <v>0.554640343145381</v>
      </c>
      <c r="AI124" s="22">
        <v>10.0</v>
      </c>
      <c r="AJ124" s="22">
        <v>2.81541747487186</v>
      </c>
      <c r="AK124" s="22">
        <v>12.2354048567759</v>
      </c>
      <c r="AL124" s="22">
        <v>3.49791435812485</v>
      </c>
      <c r="AM124" s="22">
        <v>0.630916945129912</v>
      </c>
      <c r="AN124" s="22">
        <v>2.38761451128472</v>
      </c>
      <c r="AO124" s="22">
        <v>8.30916322001216</v>
      </c>
      <c r="AP124" s="22">
        <v>2.8825619195452</v>
      </c>
      <c r="AQ124" s="22">
        <v>0.749255818950088</v>
      </c>
      <c r="AR124" s="22">
        <v>3.07877054867989</v>
      </c>
      <c r="AS124" s="22">
        <v>14.803202058633</v>
      </c>
      <c r="AT124" s="22">
        <v>3.8474929575807</v>
      </c>
      <c r="AU124" s="22">
        <v>0.554640343145381</v>
      </c>
      <c r="AV124" s="23">
        <f t="shared" ref="AV124:AW124" si="251">(AC124-AC$289)/AC$290</f>
        <v>-0.480269082</v>
      </c>
      <c r="AW124" s="24">
        <f t="shared" si="251"/>
        <v>-0.5196832231</v>
      </c>
      <c r="AX124" s="24">
        <f t="shared" si="5"/>
        <v>-0.2111539335</v>
      </c>
      <c r="AY124" s="25">
        <f t="shared" si="6"/>
        <v>-0.2623249105</v>
      </c>
      <c r="AZ124" s="23">
        <f t="shared" si="7"/>
        <v>-0.3772306156</v>
      </c>
      <c r="BA124" s="25">
        <f t="shared" si="8"/>
        <v>-0.4452278237</v>
      </c>
      <c r="BB124" s="23">
        <f t="shared" si="9"/>
        <v>-0.4160990369</v>
      </c>
      <c r="BC124" s="24">
        <f t="shared" si="10"/>
        <v>-0.2689516808</v>
      </c>
      <c r="BD124" s="25">
        <f t="shared" si="11"/>
        <v>-0.4423976259</v>
      </c>
      <c r="BE124" s="26">
        <f t="shared" ref="BE124:BF124" si="252">((S124-S$289)/S$290)</f>
        <v>-0.2934783437</v>
      </c>
      <c r="BF124" s="26">
        <f t="shared" si="252"/>
        <v>1.074521157</v>
      </c>
    </row>
    <row r="125">
      <c r="A125" s="16" t="s">
        <v>82</v>
      </c>
      <c r="B125" s="20">
        <f t="shared" si="3"/>
        <v>0.2349343081</v>
      </c>
      <c r="C125" s="16" t="s">
        <v>68</v>
      </c>
      <c r="D125" s="16" t="s">
        <v>69</v>
      </c>
      <c r="E125" s="16">
        <v>66.0</v>
      </c>
      <c r="F125" s="21" t="s">
        <v>70</v>
      </c>
      <c r="G125" s="16" t="s">
        <v>71</v>
      </c>
      <c r="H125" s="21" t="s">
        <v>72</v>
      </c>
      <c r="I125" s="21" t="s">
        <v>73</v>
      </c>
      <c r="J125" s="21" t="s">
        <v>97</v>
      </c>
      <c r="K125" s="21" t="s">
        <v>99</v>
      </c>
      <c r="L125" s="16" t="s">
        <v>90</v>
      </c>
      <c r="M125" s="21" t="s">
        <v>77</v>
      </c>
      <c r="N125" s="16" t="s">
        <v>95</v>
      </c>
      <c r="O125" s="16" t="s">
        <v>86</v>
      </c>
      <c r="P125" s="16" t="s">
        <v>80</v>
      </c>
      <c r="Q125" s="21" t="s">
        <v>94</v>
      </c>
      <c r="R125" s="21" t="s">
        <v>93</v>
      </c>
      <c r="S125" s="22">
        <v>237.54032254219</v>
      </c>
      <c r="T125" s="22">
        <v>131.056425571441</v>
      </c>
      <c r="U125" s="22">
        <v>2.9940004892494</v>
      </c>
      <c r="V125" s="22">
        <v>14.2100070638022</v>
      </c>
      <c r="W125" s="22">
        <v>3.76961630193342</v>
      </c>
      <c r="X125" s="22">
        <v>0.580968166461143</v>
      </c>
      <c r="Y125" s="22">
        <v>0.0957191483079876</v>
      </c>
      <c r="Z125" s="22">
        <v>0.0139939365816054</v>
      </c>
      <c r="AA125" s="22">
        <v>0.118295970267821</v>
      </c>
      <c r="AB125" s="22">
        <v>0.701094655314085</v>
      </c>
      <c r="AC125" s="22">
        <v>0.0960494516310856</v>
      </c>
      <c r="AD125" s="22">
        <v>0.118462220475392</v>
      </c>
      <c r="AE125" s="22">
        <v>0.702638122375458</v>
      </c>
      <c r="AF125" s="22">
        <v>0.116999438223442</v>
      </c>
      <c r="AG125" s="22">
        <v>0.148495797930714</v>
      </c>
      <c r="AH125" s="22">
        <v>0.536447957589558</v>
      </c>
      <c r="AI125" s="22">
        <v>10.0</v>
      </c>
      <c r="AJ125" s="22">
        <v>2.9940004892494</v>
      </c>
      <c r="AK125" s="22">
        <v>14.2100070638022</v>
      </c>
      <c r="AL125" s="22">
        <v>3.76961630193342</v>
      </c>
      <c r="AM125" s="22">
        <v>0.580886111961705</v>
      </c>
      <c r="AN125" s="22">
        <v>2.56932283113154</v>
      </c>
      <c r="AO125" s="22">
        <v>10.0417015711166</v>
      </c>
      <c r="AP125" s="22">
        <v>3.16886439771673</v>
      </c>
      <c r="AQ125" s="22">
        <v>0.702638122375458</v>
      </c>
      <c r="AR125" s="22">
        <v>3.12973497247709</v>
      </c>
      <c r="AS125" s="22">
        <v>15.7788701208287</v>
      </c>
      <c r="AT125" s="22">
        <v>3.97226259464662</v>
      </c>
      <c r="AU125" s="22">
        <v>0.536447957589558</v>
      </c>
      <c r="AV125" s="23">
        <f t="shared" ref="AV125:AW125" si="253">(AC125-AC$289)/AC$290</f>
        <v>-0.09951742985</v>
      </c>
      <c r="AW125" s="24">
        <f t="shared" si="253"/>
        <v>-0.05944231953</v>
      </c>
      <c r="AX125" s="24">
        <f t="shared" si="5"/>
        <v>-0.1240447235</v>
      </c>
      <c r="AY125" s="25">
        <f t="shared" si="6"/>
        <v>-0.08057861272</v>
      </c>
      <c r="AZ125" s="23">
        <f t="shared" si="7"/>
        <v>-0.04770172543</v>
      </c>
      <c r="BA125" s="25">
        <f t="shared" si="8"/>
        <v>-0.03168503163</v>
      </c>
      <c r="BB125" s="23">
        <f t="shared" si="9"/>
        <v>-0.208210446</v>
      </c>
      <c r="BC125" s="24">
        <f t="shared" si="10"/>
        <v>-0.1770300365</v>
      </c>
      <c r="BD125" s="25">
        <f t="shared" si="11"/>
        <v>-0.1456516928</v>
      </c>
      <c r="BE125" s="26">
        <f t="shared" ref="BE125:BF125" si="254">((S125-S$289)/S$290)</f>
        <v>-0.6153641088</v>
      </c>
      <c r="BF125" s="26">
        <f t="shared" si="254"/>
        <v>-0.9950512621</v>
      </c>
    </row>
    <row r="126">
      <c r="A126" s="16" t="s">
        <v>67</v>
      </c>
      <c r="B126" s="20">
        <f t="shared" si="3"/>
        <v>0.2321493753</v>
      </c>
      <c r="C126" s="16" t="s">
        <v>68</v>
      </c>
      <c r="D126" s="16" t="s">
        <v>69</v>
      </c>
      <c r="E126" s="16">
        <v>174.0</v>
      </c>
      <c r="F126" s="21" t="s">
        <v>102</v>
      </c>
      <c r="G126" s="16" t="s">
        <v>71</v>
      </c>
      <c r="H126" s="21" t="s">
        <v>103</v>
      </c>
      <c r="I126" s="21" t="s">
        <v>73</v>
      </c>
      <c r="J126" s="21" t="s">
        <v>74</v>
      </c>
      <c r="K126" s="21" t="s">
        <v>99</v>
      </c>
      <c r="L126" s="16" t="s">
        <v>76</v>
      </c>
      <c r="M126" s="21" t="s">
        <v>85</v>
      </c>
      <c r="N126" s="16" t="s">
        <v>78</v>
      </c>
      <c r="O126" s="16" t="s">
        <v>86</v>
      </c>
      <c r="P126" s="16" t="s">
        <v>80</v>
      </c>
      <c r="Q126" s="21" t="s">
        <v>81</v>
      </c>
      <c r="S126" s="22">
        <v>646.033650636673</v>
      </c>
      <c r="T126" s="22">
        <v>325.986479759216</v>
      </c>
      <c r="U126" s="22">
        <v>2.8653048300011</v>
      </c>
      <c r="V126" s="22">
        <v>12.5934278863921</v>
      </c>
      <c r="W126" s="22">
        <v>3.54872200748271</v>
      </c>
      <c r="X126" s="22">
        <v>0.620179505780483</v>
      </c>
      <c r="Y126" s="22">
        <v>0.075667556689915</v>
      </c>
      <c r="Z126" s="22">
        <v>0.00826220094691651</v>
      </c>
      <c r="AA126" s="22">
        <v>0.0908966498112912</v>
      </c>
      <c r="AB126" s="22">
        <v>0.807695660544191</v>
      </c>
      <c r="AC126" s="22">
        <v>0.0759380931721732</v>
      </c>
      <c r="AD126" s="22">
        <v>0.0910699635440188</v>
      </c>
      <c r="AE126" s="22">
        <v>0.808425555926691</v>
      </c>
      <c r="AF126" s="22">
        <v>0.119295544886641</v>
      </c>
      <c r="AG126" s="22">
        <v>0.147668181410036</v>
      </c>
      <c r="AH126" s="22">
        <v>0.497839284247149</v>
      </c>
      <c r="AI126" s="22">
        <v>10.0</v>
      </c>
      <c r="AJ126" s="22">
        <v>2.86530483000109</v>
      </c>
      <c r="AK126" s="22">
        <v>12.5934278863921</v>
      </c>
      <c r="AL126" s="22">
        <v>3.54872200748271</v>
      </c>
      <c r="AM126" s="22">
        <v>0.62011711994788</v>
      </c>
      <c r="AN126" s="22">
        <v>2.10095391109674</v>
      </c>
      <c r="AO126" s="22">
        <v>6.34839587472363</v>
      </c>
      <c r="AP126" s="22">
        <v>2.51960232471785</v>
      </c>
      <c r="AQ126" s="22">
        <v>0.808425555926691</v>
      </c>
      <c r="AR126" s="22">
        <v>3.30051007519723</v>
      </c>
      <c r="AS126" s="22">
        <v>16.6911987351917</v>
      </c>
      <c r="AT126" s="22">
        <v>4.08548635234433</v>
      </c>
      <c r="AU126" s="22">
        <v>0.497839284247149</v>
      </c>
      <c r="AV126" s="23">
        <f t="shared" ref="AV126:AW126" si="255">(AC126-AC$289)/AC$290</f>
        <v>-0.8848845411</v>
      </c>
      <c r="AW126" s="24">
        <f t="shared" si="255"/>
        <v>-0.942706464</v>
      </c>
      <c r="AX126" s="24">
        <f t="shared" si="5"/>
        <v>0.1678468193</v>
      </c>
      <c r="AY126" s="25">
        <f t="shared" si="6"/>
        <v>0.08434932377</v>
      </c>
      <c r="AZ126" s="23">
        <f t="shared" si="7"/>
        <v>-0.2851763694</v>
      </c>
      <c r="BA126" s="25">
        <f t="shared" si="8"/>
        <v>-0.3678962563</v>
      </c>
      <c r="BB126" s="23">
        <f t="shared" si="9"/>
        <v>-0.6799626371</v>
      </c>
      <c r="BC126" s="24">
        <f t="shared" si="10"/>
        <v>0.01805008228</v>
      </c>
      <c r="BD126" s="25">
        <f t="shared" si="11"/>
        <v>-0.3783410432</v>
      </c>
      <c r="BE126" s="26">
        <f t="shared" ref="BE126:BF126" si="256">((S126-S$289)/S$290)</f>
        <v>0.1689213277</v>
      </c>
      <c r="BF126" s="26">
        <f t="shared" si="256"/>
        <v>0.5461566298</v>
      </c>
    </row>
    <row r="127">
      <c r="A127" s="16" t="s">
        <v>67</v>
      </c>
      <c r="B127" s="20">
        <f t="shared" si="3"/>
        <v>0.2276450677</v>
      </c>
      <c r="C127" s="16" t="s">
        <v>68</v>
      </c>
      <c r="D127" s="16" t="s">
        <v>69</v>
      </c>
      <c r="E127" s="16">
        <v>233.0</v>
      </c>
      <c r="F127" s="21" t="s">
        <v>102</v>
      </c>
      <c r="G127" s="16" t="s">
        <v>100</v>
      </c>
      <c r="H127" s="21" t="s">
        <v>105</v>
      </c>
      <c r="I127" s="21" t="s">
        <v>73</v>
      </c>
      <c r="J127" s="21" t="s">
        <v>74</v>
      </c>
      <c r="K127" s="21" t="s">
        <v>75</v>
      </c>
      <c r="L127" s="16" t="s">
        <v>84</v>
      </c>
      <c r="M127" s="21" t="s">
        <v>85</v>
      </c>
      <c r="N127" s="16" t="s">
        <v>95</v>
      </c>
      <c r="O127" s="16" t="s">
        <v>86</v>
      </c>
      <c r="P127" s="16" t="s">
        <v>80</v>
      </c>
      <c r="Q127" s="21" t="s">
        <v>87</v>
      </c>
      <c r="S127" s="22">
        <v>630.281728506088</v>
      </c>
      <c r="T127" s="22">
        <v>438.358229398727</v>
      </c>
      <c r="U127" s="22">
        <v>2.72502675112544</v>
      </c>
      <c r="V127" s="22">
        <v>11.7816466205829</v>
      </c>
      <c r="W127" s="22">
        <v>3.43244033022905</v>
      </c>
      <c r="X127" s="22">
        <v>0.64388191782037</v>
      </c>
      <c r="Y127" s="22">
        <v>0.0837044046994127</v>
      </c>
      <c r="Z127" s="22">
        <v>0.0101914470292232</v>
      </c>
      <c r="AA127" s="22">
        <v>0.100952696988358</v>
      </c>
      <c r="AB127" s="22">
        <v>0.759681925377508</v>
      </c>
      <c r="AC127" s="22">
        <v>0.0844003650948641</v>
      </c>
      <c r="AD127" s="22">
        <v>0.101506265414181</v>
      </c>
      <c r="AE127" s="22">
        <v>0.760859675269905</v>
      </c>
      <c r="AF127" s="22">
        <v>0.110339003665073</v>
      </c>
      <c r="AG127" s="22">
        <v>0.138358008537945</v>
      </c>
      <c r="AH127" s="22">
        <v>0.55980241654854</v>
      </c>
      <c r="AI127" s="22">
        <v>10.0</v>
      </c>
      <c r="AJ127" s="22">
        <v>2.72502675112543</v>
      </c>
      <c r="AK127" s="22">
        <v>11.7816466205829</v>
      </c>
      <c r="AL127" s="22">
        <v>3.43244033022905</v>
      </c>
      <c r="AM127" s="22">
        <v>0.643738420190628</v>
      </c>
      <c r="AN127" s="22">
        <v>2.33507676762453</v>
      </c>
      <c r="AO127" s="22">
        <v>7.88677361060046</v>
      </c>
      <c r="AP127" s="22">
        <v>2.80834000979234</v>
      </c>
      <c r="AQ127" s="22">
        <v>0.760859675269905</v>
      </c>
      <c r="AR127" s="22">
        <v>3.0527124347337</v>
      </c>
      <c r="AS127" s="22">
        <v>14.652855945517</v>
      </c>
      <c r="AT127" s="22">
        <v>3.82790490288317</v>
      </c>
      <c r="AU127" s="22">
        <v>0.55980241654854</v>
      </c>
      <c r="AV127" s="23">
        <f t="shared" ref="AV127:AW127" si="257">(AC127-AC$289)/AC$290</f>
        <v>-0.5544250116</v>
      </c>
      <c r="AW127" s="24">
        <f t="shared" si="257"/>
        <v>-0.6061875979</v>
      </c>
      <c r="AX127" s="24">
        <f t="shared" si="5"/>
        <v>-0.2556928795</v>
      </c>
      <c r="AY127" s="25">
        <f t="shared" si="6"/>
        <v>-0.2908579455</v>
      </c>
      <c r="AZ127" s="23">
        <f t="shared" si="7"/>
        <v>-0.5440233813</v>
      </c>
      <c r="BA127" s="25">
        <f t="shared" si="8"/>
        <v>-0.5448822903</v>
      </c>
      <c r="BB127" s="23">
        <f t="shared" si="9"/>
        <v>-0.4678456808</v>
      </c>
      <c r="BC127" s="24">
        <f t="shared" si="10"/>
        <v>-0.2950343665</v>
      </c>
      <c r="BD127" s="25">
        <f t="shared" si="11"/>
        <v>-0.5184451418</v>
      </c>
      <c r="BE127" s="26">
        <f t="shared" ref="BE127:BF127" si="258">((S127-S$289)/S$290)</f>
        <v>0.1386784761</v>
      </c>
      <c r="BF127" s="26">
        <f t="shared" si="258"/>
        <v>1.434620074</v>
      </c>
    </row>
    <row r="128">
      <c r="A128" s="16" t="s">
        <v>67</v>
      </c>
      <c r="B128" s="20">
        <f t="shared" si="3"/>
        <v>0.2184899003</v>
      </c>
      <c r="C128" s="16" t="s">
        <v>68</v>
      </c>
      <c r="D128" s="16" t="s">
        <v>69</v>
      </c>
      <c r="E128" s="16">
        <v>165.0</v>
      </c>
      <c r="F128" s="21" t="s">
        <v>102</v>
      </c>
      <c r="G128" s="16" t="s">
        <v>71</v>
      </c>
      <c r="H128" s="21" t="s">
        <v>103</v>
      </c>
      <c r="I128" s="21" t="s">
        <v>73</v>
      </c>
      <c r="J128" s="21" t="s">
        <v>97</v>
      </c>
      <c r="K128" s="21" t="s">
        <v>99</v>
      </c>
      <c r="L128" s="16" t="s">
        <v>76</v>
      </c>
      <c r="M128" s="21" t="s">
        <v>85</v>
      </c>
      <c r="N128" s="16" t="s">
        <v>95</v>
      </c>
      <c r="O128" s="16" t="s">
        <v>86</v>
      </c>
      <c r="P128" s="16" t="s">
        <v>80</v>
      </c>
      <c r="Q128" s="21" t="s">
        <v>81</v>
      </c>
      <c r="S128" s="22">
        <v>542.4179418087</v>
      </c>
      <c r="T128" s="22">
        <v>395.593483448028</v>
      </c>
      <c r="U128" s="22">
        <v>2.89707677647163</v>
      </c>
      <c r="V128" s="22">
        <v>12.8065988694393</v>
      </c>
      <c r="W128" s="22">
        <v>3.57863086521079</v>
      </c>
      <c r="X128" s="22">
        <v>0.613726272377681</v>
      </c>
      <c r="Y128" s="22">
        <v>0.0878331970293031</v>
      </c>
      <c r="Z128" s="22">
        <v>0.0110825176255402</v>
      </c>
      <c r="AA128" s="22">
        <v>0.105273537156971</v>
      </c>
      <c r="AB128" s="22">
        <v>0.742052239448102</v>
      </c>
      <c r="AC128" s="22">
        <v>0.0881689119207534</v>
      </c>
      <c r="AD128" s="22">
        <v>0.105500102803245</v>
      </c>
      <c r="AE128" s="22">
        <v>0.742905364883492</v>
      </c>
      <c r="AF128" s="22">
        <v>0.10730833289526</v>
      </c>
      <c r="AG128" s="22">
        <v>0.133819596798651</v>
      </c>
      <c r="AH128" s="22">
        <v>0.587609819321625</v>
      </c>
      <c r="AI128" s="22">
        <v>10.0</v>
      </c>
      <c r="AJ128" s="22">
        <v>2.89707677647162</v>
      </c>
      <c r="AK128" s="22">
        <v>12.8065988694393</v>
      </c>
      <c r="AL128" s="22">
        <v>3.57863086521079</v>
      </c>
      <c r="AM128" s="22">
        <v>0.613686781225646</v>
      </c>
      <c r="AN128" s="22">
        <v>2.43933989647416</v>
      </c>
      <c r="AO128" s="22">
        <v>8.51960463141239</v>
      </c>
      <c r="AP128" s="22">
        <v>2.91883617755645</v>
      </c>
      <c r="AQ128" s="22">
        <v>0.742905364883492</v>
      </c>
      <c r="AR128" s="22">
        <v>2.9688638767689</v>
      </c>
      <c r="AS128" s="22">
        <v>13.7073376037088</v>
      </c>
      <c r="AT128" s="22">
        <v>3.70234217809602</v>
      </c>
      <c r="AU128" s="22">
        <v>0.587609819321625</v>
      </c>
      <c r="AV128" s="23">
        <f t="shared" ref="AV128:AW128" si="259">(AC128-AC$289)/AC$290</f>
        <v>-0.4072597795</v>
      </c>
      <c r="AW128" s="24">
        <f t="shared" si="259"/>
        <v>-0.4774061917</v>
      </c>
      <c r="AX128" s="24">
        <f t="shared" si="5"/>
        <v>-0.3990081787</v>
      </c>
      <c r="AY128" s="25">
        <f t="shared" si="6"/>
        <v>-0.4737594983</v>
      </c>
      <c r="AZ128" s="23">
        <f t="shared" si="7"/>
        <v>-0.2265494373</v>
      </c>
      <c r="BA128" s="25">
        <f t="shared" si="8"/>
        <v>-0.3223736062</v>
      </c>
      <c r="BB128" s="23">
        <f t="shared" si="9"/>
        <v>-0.3877795994</v>
      </c>
      <c r="BC128" s="24">
        <f t="shared" si="10"/>
        <v>-0.435538325</v>
      </c>
      <c r="BD128" s="25">
        <f t="shared" si="11"/>
        <v>-0.3402010255</v>
      </c>
      <c r="BE128" s="26">
        <f t="shared" ref="BE128:BF128" si="260">((S128-S$289)/S$290)</f>
        <v>-0.03001531539</v>
      </c>
      <c r="BF128" s="26">
        <f t="shared" si="260"/>
        <v>1.096502054</v>
      </c>
    </row>
    <row r="129">
      <c r="A129" s="16" t="s">
        <v>82</v>
      </c>
      <c r="B129" s="20">
        <f t="shared" si="3"/>
        <v>0.2124270239</v>
      </c>
      <c r="C129" s="16" t="s">
        <v>68</v>
      </c>
      <c r="D129" s="16" t="s">
        <v>69</v>
      </c>
      <c r="E129" s="16">
        <v>197.0</v>
      </c>
      <c r="F129" s="21" t="s">
        <v>102</v>
      </c>
      <c r="G129" s="16" t="s">
        <v>71</v>
      </c>
      <c r="H129" s="21" t="s">
        <v>103</v>
      </c>
      <c r="I129" s="21" t="s">
        <v>73</v>
      </c>
      <c r="J129" s="21" t="s">
        <v>74</v>
      </c>
      <c r="K129" s="21" t="s">
        <v>75</v>
      </c>
      <c r="L129" s="16" t="s">
        <v>76</v>
      </c>
      <c r="M129" s="21" t="s">
        <v>77</v>
      </c>
      <c r="N129" s="16" t="s">
        <v>78</v>
      </c>
      <c r="O129" s="16" t="s">
        <v>86</v>
      </c>
      <c r="P129" s="16" t="s">
        <v>80</v>
      </c>
      <c r="Q129" s="21" t="s">
        <v>81</v>
      </c>
      <c r="R129" s="21" t="s">
        <v>81</v>
      </c>
      <c r="S129" s="22">
        <v>367.552865266799</v>
      </c>
      <c r="T129" s="22">
        <v>328.937536954879</v>
      </c>
      <c r="U129" s="22">
        <v>2.84562682530544</v>
      </c>
      <c r="V129" s="22">
        <v>12.7385586238723</v>
      </c>
      <c r="W129" s="22">
        <v>3.56911174157834</v>
      </c>
      <c r="X129" s="22">
        <v>0.615768799623364</v>
      </c>
      <c r="Y129" s="22">
        <v>0.093397686516832</v>
      </c>
      <c r="Z129" s="22">
        <v>0.0130030115142121</v>
      </c>
      <c r="AA129" s="22">
        <v>0.114030748108622</v>
      </c>
      <c r="AB129" s="22">
        <v>0.697352369393769</v>
      </c>
      <c r="AC129" s="22">
        <v>0.0938651690071821</v>
      </c>
      <c r="AD129" s="22">
        <v>0.114390758330748</v>
      </c>
      <c r="AE129" s="22">
        <v>0.697748039401148</v>
      </c>
      <c r="AF129" s="22">
        <v>0.108184534281005</v>
      </c>
      <c r="AG129" s="22">
        <v>0.13797802960094</v>
      </c>
      <c r="AH129" s="22">
        <v>0.561581613667796</v>
      </c>
      <c r="AI129" s="22">
        <v>10.0</v>
      </c>
      <c r="AJ129" s="22">
        <v>2.84562682530543</v>
      </c>
      <c r="AK129" s="22">
        <v>12.7385586238723</v>
      </c>
      <c r="AL129" s="22">
        <v>3.56911174157834</v>
      </c>
      <c r="AM129" s="22">
        <v>0.615739226729652</v>
      </c>
      <c r="AN129" s="22">
        <v>2.59693634253203</v>
      </c>
      <c r="AO129" s="22">
        <v>10.0160285421922</v>
      </c>
      <c r="AP129" s="22">
        <v>3.16481098048402</v>
      </c>
      <c r="AQ129" s="22">
        <v>0.697748039401148</v>
      </c>
      <c r="AR129" s="22">
        <v>2.99310544844113</v>
      </c>
      <c r="AS129" s="22">
        <v>14.5724828443857</v>
      </c>
      <c r="AT129" s="22">
        <v>3.81739215229268</v>
      </c>
      <c r="AU129" s="22">
        <v>0.561581613667796</v>
      </c>
      <c r="AV129" s="23">
        <f t="shared" ref="AV129:AW129" si="261">(AC129-AC$289)/AC$290</f>
        <v>-0.1848156825</v>
      </c>
      <c r="AW129" s="24">
        <f t="shared" si="261"/>
        <v>-0.1907267382</v>
      </c>
      <c r="AX129" s="24">
        <f t="shared" si="5"/>
        <v>-0.3575740959</v>
      </c>
      <c r="AY129" s="25">
        <f t="shared" si="6"/>
        <v>-0.3061713947</v>
      </c>
      <c r="AZ129" s="23">
        <f t="shared" si="7"/>
        <v>-0.3214870514</v>
      </c>
      <c r="BA129" s="25">
        <f t="shared" si="8"/>
        <v>-0.3368621479</v>
      </c>
      <c r="BB129" s="23">
        <f t="shared" si="9"/>
        <v>-0.1864034384</v>
      </c>
      <c r="BC129" s="24">
        <f t="shared" si="10"/>
        <v>-0.3040242114</v>
      </c>
      <c r="BD129" s="25">
        <f t="shared" si="11"/>
        <v>-0.3523746156</v>
      </c>
      <c r="BE129" s="26">
        <f t="shared" ref="BE129:BF129" si="262">((S129-S$289)/S$290)</f>
        <v>-0.3657469503</v>
      </c>
      <c r="BF129" s="26">
        <f t="shared" si="262"/>
        <v>0.5694890638</v>
      </c>
    </row>
    <row r="130">
      <c r="A130" s="16" t="s">
        <v>67</v>
      </c>
      <c r="B130" s="20">
        <f t="shared" si="3"/>
        <v>0.2114614027</v>
      </c>
      <c r="C130" s="16" t="s">
        <v>68</v>
      </c>
      <c r="D130" s="16" t="s">
        <v>69</v>
      </c>
      <c r="E130" s="16">
        <v>93.0</v>
      </c>
      <c r="F130" s="21" t="s">
        <v>70</v>
      </c>
      <c r="G130" s="16" t="s">
        <v>100</v>
      </c>
      <c r="H130" s="21" t="s">
        <v>101</v>
      </c>
      <c r="I130" s="21" t="s">
        <v>73</v>
      </c>
      <c r="J130" s="21" t="s">
        <v>83</v>
      </c>
      <c r="K130" s="21" t="s">
        <v>99</v>
      </c>
      <c r="L130" s="16" t="s">
        <v>90</v>
      </c>
      <c r="M130" s="21" t="s">
        <v>85</v>
      </c>
      <c r="N130" s="16" t="s">
        <v>91</v>
      </c>
      <c r="O130" s="16" t="s">
        <v>92</v>
      </c>
      <c r="P130" s="16" t="s">
        <v>80</v>
      </c>
      <c r="Q130" s="21" t="s">
        <v>94</v>
      </c>
      <c r="S130" s="22">
        <v>297.839946746826</v>
      </c>
      <c r="T130" s="22">
        <v>129.033551692962</v>
      </c>
      <c r="U130" s="22">
        <v>2.97207465572647</v>
      </c>
      <c r="V130" s="22">
        <v>14.7813213873547</v>
      </c>
      <c r="W130" s="22">
        <v>3.84464840880862</v>
      </c>
      <c r="X130" s="22">
        <v>0.562829762624705</v>
      </c>
      <c r="Y130" s="22">
        <v>0.0876796629635081</v>
      </c>
      <c r="Z130" s="22">
        <v>0.012212679751866</v>
      </c>
      <c r="AA130" s="22">
        <v>0.11051099380544</v>
      </c>
      <c r="AB130" s="22">
        <v>0.7355029125406</v>
      </c>
      <c r="AC130" s="22">
        <v>0.088496549246339</v>
      </c>
      <c r="AD130" s="22">
        <v>0.111106464242247</v>
      </c>
      <c r="AE130" s="22">
        <v>0.73706494067012</v>
      </c>
      <c r="AF130" s="22">
        <v>0.120172626181657</v>
      </c>
      <c r="AG130" s="22">
        <v>0.155580109214043</v>
      </c>
      <c r="AH130" s="22">
        <v>0.488711875575792</v>
      </c>
      <c r="AI130" s="22">
        <v>10.0</v>
      </c>
      <c r="AJ130" s="22">
        <v>2.97207465572648</v>
      </c>
      <c r="AK130" s="22">
        <v>14.7813213873547</v>
      </c>
      <c r="AL130" s="22">
        <v>3.84464840880862</v>
      </c>
      <c r="AM130" s="22">
        <v>0.562675335441266</v>
      </c>
      <c r="AN130" s="22">
        <v>2.36728269233956</v>
      </c>
      <c r="AO130" s="22">
        <v>8.83336603703392</v>
      </c>
      <c r="AP130" s="22">
        <v>2.97209791848013</v>
      </c>
      <c r="AQ130" s="22">
        <v>0.73706494067012</v>
      </c>
      <c r="AR130" s="22">
        <v>3.21461775035934</v>
      </c>
      <c r="AS130" s="22">
        <v>17.3203122322238</v>
      </c>
      <c r="AT130" s="22">
        <v>4.16176792147566</v>
      </c>
      <c r="AU130" s="22">
        <v>0.488711875575792</v>
      </c>
      <c r="AV130" s="23">
        <f t="shared" ref="AV130:AW130" si="263">(AC130-AC$289)/AC$290</f>
        <v>-0.3944652395</v>
      </c>
      <c r="AW130" s="24">
        <f t="shared" si="263"/>
        <v>-0.2966288994</v>
      </c>
      <c r="AX130" s="24">
        <f t="shared" si="5"/>
        <v>0.02103828097</v>
      </c>
      <c r="AY130" s="25">
        <f t="shared" si="6"/>
        <v>0.1954652419</v>
      </c>
      <c r="AZ130" s="23">
        <f t="shared" si="7"/>
        <v>-0.08816019576</v>
      </c>
      <c r="BA130" s="25">
        <f t="shared" si="8"/>
        <v>0.08251726864</v>
      </c>
      <c r="BB130" s="23">
        <f t="shared" si="9"/>
        <v>-0.3617346068</v>
      </c>
      <c r="BC130" s="24">
        <f t="shared" si="10"/>
        <v>0.06416863063</v>
      </c>
      <c r="BD130" s="25">
        <f t="shared" si="11"/>
        <v>-0.0376388229</v>
      </c>
      <c r="BE130" s="26">
        <f t="shared" ref="BE130:BF130" si="264">((S130-S$289)/S$290)</f>
        <v>-0.4995920414</v>
      </c>
      <c r="BF130" s="26">
        <f t="shared" si="264"/>
        <v>-1.011045046</v>
      </c>
    </row>
    <row r="131">
      <c r="A131" s="16" t="s">
        <v>82</v>
      </c>
      <c r="B131" s="20">
        <f t="shared" si="3"/>
        <v>0.2025906142</v>
      </c>
      <c r="C131" s="16" t="s">
        <v>68</v>
      </c>
      <c r="D131" s="16" t="s">
        <v>69</v>
      </c>
      <c r="E131" s="16">
        <v>270.0</v>
      </c>
      <c r="F131" s="21" t="s">
        <v>102</v>
      </c>
      <c r="G131" s="16" t="s">
        <v>100</v>
      </c>
      <c r="H131" s="21" t="s">
        <v>105</v>
      </c>
      <c r="I131" s="21" t="s">
        <v>73</v>
      </c>
      <c r="J131" s="21" t="s">
        <v>83</v>
      </c>
      <c r="K131" s="21" t="s">
        <v>75</v>
      </c>
      <c r="L131" s="16" t="s">
        <v>76</v>
      </c>
      <c r="M131" s="21" t="s">
        <v>85</v>
      </c>
      <c r="N131" s="16" t="s">
        <v>78</v>
      </c>
      <c r="O131" s="16" t="s">
        <v>92</v>
      </c>
      <c r="P131" s="16" t="s">
        <v>80</v>
      </c>
      <c r="Q131" s="21" t="s">
        <v>81</v>
      </c>
      <c r="S131" s="22">
        <v>240.557382345199</v>
      </c>
      <c r="T131" s="22">
        <v>318.443356275558</v>
      </c>
      <c r="U131" s="22">
        <v>2.89542657752337</v>
      </c>
      <c r="V131" s="22">
        <v>13.7155864884117</v>
      </c>
      <c r="W131" s="22">
        <v>3.70345601950552</v>
      </c>
      <c r="X131" s="22">
        <v>0.585375123605966</v>
      </c>
      <c r="Y131" s="22">
        <v>0.0804470940169408</v>
      </c>
      <c r="Z131" s="22">
        <v>0.00985106415997883</v>
      </c>
      <c r="AA131" s="22">
        <v>0.0992525272221258</v>
      </c>
      <c r="AB131" s="22">
        <v>0.767708278802761</v>
      </c>
      <c r="AC131" s="22">
        <v>0.0813286689803901</v>
      </c>
      <c r="AD131" s="22">
        <v>0.100037166390925</v>
      </c>
      <c r="AE131" s="22">
        <v>0.767731733560374</v>
      </c>
      <c r="AF131" s="22">
        <v>0.117106410606596</v>
      </c>
      <c r="AG131" s="22">
        <v>0.1488921428674</v>
      </c>
      <c r="AH131" s="22">
        <v>0.490220214639363</v>
      </c>
      <c r="AI131" s="22">
        <v>10.0</v>
      </c>
      <c r="AJ131" s="22">
        <v>2.89542657752336</v>
      </c>
      <c r="AK131" s="22">
        <v>13.7155864884117</v>
      </c>
      <c r="AL131" s="22">
        <v>3.70345601950552</v>
      </c>
      <c r="AM131" s="22">
        <v>0.585258608772307</v>
      </c>
      <c r="AN131" s="22">
        <v>2.25009317512407</v>
      </c>
      <c r="AO131" s="22">
        <v>7.66013526327469</v>
      </c>
      <c r="AP131" s="22">
        <v>2.76769493681559</v>
      </c>
      <c r="AQ131" s="22">
        <v>0.767731733560374</v>
      </c>
      <c r="AR131" s="22">
        <v>3.23994402678254</v>
      </c>
      <c r="AS131" s="22">
        <v>16.9690385400529</v>
      </c>
      <c r="AT131" s="22">
        <v>4.11934928599809</v>
      </c>
      <c r="AU131" s="22">
        <v>0.490220214639363</v>
      </c>
      <c r="AV131" s="23">
        <f t="shared" ref="AV131:AW131" si="265">(AC131-AC$289)/AC$290</f>
        <v>-0.6743775801</v>
      </c>
      <c r="AW131" s="24">
        <f t="shared" si="265"/>
        <v>-0.6535587398</v>
      </c>
      <c r="AX131" s="24">
        <f t="shared" si="5"/>
        <v>0.06432635856</v>
      </c>
      <c r="AY131" s="25">
        <f t="shared" si="6"/>
        <v>0.1336759305</v>
      </c>
      <c r="AZ131" s="23">
        <f t="shared" si="7"/>
        <v>-0.2295944538</v>
      </c>
      <c r="BA131" s="25">
        <f t="shared" si="8"/>
        <v>-0.1323840091</v>
      </c>
      <c r="BB131" s="23">
        <f t="shared" si="9"/>
        <v>-0.4984911785</v>
      </c>
      <c r="BC131" s="24">
        <f t="shared" si="10"/>
        <v>0.05654736478</v>
      </c>
      <c r="BD131" s="25">
        <f t="shared" si="11"/>
        <v>-0.1715861129</v>
      </c>
      <c r="BE131" s="26">
        <f t="shared" ref="BE131:BF131" si="266">((S131-S$289)/S$290)</f>
        <v>-0.6095715146</v>
      </c>
      <c r="BF131" s="26">
        <f t="shared" si="266"/>
        <v>0.4865171786</v>
      </c>
    </row>
    <row r="132">
      <c r="A132" s="16" t="s">
        <v>82</v>
      </c>
      <c r="B132" s="20">
        <f t="shared" si="3"/>
        <v>0.2015079398</v>
      </c>
      <c r="C132" s="16" t="s">
        <v>68</v>
      </c>
      <c r="D132" s="16" t="s">
        <v>69</v>
      </c>
      <c r="E132" s="16">
        <v>276.0</v>
      </c>
      <c r="F132" s="21" t="s">
        <v>102</v>
      </c>
      <c r="G132" s="16" t="s">
        <v>100</v>
      </c>
      <c r="H132" s="21" t="s">
        <v>105</v>
      </c>
      <c r="I132" s="21" t="s">
        <v>73</v>
      </c>
      <c r="J132" s="21" t="s">
        <v>83</v>
      </c>
      <c r="K132" s="21" t="s">
        <v>75</v>
      </c>
      <c r="L132" s="16" t="s">
        <v>84</v>
      </c>
      <c r="M132" s="21" t="s">
        <v>85</v>
      </c>
      <c r="N132" s="16" t="s">
        <v>78</v>
      </c>
      <c r="O132" s="16" t="s">
        <v>86</v>
      </c>
      <c r="P132" s="16" t="s">
        <v>80</v>
      </c>
      <c r="Q132" s="21" t="s">
        <v>94</v>
      </c>
      <c r="S132" s="22">
        <v>388.749512672424</v>
      </c>
      <c r="T132" s="22">
        <v>391.621129512786</v>
      </c>
      <c r="U132" s="22">
        <v>2.73474740222799</v>
      </c>
      <c r="V132" s="22">
        <v>12.2257201852922</v>
      </c>
      <c r="W132" s="22">
        <v>3.49652973465009</v>
      </c>
      <c r="X132" s="22">
        <v>0.63041328499063</v>
      </c>
      <c r="Y132" s="22">
        <v>0.0828225662378571</v>
      </c>
      <c r="Z132" s="22">
        <v>0.0108140154855486</v>
      </c>
      <c r="AA132" s="22">
        <v>0.103990458627456</v>
      </c>
      <c r="AB132" s="22">
        <v>0.745001531875407</v>
      </c>
      <c r="AC132" s="22">
        <v>0.0836701804247547</v>
      </c>
      <c r="AD132" s="22">
        <v>0.104675803557819</v>
      </c>
      <c r="AE132" s="22">
        <v>0.745692175700087</v>
      </c>
      <c r="AF132" s="22">
        <v>0.115842717910425</v>
      </c>
      <c r="AG132" s="22">
        <v>0.145508971984367</v>
      </c>
      <c r="AH132" s="22">
        <v>0.513123745223758</v>
      </c>
      <c r="AI132" s="22">
        <v>10.0</v>
      </c>
      <c r="AJ132" s="22">
        <v>2.73474740222798</v>
      </c>
      <c r="AK132" s="22">
        <v>12.2257201852922</v>
      </c>
      <c r="AL132" s="22">
        <v>3.49652973465009</v>
      </c>
      <c r="AM132" s="22">
        <v>0.630310216577856</v>
      </c>
      <c r="AN132" s="22">
        <v>2.31487499175148</v>
      </c>
      <c r="AO132" s="22">
        <v>8.3869930339915</v>
      </c>
      <c r="AP132" s="22">
        <v>2.89603056509966</v>
      </c>
      <c r="AQ132" s="22">
        <v>0.745692175700087</v>
      </c>
      <c r="AR132" s="22">
        <v>3.2049818621885</v>
      </c>
      <c r="AS132" s="22">
        <v>16.206648770292</v>
      </c>
      <c r="AT132" s="22">
        <v>4.02574822490081</v>
      </c>
      <c r="AU132" s="22">
        <v>0.513123745223758</v>
      </c>
      <c r="AV132" s="23">
        <f t="shared" ref="AV132:AW132" si="267">(AC132-AC$289)/AC$290</f>
        <v>-0.5829393969</v>
      </c>
      <c r="AW132" s="24">
        <f t="shared" si="267"/>
        <v>-0.5039857456</v>
      </c>
      <c r="AX132" s="24">
        <f t="shared" si="5"/>
        <v>0.004568466462</v>
      </c>
      <c r="AY132" s="25">
        <f t="shared" si="6"/>
        <v>-0.002668509669</v>
      </c>
      <c r="AZ132" s="23">
        <f t="shared" si="7"/>
        <v>-0.526086427</v>
      </c>
      <c r="BA132" s="25">
        <f t="shared" si="8"/>
        <v>-0.447335284</v>
      </c>
      <c r="BB132" s="23">
        <f t="shared" si="9"/>
        <v>-0.4002072013</v>
      </c>
      <c r="BC132" s="24">
        <f t="shared" si="10"/>
        <v>-0.05917853516</v>
      </c>
      <c r="BD132" s="25">
        <f t="shared" si="11"/>
        <v>-0.4387989605</v>
      </c>
      <c r="BE132" s="26">
        <f t="shared" ref="BE132:BF132" si="268">((S132-S$289)/S$290)</f>
        <v>-0.3250505161</v>
      </c>
      <c r="BF132" s="26">
        <f t="shared" si="268"/>
        <v>1.065094772</v>
      </c>
    </row>
    <row r="133">
      <c r="A133" s="16" t="s">
        <v>67</v>
      </c>
      <c r="B133" s="20">
        <f t="shared" si="3"/>
        <v>0.1967913185</v>
      </c>
      <c r="C133" s="16" t="s">
        <v>68</v>
      </c>
      <c r="D133" s="16" t="s">
        <v>69</v>
      </c>
      <c r="E133" s="16">
        <v>28.0</v>
      </c>
      <c r="F133" s="21" t="s">
        <v>70</v>
      </c>
      <c r="G133" s="16" t="s">
        <v>71</v>
      </c>
      <c r="H133" s="21" t="s">
        <v>72</v>
      </c>
      <c r="I133" s="21" t="s">
        <v>73</v>
      </c>
      <c r="J133" s="21" t="s">
        <v>83</v>
      </c>
      <c r="K133" s="21" t="s">
        <v>99</v>
      </c>
      <c r="L133" s="16" t="s">
        <v>76</v>
      </c>
      <c r="M133" s="21" t="s">
        <v>85</v>
      </c>
      <c r="N133" s="16" t="s">
        <v>91</v>
      </c>
      <c r="O133" s="16" t="s">
        <v>92</v>
      </c>
      <c r="P133" s="16" t="s">
        <v>80</v>
      </c>
      <c r="Q133" s="21" t="s">
        <v>81</v>
      </c>
      <c r="S133" s="22">
        <v>282.605815887451</v>
      </c>
      <c r="T133" s="22">
        <v>126.885683774948</v>
      </c>
      <c r="U133" s="22">
        <v>2.96482664164217</v>
      </c>
      <c r="V133" s="22">
        <v>13.6254790865414</v>
      </c>
      <c r="W133" s="22">
        <v>3.69127066015774</v>
      </c>
      <c r="X133" s="22">
        <v>0.598219222529595</v>
      </c>
      <c r="Y133" s="22">
        <v>0.100644552886066</v>
      </c>
      <c r="Z133" s="22">
        <v>0.0147536424526615</v>
      </c>
      <c r="AA133" s="22">
        <v>0.121464572829535</v>
      </c>
      <c r="AB133" s="22">
        <v>0.684867616987612</v>
      </c>
      <c r="AC133" s="22">
        <v>0.100987695998769</v>
      </c>
      <c r="AD133" s="22">
        <v>0.121659887328492</v>
      </c>
      <c r="AE133" s="22">
        <v>0.686367996435134</v>
      </c>
      <c r="AF133" s="22">
        <v>0.119999006313415</v>
      </c>
      <c r="AG133" s="22">
        <v>0.150414873550311</v>
      </c>
      <c r="AH133" s="22">
        <v>0.52438916907932</v>
      </c>
      <c r="AI133" s="22">
        <v>10.0</v>
      </c>
      <c r="AJ133" s="22">
        <v>2.96482664164217</v>
      </c>
      <c r="AK133" s="22">
        <v>13.6254790865414</v>
      </c>
      <c r="AL133" s="22">
        <v>3.69127066015774</v>
      </c>
      <c r="AM133" s="22">
        <v>0.59812634218235</v>
      </c>
      <c r="AN133" s="22">
        <v>2.70142086796708</v>
      </c>
      <c r="AO133" s="22">
        <v>10.5911322867227</v>
      </c>
      <c r="AP133" s="22">
        <v>3.25440198603718</v>
      </c>
      <c r="AQ133" s="22">
        <v>0.686367996435134</v>
      </c>
      <c r="AR133" s="22">
        <v>3.20997341888387</v>
      </c>
      <c r="AS133" s="22">
        <v>16.1893397991159</v>
      </c>
      <c r="AT133" s="22">
        <v>4.02359786747084</v>
      </c>
      <c r="AU133" s="22">
        <v>0.524389169079319</v>
      </c>
      <c r="AV133" s="23">
        <f t="shared" ref="AV133:AW133" si="269">(AC133-AC$289)/AC$290</f>
        <v>0.09332557087</v>
      </c>
      <c r="AW133" s="24">
        <f t="shared" si="269"/>
        <v>0.04366654384</v>
      </c>
      <c r="AX133" s="24">
        <f t="shared" si="5"/>
        <v>0.01310011517</v>
      </c>
      <c r="AY133" s="25">
        <f t="shared" si="6"/>
        <v>-0.005800838262</v>
      </c>
      <c r="AZ133" s="23">
        <f t="shared" si="7"/>
        <v>-0.1015345362</v>
      </c>
      <c r="BA133" s="25">
        <f t="shared" si="8"/>
        <v>-0.1509306836</v>
      </c>
      <c r="BB133" s="23">
        <f t="shared" si="9"/>
        <v>-0.1356548757</v>
      </c>
      <c r="BC133" s="24">
        <f t="shared" si="10"/>
        <v>-0.1160999477</v>
      </c>
      <c r="BD133" s="25">
        <f t="shared" si="11"/>
        <v>-0.2479079991</v>
      </c>
      <c r="BE133" s="26">
        <f t="shared" ref="BE133:BF133" si="270">((S133-S$289)/S$290)</f>
        <v>-0.5288407614</v>
      </c>
      <c r="BF133" s="26">
        <f t="shared" si="270"/>
        <v>-1.028027091</v>
      </c>
    </row>
    <row r="134">
      <c r="A134" s="16" t="s">
        <v>82</v>
      </c>
      <c r="B134" s="20">
        <f t="shared" si="3"/>
        <v>0.193190742</v>
      </c>
      <c r="C134" s="16" t="s">
        <v>68</v>
      </c>
      <c r="D134" s="16" t="s">
        <v>69</v>
      </c>
      <c r="E134" s="16">
        <v>69.0</v>
      </c>
      <c r="F134" s="21" t="s">
        <v>70</v>
      </c>
      <c r="G134" s="16" t="s">
        <v>71</v>
      </c>
      <c r="H134" s="21" t="s">
        <v>72</v>
      </c>
      <c r="I134" s="21" t="s">
        <v>73</v>
      </c>
      <c r="J134" s="21" t="s">
        <v>74</v>
      </c>
      <c r="K134" s="21" t="s">
        <v>99</v>
      </c>
      <c r="L134" s="16" t="s">
        <v>90</v>
      </c>
      <c r="M134" s="21" t="s">
        <v>85</v>
      </c>
      <c r="N134" s="16" t="s">
        <v>95</v>
      </c>
      <c r="O134" s="16" t="s">
        <v>79</v>
      </c>
      <c r="P134" s="16" t="s">
        <v>80</v>
      </c>
      <c r="Q134" s="21" t="s">
        <v>104</v>
      </c>
      <c r="S134" s="22">
        <v>188.586505651474</v>
      </c>
      <c r="T134" s="22">
        <v>126.90805530548</v>
      </c>
      <c r="U134" s="22">
        <v>2.91583547133327</v>
      </c>
      <c r="V134" s="22">
        <v>13.1314221662549</v>
      </c>
      <c r="W134" s="22">
        <v>3.62373042129998</v>
      </c>
      <c r="X134" s="22">
        <v>0.612817373670786</v>
      </c>
      <c r="Y134" s="22">
        <v>0.104285277774572</v>
      </c>
      <c r="Z134" s="22">
        <v>0.0157692827931206</v>
      </c>
      <c r="AA134" s="22">
        <v>0.125575804967042</v>
      </c>
      <c r="AB134" s="22">
        <v>0.663173912412668</v>
      </c>
      <c r="AC134" s="22">
        <v>0.104636901116703</v>
      </c>
      <c r="AD134" s="22">
        <v>0.125777065897217</v>
      </c>
      <c r="AE134" s="22">
        <v>0.664781119508266</v>
      </c>
      <c r="AF134" s="22">
        <v>0.121612888004812</v>
      </c>
      <c r="AG134" s="22">
        <v>0.151178999279778</v>
      </c>
      <c r="AH134" s="22">
        <v>0.519544573731608</v>
      </c>
      <c r="AI134" s="22">
        <v>10.0</v>
      </c>
      <c r="AJ134" s="22">
        <v>2.91583547133328</v>
      </c>
      <c r="AK134" s="22">
        <v>13.1314221662549</v>
      </c>
      <c r="AL134" s="22">
        <v>3.62373042129998</v>
      </c>
      <c r="AM134" s="22">
        <v>0.612698193965657</v>
      </c>
      <c r="AN134" s="22">
        <v>2.79903710487183</v>
      </c>
      <c r="AO134" s="22">
        <v>11.3201059456318</v>
      </c>
      <c r="AP134" s="22">
        <v>3.36453651275057</v>
      </c>
      <c r="AQ134" s="22">
        <v>0.664781119508266</v>
      </c>
      <c r="AR134" s="22">
        <v>3.25314475412873</v>
      </c>
      <c r="AS134" s="22">
        <v>16.3542452116388</v>
      </c>
      <c r="AT134" s="22">
        <v>4.04403823073407</v>
      </c>
      <c r="AU134" s="22">
        <v>0.519544573731607</v>
      </c>
      <c r="AV134" s="23">
        <f t="shared" ref="AV134:AW134" si="271">(AC134-AC$289)/AC$290</f>
        <v>0.2358303991</v>
      </c>
      <c r="AW134" s="24">
        <f t="shared" si="271"/>
        <v>0.17642509</v>
      </c>
      <c r="AX134" s="24">
        <f t="shared" si="5"/>
        <v>0.08688925332</v>
      </c>
      <c r="AY134" s="25">
        <f t="shared" si="6"/>
        <v>0.02397371615</v>
      </c>
      <c r="AZ134" s="23">
        <f t="shared" si="7"/>
        <v>-0.1919351045</v>
      </c>
      <c r="BA134" s="25">
        <f t="shared" si="8"/>
        <v>-0.253730018</v>
      </c>
      <c r="BB134" s="23">
        <f t="shared" si="9"/>
        <v>-0.03938959972</v>
      </c>
      <c r="BC134" s="24">
        <f t="shared" si="10"/>
        <v>-0.09162140045</v>
      </c>
      <c r="BD134" s="25">
        <f t="shared" si="11"/>
        <v>-0.3343374563</v>
      </c>
      <c r="BE134" s="26">
        <f t="shared" ref="BE134:BF134" si="272">((S134-S$289)/S$290)</f>
        <v>-0.7093528303</v>
      </c>
      <c r="BF134" s="26">
        <f t="shared" si="272"/>
        <v>-1.027850212</v>
      </c>
    </row>
    <row r="135">
      <c r="A135" s="16" t="s">
        <v>82</v>
      </c>
      <c r="B135" s="20">
        <f t="shared" si="3"/>
        <v>0.192960238</v>
      </c>
      <c r="C135" s="16" t="s">
        <v>68</v>
      </c>
      <c r="D135" s="16" t="s">
        <v>69</v>
      </c>
      <c r="E135" s="16">
        <v>50.0</v>
      </c>
      <c r="F135" s="21" t="s">
        <v>70</v>
      </c>
      <c r="G135" s="16" t="s">
        <v>71</v>
      </c>
      <c r="H135" s="21" t="s">
        <v>72</v>
      </c>
      <c r="I135" s="21" t="s">
        <v>73</v>
      </c>
      <c r="J135" s="21" t="s">
        <v>97</v>
      </c>
      <c r="K135" s="21" t="s">
        <v>99</v>
      </c>
      <c r="L135" s="16" t="s">
        <v>76</v>
      </c>
      <c r="M135" s="21" t="s">
        <v>77</v>
      </c>
      <c r="N135" s="16" t="s">
        <v>95</v>
      </c>
      <c r="O135" s="16" t="s">
        <v>86</v>
      </c>
      <c r="P135" s="16" t="s">
        <v>80</v>
      </c>
      <c r="Q135" s="21" t="s">
        <v>94</v>
      </c>
      <c r="R135" s="21" t="s">
        <v>94</v>
      </c>
      <c r="S135" s="22">
        <v>267.309688568115</v>
      </c>
      <c r="T135" s="22">
        <v>130.252351522445</v>
      </c>
      <c r="U135" s="22">
        <v>2.95680025485252</v>
      </c>
      <c r="V135" s="22">
        <v>13.9797768907997</v>
      </c>
      <c r="W135" s="22">
        <v>3.73895398350925</v>
      </c>
      <c r="X135" s="22">
        <v>0.587731249595819</v>
      </c>
      <c r="Y135" s="22">
        <v>0.103079494533653</v>
      </c>
      <c r="Z135" s="22">
        <v>0.0163648790131737</v>
      </c>
      <c r="AA135" s="22">
        <v>0.127925286840302</v>
      </c>
      <c r="AB135" s="22">
        <v>0.650452195945651</v>
      </c>
      <c r="AC135" s="22">
        <v>0.103483428205348</v>
      </c>
      <c r="AD135" s="22">
        <v>0.128153822680493</v>
      </c>
      <c r="AE135" s="22">
        <v>0.651992436370992</v>
      </c>
      <c r="AF135" s="22">
        <v>0.114678830214451</v>
      </c>
      <c r="AG135" s="22">
        <v>0.146275201795526</v>
      </c>
      <c r="AH135" s="22">
        <v>0.55020814991951</v>
      </c>
      <c r="AI135" s="22">
        <v>10.0</v>
      </c>
      <c r="AJ135" s="22">
        <v>2.95680025485252</v>
      </c>
      <c r="AK135" s="22">
        <v>13.9797768907997</v>
      </c>
      <c r="AL135" s="22">
        <v>3.73895398350925</v>
      </c>
      <c r="AM135" s="22">
        <v>0.587676584515136</v>
      </c>
      <c r="AN135" s="22">
        <v>2.76818170449307</v>
      </c>
      <c r="AO135" s="22">
        <v>11.7519707851262</v>
      </c>
      <c r="AP135" s="22">
        <v>3.42811475670319</v>
      </c>
      <c r="AQ135" s="22">
        <v>0.651992436370992</v>
      </c>
      <c r="AR135" s="22">
        <v>3.06765870823658</v>
      </c>
      <c r="AS135" s="22">
        <v>15.3104862766266</v>
      </c>
      <c r="AT135" s="22">
        <v>3.91286164803032</v>
      </c>
      <c r="AU135" s="22">
        <v>0.55020814991951</v>
      </c>
      <c r="AV135" s="23">
        <f t="shared" ref="AV135:AW135" si="273">(AC135-AC$289)/AC$290</f>
        <v>0.1907862172</v>
      </c>
      <c r="AW135" s="24">
        <f t="shared" si="273"/>
        <v>0.2530636836</v>
      </c>
      <c r="AX135" s="24">
        <f t="shared" si="5"/>
        <v>-0.2301464693</v>
      </c>
      <c r="AY135" s="25">
        <f t="shared" si="6"/>
        <v>-0.1671052901</v>
      </c>
      <c r="AZ135" s="23">
        <f t="shared" si="7"/>
        <v>-0.1163451628</v>
      </c>
      <c r="BA135" s="25">
        <f t="shared" si="8"/>
        <v>-0.07835448343</v>
      </c>
      <c r="BB135" s="23">
        <f t="shared" si="9"/>
        <v>0.01764070237</v>
      </c>
      <c r="BC135" s="24">
        <f t="shared" si="10"/>
        <v>-0.2465568999</v>
      </c>
      <c r="BD135" s="25">
        <f t="shared" si="11"/>
        <v>-0.1859277583</v>
      </c>
      <c r="BE135" s="26">
        <f t="shared" ref="BE135:BF135" si="274">((S135-S$289)/S$290)</f>
        <v>-0.5582085113</v>
      </c>
      <c r="BF135" s="26">
        <f t="shared" si="274"/>
        <v>-1.001408646</v>
      </c>
    </row>
    <row r="136">
      <c r="A136" s="16" t="s">
        <v>67</v>
      </c>
      <c r="B136" s="20">
        <f t="shared" si="3"/>
        <v>0.1914281911</v>
      </c>
      <c r="C136" s="16" t="s">
        <v>68</v>
      </c>
      <c r="D136" s="16" t="s">
        <v>69</v>
      </c>
      <c r="E136" s="16">
        <v>147.0</v>
      </c>
      <c r="F136" s="21" t="s">
        <v>102</v>
      </c>
      <c r="G136" s="16" t="s">
        <v>71</v>
      </c>
      <c r="H136" s="21" t="s">
        <v>103</v>
      </c>
      <c r="I136" s="21" t="s">
        <v>73</v>
      </c>
      <c r="J136" s="21" t="s">
        <v>74</v>
      </c>
      <c r="K136" s="21" t="s">
        <v>75</v>
      </c>
      <c r="L136" s="16" t="s">
        <v>90</v>
      </c>
      <c r="M136" s="21" t="s">
        <v>85</v>
      </c>
      <c r="N136" s="16" t="s">
        <v>78</v>
      </c>
      <c r="O136" s="16" t="s">
        <v>92</v>
      </c>
      <c r="P136" s="16" t="s">
        <v>80</v>
      </c>
      <c r="Q136" s="21" t="s">
        <v>93</v>
      </c>
      <c r="S136" s="22">
        <v>263.337900161743</v>
      </c>
      <c r="T136" s="22">
        <v>335.951875925064</v>
      </c>
      <c r="U136" s="22">
        <v>2.74697381597009</v>
      </c>
      <c r="V136" s="22">
        <v>11.8775130381842</v>
      </c>
      <c r="W136" s="22">
        <v>3.44637679863712</v>
      </c>
      <c r="X136" s="22">
        <v>0.641736930180465</v>
      </c>
      <c r="Y136" s="22">
        <v>0.0811072111714556</v>
      </c>
      <c r="Z136" s="22">
        <v>0.00977782015226356</v>
      </c>
      <c r="AA136" s="22">
        <v>0.0988828607609203</v>
      </c>
      <c r="AB136" s="22">
        <v>0.772419327757879</v>
      </c>
      <c r="AC136" s="22">
        <v>0.081519145038496</v>
      </c>
      <c r="AD136" s="22">
        <v>0.0992068613743041</v>
      </c>
      <c r="AE136" s="22">
        <v>0.772662715302938</v>
      </c>
      <c r="AF136" s="22">
        <v>0.125819160543335</v>
      </c>
      <c r="AG136" s="22">
        <v>0.156360620798724</v>
      </c>
      <c r="AH136" s="22">
        <v>0.436980218465296</v>
      </c>
      <c r="AI136" s="22">
        <v>10.0</v>
      </c>
      <c r="AJ136" s="22">
        <v>2.74697381597008</v>
      </c>
      <c r="AK136" s="22">
        <v>11.8775130381842</v>
      </c>
      <c r="AL136" s="22">
        <v>3.44637679863712</v>
      </c>
      <c r="AM136" s="22">
        <v>0.641712812309223</v>
      </c>
      <c r="AN136" s="22">
        <v>2.25536301273166</v>
      </c>
      <c r="AO136" s="22">
        <v>7.53350525078087</v>
      </c>
      <c r="AP136" s="22">
        <v>2.74472316468908</v>
      </c>
      <c r="AQ136" s="22">
        <v>0.772662715302938</v>
      </c>
      <c r="AR136" s="22">
        <v>3.48099677503246</v>
      </c>
      <c r="AS136" s="22">
        <v>18.7140785223533</v>
      </c>
      <c r="AT136" s="22">
        <v>4.32597717543139</v>
      </c>
      <c r="AU136" s="22">
        <v>0.436980218465295</v>
      </c>
      <c r="AV136" s="23">
        <f t="shared" ref="AV136:AW136" si="275">(AC136-AC$289)/AC$290</f>
        <v>-0.6669393142</v>
      </c>
      <c r="AW136" s="24">
        <f t="shared" si="275"/>
        <v>-0.6803319499</v>
      </c>
      <c r="AX136" s="24">
        <f t="shared" si="5"/>
        <v>0.4763375795</v>
      </c>
      <c r="AY136" s="25">
        <f t="shared" si="6"/>
        <v>0.4346614491</v>
      </c>
      <c r="AZ136" s="23">
        <f t="shared" si="7"/>
        <v>-0.5035257341</v>
      </c>
      <c r="BA136" s="25">
        <f t="shared" si="8"/>
        <v>-0.5236703477</v>
      </c>
      <c r="BB136" s="23">
        <f t="shared" si="9"/>
        <v>-0.5204805714</v>
      </c>
      <c r="BC136" s="24">
        <f t="shared" si="10"/>
        <v>0.3255559548</v>
      </c>
      <c r="BD136" s="25">
        <f t="shared" si="11"/>
        <v>-0.5064307326</v>
      </c>
      <c r="BE136" s="26">
        <f t="shared" ref="BE136:BF136" si="276">((S136-S$289)/S$290)</f>
        <v>-0.5658341335</v>
      </c>
      <c r="BF136" s="26">
        <f t="shared" si="276"/>
        <v>0.6249476981</v>
      </c>
    </row>
    <row r="137">
      <c r="A137" s="16" t="s">
        <v>82</v>
      </c>
      <c r="B137" s="20">
        <f t="shared" si="3"/>
        <v>0.1662032077</v>
      </c>
      <c r="C137" s="16" t="s">
        <v>68</v>
      </c>
      <c r="D137" s="16" t="s">
        <v>69</v>
      </c>
      <c r="E137" s="16">
        <v>205.0</v>
      </c>
      <c r="F137" s="21" t="s">
        <v>102</v>
      </c>
      <c r="G137" s="16" t="s">
        <v>71</v>
      </c>
      <c r="H137" s="21" t="s">
        <v>103</v>
      </c>
      <c r="I137" s="21" t="s">
        <v>88</v>
      </c>
      <c r="J137" s="21" t="s">
        <v>97</v>
      </c>
      <c r="K137" s="21" t="s">
        <v>75</v>
      </c>
      <c r="L137" s="16" t="s">
        <v>76</v>
      </c>
      <c r="M137" s="21" t="s">
        <v>77</v>
      </c>
      <c r="N137" s="16" t="s">
        <v>78</v>
      </c>
      <c r="O137" s="16" t="s">
        <v>86</v>
      </c>
      <c r="P137" s="16" t="s">
        <v>80</v>
      </c>
      <c r="Q137" s="21" t="s">
        <v>81</v>
      </c>
      <c r="R137" s="21" t="s">
        <v>94</v>
      </c>
      <c r="S137" s="22">
        <v>510.280121564865</v>
      </c>
      <c r="T137" s="22">
        <v>416.957090854644</v>
      </c>
      <c r="U137" s="22">
        <v>2.89491962564212</v>
      </c>
      <c r="V137" s="22">
        <v>13.2407014421769</v>
      </c>
      <c r="W137" s="22">
        <v>3.63877746532773</v>
      </c>
      <c r="X137" s="22">
        <v>0.600518898890603</v>
      </c>
      <c r="Y137" s="22">
        <v>0.0963153169196605</v>
      </c>
      <c r="Z137" s="22">
        <v>0.013714486246456</v>
      </c>
      <c r="AA137" s="22">
        <v>0.117108864935392</v>
      </c>
      <c r="AB137" s="22">
        <v>0.679193593491725</v>
      </c>
      <c r="AC137" s="22">
        <v>0.0966694508505516</v>
      </c>
      <c r="AD137" s="22">
        <v>0.117322944494629</v>
      </c>
      <c r="AE137" s="22">
        <v>0.680564860084782</v>
      </c>
      <c r="AF137" s="22">
        <v>0.100467314280802</v>
      </c>
      <c r="AG137" s="22">
        <v>0.12869470816254</v>
      </c>
      <c r="AH137" s="22">
        <v>0.619115950194795</v>
      </c>
      <c r="AI137" s="22">
        <v>10.0</v>
      </c>
      <c r="AJ137" s="22">
        <v>2.89491962564211</v>
      </c>
      <c r="AK137" s="22">
        <v>13.2407014421769</v>
      </c>
      <c r="AL137" s="22">
        <v>3.63877746532773</v>
      </c>
      <c r="AM137" s="22">
        <v>0.600464429234726</v>
      </c>
      <c r="AN137" s="22">
        <v>2.67452147353193</v>
      </c>
      <c r="AO137" s="22">
        <v>10.5360927108207</v>
      </c>
      <c r="AP137" s="22">
        <v>3.24593479768475</v>
      </c>
      <c r="AQ137" s="22">
        <v>0.680564860084782</v>
      </c>
      <c r="AR137" s="22">
        <v>2.77959569510218</v>
      </c>
      <c r="AS137" s="22">
        <v>12.6775418850428</v>
      </c>
      <c r="AT137" s="22">
        <v>3.56055359249694</v>
      </c>
      <c r="AU137" s="22">
        <v>0.619115950194795</v>
      </c>
      <c r="AV137" s="23">
        <f t="shared" ref="AV137:AW137" si="277">(AC137-AC$289)/AC$290</f>
        <v>-0.07530588805</v>
      </c>
      <c r="AW137" s="24">
        <f t="shared" si="277"/>
        <v>-0.09617830762</v>
      </c>
      <c r="AX137" s="24">
        <f t="shared" si="5"/>
        <v>-0.7225083884</v>
      </c>
      <c r="AY137" s="25">
        <f t="shared" si="6"/>
        <v>-0.6802965301</v>
      </c>
      <c r="AZ137" s="23">
        <f t="shared" si="7"/>
        <v>-0.2305299028</v>
      </c>
      <c r="BA137" s="25">
        <f t="shared" si="8"/>
        <v>-0.2308277284</v>
      </c>
      <c r="BB137" s="23">
        <f t="shared" si="9"/>
        <v>-0.109776166</v>
      </c>
      <c r="BC137" s="24">
        <f t="shared" si="10"/>
        <v>-0.5947310458</v>
      </c>
      <c r="BD137" s="25">
        <f t="shared" si="11"/>
        <v>-0.2617758038</v>
      </c>
      <c r="BE137" s="26">
        <f t="shared" ref="BE137:BF137" si="278">((S137-S$289)/S$290)</f>
        <v>-0.09171821883</v>
      </c>
      <c r="BF137" s="26">
        <f t="shared" si="278"/>
        <v>1.265412695</v>
      </c>
    </row>
    <row r="138">
      <c r="A138" s="16" t="s">
        <v>67</v>
      </c>
      <c r="B138" s="20">
        <f t="shared" si="3"/>
        <v>0.1599351936</v>
      </c>
      <c r="C138" s="16" t="s">
        <v>68</v>
      </c>
      <c r="D138" s="16" t="s">
        <v>69</v>
      </c>
      <c r="E138" s="16">
        <v>32.0</v>
      </c>
      <c r="F138" s="21" t="s">
        <v>70</v>
      </c>
      <c r="G138" s="16" t="s">
        <v>71</v>
      </c>
      <c r="H138" s="21" t="s">
        <v>72</v>
      </c>
      <c r="I138" s="21" t="s">
        <v>88</v>
      </c>
      <c r="J138" s="21" t="s">
        <v>97</v>
      </c>
      <c r="K138" s="21" t="s">
        <v>99</v>
      </c>
      <c r="L138" s="16" t="s">
        <v>90</v>
      </c>
      <c r="M138" s="21" t="s">
        <v>77</v>
      </c>
      <c r="N138" s="16" t="s">
        <v>95</v>
      </c>
      <c r="O138" s="16" t="s">
        <v>86</v>
      </c>
      <c r="P138" s="16" t="s">
        <v>80</v>
      </c>
      <c r="Q138" s="21" t="s">
        <v>104</v>
      </c>
      <c r="R138" s="21" t="s">
        <v>104</v>
      </c>
      <c r="S138" s="22">
        <v>418.442255020141</v>
      </c>
      <c r="T138" s="22">
        <v>138.173896312713</v>
      </c>
      <c r="U138" s="22">
        <v>2.85706637432094</v>
      </c>
      <c r="V138" s="22">
        <v>12.6125237824895</v>
      </c>
      <c r="W138" s="22">
        <v>3.55141151973261</v>
      </c>
      <c r="X138" s="22">
        <v>0.623673898007034</v>
      </c>
      <c r="Y138" s="22">
        <v>0.104035143773909</v>
      </c>
      <c r="Z138" s="22">
        <v>0.0160639641060408</v>
      </c>
      <c r="AA138" s="22">
        <v>0.126743694541546</v>
      </c>
      <c r="AB138" s="22">
        <v>0.65298591395361</v>
      </c>
      <c r="AC138" s="22">
        <v>0.104427176178971</v>
      </c>
      <c r="AD138" s="22">
        <v>0.126975214136917</v>
      </c>
      <c r="AE138" s="22">
        <v>0.654766786774885</v>
      </c>
      <c r="AF138" s="22">
        <v>0.12112474335833</v>
      </c>
      <c r="AG138" s="22">
        <v>0.151661677984916</v>
      </c>
      <c r="AH138" s="22">
        <v>0.510211565477861</v>
      </c>
      <c r="AI138" s="22">
        <v>10.0</v>
      </c>
      <c r="AJ138" s="22">
        <v>2.85706637432095</v>
      </c>
      <c r="AK138" s="22">
        <v>12.6125237824895</v>
      </c>
      <c r="AL138" s="22">
        <v>3.55141151973261</v>
      </c>
      <c r="AM138" s="22">
        <v>0.623624370972958</v>
      </c>
      <c r="AN138" s="22">
        <v>2.7934269627875</v>
      </c>
      <c r="AO138" s="22">
        <v>11.5368031002234</v>
      </c>
      <c r="AP138" s="22">
        <v>3.39658697816255</v>
      </c>
      <c r="AQ138" s="22">
        <v>0.654766786774885</v>
      </c>
      <c r="AR138" s="22">
        <v>3.24008688483533</v>
      </c>
      <c r="AS138" s="22">
        <v>16.4588423782985</v>
      </c>
      <c r="AT138" s="22">
        <v>4.05694988609652</v>
      </c>
      <c r="AU138" s="22">
        <v>0.510211565477861</v>
      </c>
      <c r="AV138" s="23">
        <f t="shared" ref="AV138:AW138" si="279">(AC138-AC$289)/AC$290</f>
        <v>0.2276404467</v>
      </c>
      <c r="AW138" s="24">
        <f t="shared" si="279"/>
        <v>0.2150594158</v>
      </c>
      <c r="AX138" s="24">
        <f t="shared" si="5"/>
        <v>0.06457053384</v>
      </c>
      <c r="AY138" s="25">
        <f t="shared" si="6"/>
        <v>0.04278154163</v>
      </c>
      <c r="AZ138" s="23">
        <f t="shared" si="7"/>
        <v>-0.3003783144</v>
      </c>
      <c r="BA138" s="25">
        <f t="shared" si="8"/>
        <v>-0.3638026956</v>
      </c>
      <c r="BB138" s="23">
        <f t="shared" si="9"/>
        <v>0.005268666878</v>
      </c>
      <c r="BC138" s="24">
        <f t="shared" si="10"/>
        <v>-0.04446400804</v>
      </c>
      <c r="BD138" s="25">
        <f t="shared" si="11"/>
        <v>-0.3991434647</v>
      </c>
      <c r="BE138" s="26">
        <f t="shared" ref="BE138:BF138" si="280">((S138-S$289)/S$290)</f>
        <v>-0.268042032</v>
      </c>
      <c r="BF138" s="26">
        <f t="shared" si="280"/>
        <v>-0.93877722</v>
      </c>
    </row>
    <row r="139">
      <c r="A139" s="16" t="s">
        <v>67</v>
      </c>
      <c r="B139" s="20">
        <f t="shared" si="3"/>
        <v>0.1496550357</v>
      </c>
      <c r="C139" s="16" t="s">
        <v>68</v>
      </c>
      <c r="D139" s="16" t="s">
        <v>69</v>
      </c>
      <c r="E139" s="16">
        <v>164.0</v>
      </c>
      <c r="F139" s="21" t="s">
        <v>102</v>
      </c>
      <c r="G139" s="16" t="s">
        <v>71</v>
      </c>
      <c r="H139" s="21" t="s">
        <v>103</v>
      </c>
      <c r="I139" s="21" t="s">
        <v>88</v>
      </c>
      <c r="J139" s="21" t="s">
        <v>74</v>
      </c>
      <c r="K139" s="21" t="s">
        <v>75</v>
      </c>
      <c r="L139" s="16" t="s">
        <v>90</v>
      </c>
      <c r="M139" s="21" t="s">
        <v>85</v>
      </c>
      <c r="N139" s="16" t="s">
        <v>95</v>
      </c>
      <c r="O139" s="16" t="s">
        <v>92</v>
      </c>
      <c r="P139" s="16" t="s">
        <v>80</v>
      </c>
      <c r="Q139" s="21" t="s">
        <v>94</v>
      </c>
      <c r="S139" s="22">
        <v>381.831220626831</v>
      </c>
      <c r="T139" s="22">
        <v>403.755886554718</v>
      </c>
      <c r="U139" s="22">
        <v>2.71726906847998</v>
      </c>
      <c r="V139" s="22">
        <v>11.6072450310458</v>
      </c>
      <c r="W139" s="22">
        <v>3.40694071434268</v>
      </c>
      <c r="X139" s="22">
        <v>0.649885614842951</v>
      </c>
      <c r="Y139" s="22">
        <v>0.0941707093087551</v>
      </c>
      <c r="Z139" s="22">
        <v>0.0126811166824494</v>
      </c>
      <c r="AA139" s="22">
        <v>0.112610464355891</v>
      </c>
      <c r="AB139" s="22">
        <v>0.703365959154322</v>
      </c>
      <c r="AC139" s="22">
        <v>0.0945882845532254</v>
      </c>
      <c r="AD139" s="22">
        <v>0.112925792330098</v>
      </c>
      <c r="AE139" s="22">
        <v>0.704060405579524</v>
      </c>
      <c r="AF139" s="22">
        <v>0.115229377265319</v>
      </c>
      <c r="AG139" s="22">
        <v>0.144460780187212</v>
      </c>
      <c r="AH139" s="22">
        <v>0.520077269913631</v>
      </c>
      <c r="AI139" s="22">
        <v>10.0</v>
      </c>
      <c r="AJ139" s="22">
        <v>2.71726906847997</v>
      </c>
      <c r="AK139" s="22">
        <v>11.6072450310458</v>
      </c>
      <c r="AL139" s="22">
        <v>3.40694071434268</v>
      </c>
      <c r="AM139" s="22">
        <v>0.649753656273906</v>
      </c>
      <c r="AN139" s="22">
        <v>2.61694253930589</v>
      </c>
      <c r="AO139" s="22">
        <v>9.76112710844647</v>
      </c>
      <c r="AP139" s="22">
        <v>3.12428025446605</v>
      </c>
      <c r="AQ139" s="22">
        <v>0.704060405579524</v>
      </c>
      <c r="AR139" s="22">
        <v>3.18801277100718</v>
      </c>
      <c r="AS139" s="22">
        <v>15.9739965886356</v>
      </c>
      <c r="AT139" s="22">
        <v>3.9967482518462</v>
      </c>
      <c r="AU139" s="22">
        <v>0.520077269913631</v>
      </c>
      <c r="AV139" s="23">
        <f t="shared" ref="AV139:AW139" si="281">(AC139-AC$289)/AC$290</f>
        <v>-0.1565773529</v>
      </c>
      <c r="AW139" s="24">
        <f t="shared" si="281"/>
        <v>-0.2379646107</v>
      </c>
      <c r="AX139" s="24">
        <f t="shared" si="5"/>
        <v>-0.02443537617</v>
      </c>
      <c r="AY139" s="25">
        <f t="shared" si="6"/>
        <v>-0.04491146125</v>
      </c>
      <c r="AZ139" s="23">
        <f t="shared" si="7"/>
        <v>-0.5583381837</v>
      </c>
      <c r="BA139" s="25">
        <f t="shared" si="8"/>
        <v>-0.5836938726</v>
      </c>
      <c r="BB139" s="23">
        <f t="shared" si="9"/>
        <v>-0.2145530256</v>
      </c>
      <c r="BC139" s="24">
        <f t="shared" si="10"/>
        <v>-0.09431298307</v>
      </c>
      <c r="BD139" s="25">
        <f t="shared" si="11"/>
        <v>-0.5541230774</v>
      </c>
      <c r="BE139" s="26">
        <f t="shared" ref="BE139:BF139" si="282">((S139-S$289)/S$290)</f>
        <v>-0.3383332684</v>
      </c>
      <c r="BF139" s="26">
        <f t="shared" si="282"/>
        <v>1.161037819</v>
      </c>
    </row>
    <row r="140">
      <c r="A140" s="16" t="s">
        <v>67</v>
      </c>
      <c r="B140" s="20">
        <f t="shared" si="3"/>
        <v>0.1369335817</v>
      </c>
      <c r="C140" s="16" t="s">
        <v>68</v>
      </c>
      <c r="D140" s="16" t="s">
        <v>69</v>
      </c>
      <c r="E140" s="16">
        <v>214.0</v>
      </c>
      <c r="F140" s="21" t="s">
        <v>102</v>
      </c>
      <c r="G140" s="16" t="s">
        <v>100</v>
      </c>
      <c r="H140" s="21" t="s">
        <v>105</v>
      </c>
      <c r="I140" s="21" t="s">
        <v>73</v>
      </c>
      <c r="J140" s="21" t="s">
        <v>74</v>
      </c>
      <c r="K140" s="21" t="s">
        <v>75</v>
      </c>
      <c r="L140" s="16" t="s">
        <v>90</v>
      </c>
      <c r="M140" s="21" t="s">
        <v>85</v>
      </c>
      <c r="N140" s="16" t="s">
        <v>78</v>
      </c>
      <c r="O140" s="16" t="s">
        <v>92</v>
      </c>
      <c r="P140" s="16" t="s">
        <v>80</v>
      </c>
      <c r="Q140" s="21" t="s">
        <v>94</v>
      </c>
      <c r="S140" s="22">
        <v>190.930370092391</v>
      </c>
      <c r="T140" s="22">
        <v>404.820919752121</v>
      </c>
      <c r="U140" s="22">
        <v>2.82495563425307</v>
      </c>
      <c r="V140" s="22">
        <v>12.5865814343566</v>
      </c>
      <c r="W140" s="22">
        <v>3.54775724005415</v>
      </c>
      <c r="X140" s="22">
        <v>0.61951589609743</v>
      </c>
      <c r="Y140" s="22">
        <v>0.0899914059837956</v>
      </c>
      <c r="Z140" s="22">
        <v>0.0118706369872771</v>
      </c>
      <c r="AA140" s="22">
        <v>0.108952452874073</v>
      </c>
      <c r="AB140" s="22">
        <v>0.720086007694001</v>
      </c>
      <c r="AC140" s="22">
        <v>0.0906806518879176</v>
      </c>
      <c r="AD140" s="22">
        <v>0.109462077786471</v>
      </c>
      <c r="AE140" s="22">
        <v>0.721904161194391</v>
      </c>
      <c r="AF140" s="22">
        <v>0.117383776898076</v>
      </c>
      <c r="AG140" s="22">
        <v>0.146446067413186</v>
      </c>
      <c r="AH140" s="22">
        <v>0.506832467681066</v>
      </c>
      <c r="AI140" s="22">
        <v>10.0</v>
      </c>
      <c r="AJ140" s="22">
        <v>2.82495563425306</v>
      </c>
      <c r="AK140" s="22">
        <v>12.5865814343566</v>
      </c>
      <c r="AL140" s="22">
        <v>3.54775724005415</v>
      </c>
      <c r="AM140" s="22">
        <v>0.619398244523028</v>
      </c>
      <c r="AN140" s="22">
        <v>2.50883136889903</v>
      </c>
      <c r="AO140" s="22">
        <v>9.17151436164232</v>
      </c>
      <c r="AP140" s="22">
        <v>3.02845081875904</v>
      </c>
      <c r="AQ140" s="22">
        <v>0.721904161194391</v>
      </c>
      <c r="AR140" s="22">
        <v>3.24761782751353</v>
      </c>
      <c r="AS140" s="22">
        <v>16.4160665113517</v>
      </c>
      <c r="AT140" s="22">
        <v>4.05167453176482</v>
      </c>
      <c r="AU140" s="22">
        <v>0.506832467681066</v>
      </c>
      <c r="AV140" s="23">
        <f t="shared" ref="AV140:AW140" si="283">(AC140-AC$289)/AC$290</f>
        <v>-0.3091740154</v>
      </c>
      <c r="AW140" s="24">
        <f t="shared" si="283"/>
        <v>-0.3496521898</v>
      </c>
      <c r="AX140" s="24">
        <f t="shared" si="5"/>
        <v>0.07744254177</v>
      </c>
      <c r="AY140" s="25">
        <f t="shared" si="6"/>
        <v>0.03509717113</v>
      </c>
      <c r="AZ140" s="23">
        <f t="shared" si="7"/>
        <v>-0.3596304027</v>
      </c>
      <c r="BA140" s="25">
        <f t="shared" si="8"/>
        <v>-0.3693646765</v>
      </c>
      <c r="BB140" s="23">
        <f t="shared" si="9"/>
        <v>-0.2941260951</v>
      </c>
      <c r="BC140" s="24">
        <f t="shared" si="10"/>
        <v>-0.02739025899</v>
      </c>
      <c r="BD140" s="25">
        <f t="shared" si="11"/>
        <v>-0.3740772054</v>
      </c>
      <c r="BE140" s="26">
        <f t="shared" ref="BE140:BF140" si="284">((S140-S$289)/S$290)</f>
        <v>-0.7048527354</v>
      </c>
      <c r="BF140" s="26">
        <f t="shared" si="284"/>
        <v>1.169458468</v>
      </c>
    </row>
    <row r="141">
      <c r="A141" s="16" t="s">
        <v>67</v>
      </c>
      <c r="B141" s="20">
        <f t="shared" si="3"/>
        <v>0.1359407568</v>
      </c>
      <c r="C141" s="16" t="s">
        <v>68</v>
      </c>
      <c r="D141" s="16" t="s">
        <v>69</v>
      </c>
      <c r="E141" s="16">
        <v>163.0</v>
      </c>
      <c r="F141" s="21" t="s">
        <v>102</v>
      </c>
      <c r="G141" s="16" t="s">
        <v>71</v>
      </c>
      <c r="H141" s="21" t="s">
        <v>103</v>
      </c>
      <c r="I141" s="21" t="s">
        <v>73</v>
      </c>
      <c r="J141" s="21" t="s">
        <v>97</v>
      </c>
      <c r="K141" s="21" t="s">
        <v>75</v>
      </c>
      <c r="L141" s="16" t="s">
        <v>90</v>
      </c>
      <c r="M141" s="21" t="s">
        <v>77</v>
      </c>
      <c r="N141" s="16" t="s">
        <v>91</v>
      </c>
      <c r="O141" s="16" t="s">
        <v>92</v>
      </c>
      <c r="P141" s="16" t="s">
        <v>80</v>
      </c>
      <c r="Q141" s="21" t="s">
        <v>93</v>
      </c>
      <c r="R141" s="21" t="s">
        <v>94</v>
      </c>
      <c r="S141" s="22">
        <v>161.815288305282</v>
      </c>
      <c r="T141" s="22">
        <v>408.461248636245</v>
      </c>
      <c r="U141" s="22">
        <v>2.88397674052686</v>
      </c>
      <c r="V141" s="22">
        <v>12.5445712152856</v>
      </c>
      <c r="W141" s="22">
        <v>3.54183161870884</v>
      </c>
      <c r="X141" s="22">
        <v>0.621625772576884</v>
      </c>
      <c r="Y141" s="22">
        <v>0.0925425635723318</v>
      </c>
      <c r="Z141" s="22">
        <v>0.0121946225209805</v>
      </c>
      <c r="AA141" s="22">
        <v>0.110429264785112</v>
      </c>
      <c r="AB141" s="22">
        <v>0.716167780973023</v>
      </c>
      <c r="AC141" s="22">
        <v>0.092831317934943</v>
      </c>
      <c r="AD141" s="22">
        <v>0.110596351293347</v>
      </c>
      <c r="AE141" s="22">
        <v>0.717467217163744</v>
      </c>
      <c r="AF141" s="22">
        <v>0.116641262338744</v>
      </c>
      <c r="AG141" s="22">
        <v>0.144318879308853</v>
      </c>
      <c r="AH141" s="22">
        <v>0.520360239622858</v>
      </c>
      <c r="AI141" s="22">
        <v>10.0</v>
      </c>
      <c r="AJ141" s="22">
        <v>2.88397674052686</v>
      </c>
      <c r="AK141" s="22">
        <v>12.5445712152856</v>
      </c>
      <c r="AL141" s="22">
        <v>3.54183161870884</v>
      </c>
      <c r="AM141" s="22">
        <v>0.621590889686914</v>
      </c>
      <c r="AN141" s="22">
        <v>2.56833312953343</v>
      </c>
      <c r="AO141" s="22">
        <v>9.36257422908412</v>
      </c>
      <c r="AP141" s="22">
        <v>3.05983238578261</v>
      </c>
      <c r="AQ141" s="22">
        <v>0.717467217163744</v>
      </c>
      <c r="AR141" s="22">
        <v>3.22707492470535</v>
      </c>
      <c r="AS141" s="22">
        <v>15.9426301393413</v>
      </c>
      <c r="AT141" s="22">
        <v>3.99282232754493</v>
      </c>
      <c r="AU141" s="22">
        <v>0.520360239622858</v>
      </c>
      <c r="AV141" s="23">
        <f t="shared" ref="AV141:AW141" si="285">(AC141-AC$289)/AC$290</f>
        <v>-0.2251885211</v>
      </c>
      <c r="AW141" s="24">
        <f t="shared" si="285"/>
        <v>-0.3130775067</v>
      </c>
      <c r="AX141" s="24">
        <f t="shared" si="5"/>
        <v>0.04233028302</v>
      </c>
      <c r="AY141" s="25">
        <f t="shared" si="6"/>
        <v>-0.05063017795</v>
      </c>
      <c r="AZ141" s="23">
        <f t="shared" si="7"/>
        <v>-0.2507221747</v>
      </c>
      <c r="BA141" s="25">
        <f t="shared" si="8"/>
        <v>-0.3783837433</v>
      </c>
      <c r="BB141" s="23">
        <f t="shared" si="9"/>
        <v>-0.2743398313</v>
      </c>
      <c r="BC141" s="24">
        <f t="shared" si="10"/>
        <v>-0.09574275933</v>
      </c>
      <c r="BD141" s="25">
        <f t="shared" si="11"/>
        <v>-0.3870823563</v>
      </c>
      <c r="BE141" s="26">
        <f t="shared" ref="BE141:BF141" si="286">((S141-S$289)/S$290)</f>
        <v>-0.7607521419</v>
      </c>
      <c r="BF141" s="26">
        <f t="shared" si="286"/>
        <v>1.198240605</v>
      </c>
    </row>
    <row r="142">
      <c r="A142" s="16" t="s">
        <v>82</v>
      </c>
      <c r="B142" s="20">
        <f t="shared" si="3"/>
        <v>0.1308263916</v>
      </c>
      <c r="C142" s="16" t="s">
        <v>68</v>
      </c>
      <c r="D142" s="16" t="s">
        <v>69</v>
      </c>
      <c r="E142" s="16">
        <v>185.0</v>
      </c>
      <c r="F142" s="21" t="s">
        <v>102</v>
      </c>
      <c r="G142" s="16" t="s">
        <v>71</v>
      </c>
      <c r="H142" s="21" t="s">
        <v>103</v>
      </c>
      <c r="I142" s="21" t="s">
        <v>73</v>
      </c>
      <c r="J142" s="21" t="s">
        <v>74</v>
      </c>
      <c r="K142" s="21" t="s">
        <v>75</v>
      </c>
      <c r="L142" s="16" t="s">
        <v>84</v>
      </c>
      <c r="M142" s="21" t="s">
        <v>77</v>
      </c>
      <c r="N142" s="16" t="s">
        <v>78</v>
      </c>
      <c r="O142" s="16" t="s">
        <v>86</v>
      </c>
      <c r="P142" s="16" t="s">
        <v>80</v>
      </c>
      <c r="Q142" s="21" t="s">
        <v>94</v>
      </c>
      <c r="R142" s="21" t="s">
        <v>94</v>
      </c>
      <c r="S142" s="22">
        <v>393.814648628234</v>
      </c>
      <c r="T142" s="22">
        <v>333.698412418365</v>
      </c>
      <c r="U142" s="22">
        <v>2.92174942493137</v>
      </c>
      <c r="V142" s="22">
        <v>13.3189479962837</v>
      </c>
      <c r="W142" s="22">
        <v>3.64951339171179</v>
      </c>
      <c r="X142" s="22">
        <v>0.598259368302262</v>
      </c>
      <c r="Y142" s="22">
        <v>0.0988695785740868</v>
      </c>
      <c r="Z142" s="22">
        <v>0.0146758553542201</v>
      </c>
      <c r="AA142" s="22">
        <v>0.121143944769105</v>
      </c>
      <c r="AB142" s="22">
        <v>0.658416602552426</v>
      </c>
      <c r="AC142" s="22">
        <v>0.0993703844123089</v>
      </c>
      <c r="AD142" s="22">
        <v>0.12152676753885</v>
      </c>
      <c r="AE142" s="22">
        <v>0.658861181305886</v>
      </c>
      <c r="AF142" s="22">
        <v>0.107197710122978</v>
      </c>
      <c r="AG142" s="22">
        <v>0.13619180620648</v>
      </c>
      <c r="AH142" s="22">
        <v>0.572859412066422</v>
      </c>
      <c r="AI142" s="22">
        <v>10.0</v>
      </c>
      <c r="AJ142" s="22">
        <v>2.92174942493136</v>
      </c>
      <c r="AK142" s="22">
        <v>13.3189479962837</v>
      </c>
      <c r="AL142" s="22">
        <v>3.64951339171179</v>
      </c>
      <c r="AM142" s="22">
        <v>0.598231683244886</v>
      </c>
      <c r="AN142" s="22">
        <v>2.74924730207389</v>
      </c>
      <c r="AO142" s="22">
        <v>11.3046616409706</v>
      </c>
      <c r="AP142" s="22">
        <v>3.36224056857486</v>
      </c>
      <c r="AQ142" s="22">
        <v>0.658861181305886</v>
      </c>
      <c r="AR142" s="22">
        <v>2.96580331340241</v>
      </c>
      <c r="AS142" s="22">
        <v>14.197622827539</v>
      </c>
      <c r="AT142" s="22">
        <v>3.76797330504596</v>
      </c>
      <c r="AU142" s="22">
        <v>0.572859412066422</v>
      </c>
      <c r="AV142" s="23">
        <f t="shared" ref="AV142:AW142" si="287">(AC142-AC$289)/AC$290</f>
        <v>0.03016806059</v>
      </c>
      <c r="AW142" s="24">
        <f t="shared" si="287"/>
        <v>0.03937409224</v>
      </c>
      <c r="AX142" s="24">
        <f t="shared" si="5"/>
        <v>-0.4042393427</v>
      </c>
      <c r="AY142" s="25">
        <f t="shared" si="6"/>
        <v>-0.3781575985</v>
      </c>
      <c r="AZ142" s="23">
        <f t="shared" si="7"/>
        <v>-0.1810224285</v>
      </c>
      <c r="BA142" s="25">
        <f t="shared" si="8"/>
        <v>-0.2144871571</v>
      </c>
      <c r="BB142" s="23">
        <f t="shared" si="9"/>
        <v>-0.01299001968</v>
      </c>
      <c r="BC142" s="24">
        <f t="shared" si="10"/>
        <v>-0.3610081495</v>
      </c>
      <c r="BD142" s="25">
        <f t="shared" si="11"/>
        <v>-0.2485328045</v>
      </c>
      <c r="BE142" s="26">
        <f t="shared" ref="BE142:BF142" si="288">((S142-S$289)/S$290)</f>
        <v>-0.3153257247</v>
      </c>
      <c r="BF142" s="26">
        <f t="shared" si="288"/>
        <v>0.6071307649</v>
      </c>
    </row>
    <row r="143">
      <c r="A143" s="16" t="s">
        <v>67</v>
      </c>
      <c r="B143" s="20">
        <f t="shared" si="3"/>
        <v>0.116750829</v>
      </c>
      <c r="C143" s="16" t="s">
        <v>68</v>
      </c>
      <c r="D143" s="16" t="s">
        <v>69</v>
      </c>
      <c r="E143" s="16">
        <v>225.0</v>
      </c>
      <c r="F143" s="21" t="s">
        <v>102</v>
      </c>
      <c r="G143" s="16" t="s">
        <v>100</v>
      </c>
      <c r="H143" s="21" t="s">
        <v>105</v>
      </c>
      <c r="I143" s="21" t="s">
        <v>88</v>
      </c>
      <c r="J143" s="21" t="s">
        <v>83</v>
      </c>
      <c r="K143" s="21" t="s">
        <v>75</v>
      </c>
      <c r="L143" s="16" t="s">
        <v>90</v>
      </c>
      <c r="M143" s="21" t="s">
        <v>77</v>
      </c>
      <c r="N143" s="16" t="s">
        <v>78</v>
      </c>
      <c r="O143" s="16" t="s">
        <v>92</v>
      </c>
      <c r="P143" s="16" t="s">
        <v>80</v>
      </c>
      <c r="Q143" s="21" t="s">
        <v>96</v>
      </c>
      <c r="R143" s="21" t="s">
        <v>94</v>
      </c>
      <c r="S143" s="22">
        <v>370.231244802475</v>
      </c>
      <c r="T143" s="22">
        <v>352.817495346069</v>
      </c>
      <c r="U143" s="22">
        <v>3.1998171572424</v>
      </c>
      <c r="V143" s="22">
        <v>15.7855092510372</v>
      </c>
      <c r="W143" s="22">
        <v>3.97309819297701</v>
      </c>
      <c r="X143" s="22">
        <v>0.522740647111751</v>
      </c>
      <c r="Y143" s="22">
        <v>0.0959217486524654</v>
      </c>
      <c r="Z143" s="22">
        <v>0.0135492190540977</v>
      </c>
      <c r="AA143" s="22">
        <v>0.116401112770014</v>
      </c>
      <c r="AB143" s="22">
        <v>0.67874238004226</v>
      </c>
      <c r="AC143" s="22">
        <v>0.0968017621543218</v>
      </c>
      <c r="AD143" s="22">
        <v>0.117126677592985</v>
      </c>
      <c r="AE143" s="22">
        <v>0.680037360083353</v>
      </c>
      <c r="AF143" s="22">
        <v>0.0996510373014616</v>
      </c>
      <c r="AG143" s="22">
        <v>0.126160883127766</v>
      </c>
      <c r="AH143" s="22">
        <v>0.633732728980777</v>
      </c>
      <c r="AI143" s="22">
        <v>10.0</v>
      </c>
      <c r="AJ143" s="22">
        <v>3.1998171572424</v>
      </c>
      <c r="AK143" s="22">
        <v>15.7855092510372</v>
      </c>
      <c r="AL143" s="22">
        <v>3.97309819297701</v>
      </c>
      <c r="AM143" s="22">
        <v>0.522589121548628</v>
      </c>
      <c r="AN143" s="22">
        <v>2.67818208626957</v>
      </c>
      <c r="AO143" s="22">
        <v>10.5008710136398</v>
      </c>
      <c r="AP143" s="22">
        <v>3.24050474673928</v>
      </c>
      <c r="AQ143" s="22">
        <v>0.680037360083353</v>
      </c>
      <c r="AR143" s="22">
        <v>2.75701203200707</v>
      </c>
      <c r="AS143" s="22">
        <v>12.1832488805712</v>
      </c>
      <c r="AT143" s="22">
        <v>3.49045109986821</v>
      </c>
      <c r="AU143" s="22">
        <v>0.633732728980777</v>
      </c>
      <c r="AV143" s="23">
        <f t="shared" ref="AV143:AW143" si="289">(AC143-AC$289)/AC$290</f>
        <v>-0.07013900951</v>
      </c>
      <c r="AW143" s="24">
        <f t="shared" si="289"/>
        <v>-0.1025069397</v>
      </c>
      <c r="AX143" s="24">
        <f t="shared" si="5"/>
        <v>-0.7611087474</v>
      </c>
      <c r="AY143" s="25">
        <f t="shared" si="6"/>
        <v>-0.7824116664</v>
      </c>
      <c r="AZ143" s="23">
        <f t="shared" si="7"/>
        <v>0.332079848</v>
      </c>
      <c r="BA143" s="25">
        <f t="shared" si="8"/>
        <v>0.2780237182</v>
      </c>
      <c r="BB143" s="23">
        <f t="shared" si="9"/>
        <v>-0.107423814</v>
      </c>
      <c r="BC143" s="24">
        <f t="shared" si="10"/>
        <v>-0.6685860295</v>
      </c>
      <c r="BD143" s="25">
        <f t="shared" si="11"/>
        <v>0.2001229771</v>
      </c>
      <c r="BE143" s="26">
        <f t="shared" ref="BE143:BF143" si="290">((S143-S$289)/S$290)</f>
        <v>-0.3606046042</v>
      </c>
      <c r="BF143" s="26">
        <f t="shared" si="290"/>
        <v>0.7582951486</v>
      </c>
    </row>
    <row r="144">
      <c r="A144" s="16" t="s">
        <v>67</v>
      </c>
      <c r="B144" s="20">
        <f t="shared" si="3"/>
        <v>0.1130389372</v>
      </c>
      <c r="C144" s="16" t="s">
        <v>68</v>
      </c>
      <c r="D144" s="16" t="s">
        <v>69</v>
      </c>
      <c r="E144" s="16">
        <v>221.0</v>
      </c>
      <c r="F144" s="21" t="s">
        <v>102</v>
      </c>
      <c r="G144" s="16" t="s">
        <v>100</v>
      </c>
      <c r="H144" s="21" t="s">
        <v>105</v>
      </c>
      <c r="I144" s="21" t="s">
        <v>88</v>
      </c>
      <c r="J144" s="21" t="s">
        <v>83</v>
      </c>
      <c r="K144" s="21" t="s">
        <v>75</v>
      </c>
      <c r="L144" s="16" t="s">
        <v>76</v>
      </c>
      <c r="M144" s="21" t="s">
        <v>77</v>
      </c>
      <c r="N144" s="16" t="s">
        <v>95</v>
      </c>
      <c r="O144" s="16" t="s">
        <v>86</v>
      </c>
      <c r="P144" s="16" t="s">
        <v>80</v>
      </c>
      <c r="Q144" s="21" t="s">
        <v>104</v>
      </c>
      <c r="R144" s="21" t="s">
        <v>81</v>
      </c>
      <c r="S144" s="22">
        <v>494.97587609291</v>
      </c>
      <c r="T144" s="22">
        <v>448.961544036865</v>
      </c>
      <c r="U144" s="22">
        <v>2.74191206851252</v>
      </c>
      <c r="V144" s="22">
        <v>11.9984175702566</v>
      </c>
      <c r="W144" s="22">
        <v>3.46387320354782</v>
      </c>
      <c r="X144" s="22">
        <v>0.637250528959536</v>
      </c>
      <c r="Y144" s="22">
        <v>0.0895753004684637</v>
      </c>
      <c r="Z144" s="22">
        <v>0.0120035845977498</v>
      </c>
      <c r="AA144" s="22">
        <v>0.109560871654755</v>
      </c>
      <c r="AB144" s="22">
        <v>0.715390015953115</v>
      </c>
      <c r="AC144" s="22">
        <v>0.0902420403409516</v>
      </c>
      <c r="AD144" s="22">
        <v>0.110022486119136</v>
      </c>
      <c r="AE144" s="22">
        <v>0.717674223511879</v>
      </c>
      <c r="AF144" s="22">
        <v>0.113928811303658</v>
      </c>
      <c r="AG144" s="22">
        <v>0.144529791650361</v>
      </c>
      <c r="AH144" s="22">
        <v>0.519311839933443</v>
      </c>
      <c r="AI144" s="22">
        <v>10.0</v>
      </c>
      <c r="AJ144" s="22">
        <v>2.74191206851251</v>
      </c>
      <c r="AK144" s="22">
        <v>11.9984175702566</v>
      </c>
      <c r="AL144" s="22">
        <v>3.46387320354782</v>
      </c>
      <c r="AM144" s="22">
        <v>0.637124467690757</v>
      </c>
      <c r="AN144" s="22">
        <v>2.49669644943297</v>
      </c>
      <c r="AO144" s="22">
        <v>9.26566477729955</v>
      </c>
      <c r="AP144" s="22">
        <v>3.04395544929612</v>
      </c>
      <c r="AQ144" s="22">
        <v>0.717674223511879</v>
      </c>
      <c r="AR144" s="22">
        <v>3.1520304460679</v>
      </c>
      <c r="AS144" s="22">
        <v>15.9892623540675</v>
      </c>
      <c r="AT144" s="22">
        <v>3.99865756899332</v>
      </c>
      <c r="AU144" s="22">
        <v>0.519311839933443</v>
      </c>
      <c r="AV144" s="23">
        <f t="shared" ref="AV144:AW144" si="291">(AC144-AC$289)/AC$290</f>
        <v>-0.3263022012</v>
      </c>
      <c r="AW144" s="24">
        <f t="shared" si="291"/>
        <v>-0.3315818064</v>
      </c>
      <c r="AX144" s="24">
        <f t="shared" si="5"/>
        <v>-0.08593694268</v>
      </c>
      <c r="AY144" s="25">
        <f t="shared" si="6"/>
        <v>-0.04213024516</v>
      </c>
      <c r="AZ144" s="23">
        <f t="shared" si="7"/>
        <v>-0.5128658834</v>
      </c>
      <c r="BA144" s="25">
        <f t="shared" si="8"/>
        <v>-0.4970400187</v>
      </c>
      <c r="BB144" s="23">
        <f t="shared" si="9"/>
        <v>-0.2752629627</v>
      </c>
      <c r="BC144" s="24">
        <f t="shared" si="10"/>
        <v>-0.09044545388</v>
      </c>
      <c r="BD144" s="25">
        <f t="shared" si="11"/>
        <v>-0.4792160628</v>
      </c>
      <c r="BE144" s="26">
        <f t="shared" ref="BE144:BF144" si="292">((S144-S$289)/S$290)</f>
        <v>-0.1211015551</v>
      </c>
      <c r="BF144" s="26">
        <f t="shared" si="292"/>
        <v>1.518454823</v>
      </c>
    </row>
    <row r="145">
      <c r="A145" s="16" t="s">
        <v>67</v>
      </c>
      <c r="B145" s="20">
        <f t="shared" si="3"/>
        <v>0.1019847922</v>
      </c>
      <c r="C145" s="16" t="s">
        <v>68</v>
      </c>
      <c r="D145" s="16" t="s">
        <v>69</v>
      </c>
      <c r="E145" s="16">
        <v>218.0</v>
      </c>
      <c r="F145" s="21" t="s">
        <v>102</v>
      </c>
      <c r="G145" s="16" t="s">
        <v>100</v>
      </c>
      <c r="H145" s="21" t="s">
        <v>105</v>
      </c>
      <c r="I145" s="21" t="s">
        <v>88</v>
      </c>
      <c r="J145" s="21" t="s">
        <v>97</v>
      </c>
      <c r="K145" s="21" t="s">
        <v>99</v>
      </c>
      <c r="L145" s="16" t="s">
        <v>90</v>
      </c>
      <c r="M145" s="21" t="s">
        <v>85</v>
      </c>
      <c r="N145" s="16" t="s">
        <v>78</v>
      </c>
      <c r="O145" s="16" t="s">
        <v>92</v>
      </c>
      <c r="P145" s="16" t="s">
        <v>80</v>
      </c>
      <c r="Q145" s="21" t="s">
        <v>104</v>
      </c>
      <c r="S145" s="22">
        <v>749.299837112426</v>
      </c>
      <c r="T145" s="22">
        <v>402.912055492401</v>
      </c>
      <c r="U145" s="22">
        <v>2.8898853393431</v>
      </c>
      <c r="V145" s="22">
        <v>13.1104126407341</v>
      </c>
      <c r="W145" s="22">
        <v>3.62083038000043</v>
      </c>
      <c r="X145" s="22">
        <v>0.603638587751287</v>
      </c>
      <c r="Y145" s="22">
        <v>0.0871572445041067</v>
      </c>
      <c r="Z145" s="22">
        <v>0.0113314255768549</v>
      </c>
      <c r="AA145" s="22">
        <v>0.106449168981514</v>
      </c>
      <c r="AB145" s="22">
        <v>0.731327185942297</v>
      </c>
      <c r="AC145" s="22">
        <v>0.0878473499207003</v>
      </c>
      <c r="AD145" s="22">
        <v>0.106952646501616</v>
      </c>
      <c r="AE145" s="22">
        <v>0.733209295561864</v>
      </c>
      <c r="AF145" s="22">
        <v>0.111939160140798</v>
      </c>
      <c r="AG145" s="22">
        <v>0.13964651362198</v>
      </c>
      <c r="AH145" s="22">
        <v>0.551245447707472</v>
      </c>
      <c r="AI145" s="22">
        <v>10.0</v>
      </c>
      <c r="AJ145" s="22">
        <v>2.88988533934309</v>
      </c>
      <c r="AK145" s="22">
        <v>13.1104126407341</v>
      </c>
      <c r="AL145" s="22">
        <v>3.62083038000043</v>
      </c>
      <c r="AM145" s="22">
        <v>0.603493715905201</v>
      </c>
      <c r="AN145" s="22">
        <v>2.43044334780601</v>
      </c>
      <c r="AO145" s="22">
        <v>8.75581841577752</v>
      </c>
      <c r="AP145" s="22">
        <v>2.95902321987806</v>
      </c>
      <c r="AQ145" s="22">
        <v>0.733209295561863</v>
      </c>
      <c r="AR145" s="22">
        <v>3.09698343056211</v>
      </c>
      <c r="AS145" s="22">
        <v>14.9270459838117</v>
      </c>
      <c r="AT145" s="22">
        <v>3.86355354354145</v>
      </c>
      <c r="AU145" s="22">
        <v>0.551245447707472</v>
      </c>
      <c r="AV145" s="23">
        <f t="shared" ref="AV145:AW145" si="293">(AC145-AC$289)/AC$290</f>
        <v>-0.4198170724</v>
      </c>
      <c r="AW145" s="24">
        <f t="shared" si="293"/>
        <v>-0.4305688767</v>
      </c>
      <c r="AX145" s="24">
        <f t="shared" si="5"/>
        <v>-0.1800241839</v>
      </c>
      <c r="AY145" s="25">
        <f t="shared" si="6"/>
        <v>-0.2389301799</v>
      </c>
      <c r="AZ145" s="23">
        <f t="shared" si="7"/>
        <v>-0.2398193796</v>
      </c>
      <c r="BA145" s="25">
        <f t="shared" si="8"/>
        <v>-0.2581440135</v>
      </c>
      <c r="BB145" s="23">
        <f t="shared" si="9"/>
        <v>-0.3445406078</v>
      </c>
      <c r="BC145" s="24">
        <f t="shared" si="10"/>
        <v>-0.2517981101</v>
      </c>
      <c r="BD145" s="25">
        <f t="shared" si="11"/>
        <v>-0.2797432939</v>
      </c>
      <c r="BE145" s="26">
        <f t="shared" ref="BE145:BF145" si="294">((S145-S$289)/S$290)</f>
        <v>0.3671869065</v>
      </c>
      <c r="BF145" s="26">
        <f t="shared" si="294"/>
        <v>1.154366097</v>
      </c>
    </row>
    <row r="146">
      <c r="A146" s="16" t="s">
        <v>82</v>
      </c>
      <c r="B146" s="20">
        <f t="shared" si="3"/>
        <v>0.1018655325</v>
      </c>
      <c r="C146" s="16" t="s">
        <v>68</v>
      </c>
      <c r="D146" s="16" t="s">
        <v>69</v>
      </c>
      <c r="E146" s="16">
        <v>189.0</v>
      </c>
      <c r="F146" s="21" t="s">
        <v>102</v>
      </c>
      <c r="G146" s="16" t="s">
        <v>71</v>
      </c>
      <c r="H146" s="21" t="s">
        <v>103</v>
      </c>
      <c r="I146" s="21" t="s">
        <v>73</v>
      </c>
      <c r="J146" s="21" t="s">
        <v>74</v>
      </c>
      <c r="K146" s="21" t="s">
        <v>99</v>
      </c>
      <c r="L146" s="16" t="s">
        <v>84</v>
      </c>
      <c r="M146" s="21" t="s">
        <v>85</v>
      </c>
      <c r="N146" s="16" t="s">
        <v>78</v>
      </c>
      <c r="O146" s="16" t="s">
        <v>86</v>
      </c>
      <c r="P146" s="16" t="s">
        <v>80</v>
      </c>
      <c r="Q146" s="21" t="s">
        <v>87</v>
      </c>
      <c r="S146" s="22">
        <v>1149.64502859115</v>
      </c>
      <c r="T146" s="22">
        <v>329.706677436828</v>
      </c>
      <c r="U146" s="22">
        <v>2.93572714945697</v>
      </c>
      <c r="V146" s="22">
        <v>13.494064603272</v>
      </c>
      <c r="W146" s="22">
        <v>3.67342682018739</v>
      </c>
      <c r="X146" s="22">
        <v>0.593092943754664</v>
      </c>
      <c r="Y146" s="22">
        <v>0.0450708573558737</v>
      </c>
      <c r="Z146" s="22">
        <v>0.00306019372190008</v>
      </c>
      <c r="AA146" s="22">
        <v>0.0553190177235648</v>
      </c>
      <c r="AB146" s="22">
        <v>0.928773393908261</v>
      </c>
      <c r="AC146" s="22">
        <v>0.0449661774964449</v>
      </c>
      <c r="AD146" s="22">
        <v>0.0551923239614014</v>
      </c>
      <c r="AE146" s="22">
        <v>0.929636957395459</v>
      </c>
      <c r="AF146" s="22">
        <v>0.141020986760844</v>
      </c>
      <c r="AG146" s="22">
        <v>0.171374540685205</v>
      </c>
      <c r="AH146" s="22">
        <v>0.323665580982772</v>
      </c>
      <c r="AI146" s="22">
        <v>10.0</v>
      </c>
      <c r="AJ146" s="22">
        <v>2.93572714945697</v>
      </c>
      <c r="AK146" s="22">
        <v>13.494064603272</v>
      </c>
      <c r="AL146" s="22">
        <v>3.67342682018739</v>
      </c>
      <c r="AM146" s="22">
        <v>0.592949261206359</v>
      </c>
      <c r="AN146" s="22">
        <v>1.24406424406831</v>
      </c>
      <c r="AO146" s="22">
        <v>2.33169122094768</v>
      </c>
      <c r="AP146" s="22">
        <v>1.52698762959877</v>
      </c>
      <c r="AQ146" s="22">
        <v>0.929636957395459</v>
      </c>
      <c r="AR146" s="22">
        <v>3.901580633717</v>
      </c>
      <c r="AS146" s="22">
        <v>22.4805163867558</v>
      </c>
      <c r="AT146" s="22">
        <v>4.74136229229067</v>
      </c>
      <c r="AU146" s="22">
        <v>0.323665580982772</v>
      </c>
      <c r="AV146" s="23">
        <f t="shared" ref="AV146:AW146" si="295">(AC146-AC$289)/AC$290</f>
        <v>-2.094366436</v>
      </c>
      <c r="AW146" s="24">
        <f t="shared" si="295"/>
        <v>-2.099582026</v>
      </c>
      <c r="AX146" s="24">
        <f t="shared" si="5"/>
        <v>1.195206252</v>
      </c>
      <c r="AY146" s="25">
        <f t="shared" si="6"/>
        <v>1.039734197</v>
      </c>
      <c r="AZ146" s="23">
        <f t="shared" si="7"/>
        <v>-0.1552301433</v>
      </c>
      <c r="BA146" s="25">
        <f t="shared" si="8"/>
        <v>-0.1780898247</v>
      </c>
      <c r="BB146" s="23">
        <f t="shared" si="9"/>
        <v>-1.220497012</v>
      </c>
      <c r="BC146" s="24">
        <f t="shared" si="10"/>
        <v>0.8981069137</v>
      </c>
      <c r="BD146" s="25">
        <f t="shared" si="11"/>
        <v>-0.2172013803</v>
      </c>
      <c r="BE146" s="26">
        <f t="shared" ref="BE146:BF146" si="296">((S146-S$289)/S$290)</f>
        <v>1.135828355</v>
      </c>
      <c r="BF146" s="26">
        <f t="shared" si="296"/>
        <v>0.5755702471</v>
      </c>
    </row>
    <row r="147">
      <c r="A147" s="16" t="s">
        <v>82</v>
      </c>
      <c r="B147" s="20">
        <f t="shared" si="3"/>
        <v>0.08867186796</v>
      </c>
      <c r="C147" s="16" t="s">
        <v>68</v>
      </c>
      <c r="D147" s="16" t="s">
        <v>69</v>
      </c>
      <c r="E147" s="16">
        <v>263.0</v>
      </c>
      <c r="F147" s="21" t="s">
        <v>102</v>
      </c>
      <c r="G147" s="16" t="s">
        <v>100</v>
      </c>
      <c r="H147" s="21" t="s">
        <v>105</v>
      </c>
      <c r="I147" s="21" t="s">
        <v>73</v>
      </c>
      <c r="J147" s="21" t="s">
        <v>74</v>
      </c>
      <c r="K147" s="21" t="s">
        <v>75</v>
      </c>
      <c r="L147" s="16" t="s">
        <v>84</v>
      </c>
      <c r="M147" s="21" t="s">
        <v>77</v>
      </c>
      <c r="N147" s="16" t="s">
        <v>78</v>
      </c>
      <c r="O147" s="16" t="s">
        <v>92</v>
      </c>
      <c r="P147" s="16" t="s">
        <v>80</v>
      </c>
      <c r="Q147" s="21" t="s">
        <v>98</v>
      </c>
      <c r="R147" s="21" t="s">
        <v>98</v>
      </c>
      <c r="S147" s="22">
        <v>572.296486139297</v>
      </c>
      <c r="T147" s="22">
        <v>337.376979589462</v>
      </c>
      <c r="U147" s="22">
        <v>2.93133922581567</v>
      </c>
      <c r="V147" s="22">
        <v>13.3120389666565</v>
      </c>
      <c r="W147" s="22">
        <v>3.64856670031624</v>
      </c>
      <c r="X147" s="22">
        <v>0.597575562690545</v>
      </c>
      <c r="Y147" s="22">
        <v>0.0941205674829902</v>
      </c>
      <c r="Z147" s="22">
        <v>0.0128332824753688</v>
      </c>
      <c r="AA147" s="22">
        <v>0.11328407864907</v>
      </c>
      <c r="AB147" s="22">
        <v>0.697386472527025</v>
      </c>
      <c r="AC147" s="22">
        <v>0.0947822277764516</v>
      </c>
      <c r="AD147" s="22">
        <v>0.113751425209148</v>
      </c>
      <c r="AE147" s="22">
        <v>0.69968238330087</v>
      </c>
      <c r="AF147" s="22">
        <v>0.11342508113569</v>
      </c>
      <c r="AG147" s="22">
        <v>0.141588760579208</v>
      </c>
      <c r="AH147" s="22">
        <v>0.53900458116474</v>
      </c>
      <c r="AI147" s="22">
        <v>10.0</v>
      </c>
      <c r="AJ147" s="22">
        <v>2.93133922581566</v>
      </c>
      <c r="AK147" s="22">
        <v>13.3120389666565</v>
      </c>
      <c r="AL147" s="22">
        <v>3.64856670031624</v>
      </c>
      <c r="AM147" s="22">
        <v>0.597461357866605</v>
      </c>
      <c r="AN147" s="22">
        <v>2.6223083018152</v>
      </c>
      <c r="AO147" s="22">
        <v>9.90438169244091</v>
      </c>
      <c r="AP147" s="22">
        <v>3.14712276411977</v>
      </c>
      <c r="AQ147" s="22">
        <v>0.69968238330087</v>
      </c>
      <c r="AR147" s="22">
        <v>3.1380939114208</v>
      </c>
      <c r="AS147" s="22">
        <v>15.3451534439902</v>
      </c>
      <c r="AT147" s="22">
        <v>3.91728904269142</v>
      </c>
      <c r="AU147" s="22">
        <v>0.53900458116474</v>
      </c>
      <c r="AV147" s="23">
        <f t="shared" ref="AV147:AW147" si="297">(AC147-AC$289)/AC$290</f>
        <v>-0.1490036911</v>
      </c>
      <c r="AW147" s="24">
        <f t="shared" si="297"/>
        <v>-0.2113420538</v>
      </c>
      <c r="AX147" s="24">
        <f t="shared" si="5"/>
        <v>-0.1097574911</v>
      </c>
      <c r="AY147" s="25">
        <f t="shared" si="6"/>
        <v>-0.1606561041</v>
      </c>
      <c r="AZ147" s="23">
        <f t="shared" si="7"/>
        <v>-0.1633269246</v>
      </c>
      <c r="BA147" s="25">
        <f t="shared" si="8"/>
        <v>-0.2159280647</v>
      </c>
      <c r="BB147" s="23">
        <f t="shared" si="9"/>
        <v>-0.1950295195</v>
      </c>
      <c r="BC147" s="24">
        <f t="shared" si="10"/>
        <v>-0.1899480259</v>
      </c>
      <c r="BD147" s="25">
        <f t="shared" si="11"/>
        <v>-0.2439638035</v>
      </c>
      <c r="BE147" s="26">
        <f t="shared" ref="BE147:BF147" si="298">((S147-S$289)/S$290)</f>
        <v>0.0273498986</v>
      </c>
      <c r="BF147" s="26">
        <f t="shared" si="298"/>
        <v>0.6362152321</v>
      </c>
    </row>
    <row r="148">
      <c r="A148" s="16" t="s">
        <v>67</v>
      </c>
      <c r="B148" s="20">
        <f t="shared" si="3"/>
        <v>0.07940977306</v>
      </c>
      <c r="C148" s="16" t="s">
        <v>68</v>
      </c>
      <c r="D148" s="16" t="s">
        <v>69</v>
      </c>
      <c r="E148" s="16">
        <v>148.0</v>
      </c>
      <c r="F148" s="21" t="s">
        <v>102</v>
      </c>
      <c r="G148" s="16" t="s">
        <v>71</v>
      </c>
      <c r="H148" s="21" t="s">
        <v>103</v>
      </c>
      <c r="I148" s="21" t="s">
        <v>88</v>
      </c>
      <c r="J148" s="21" t="s">
        <v>83</v>
      </c>
      <c r="K148" s="21" t="s">
        <v>99</v>
      </c>
      <c r="L148" s="16" t="s">
        <v>90</v>
      </c>
      <c r="M148" s="21" t="s">
        <v>85</v>
      </c>
      <c r="N148" s="16" t="s">
        <v>78</v>
      </c>
      <c r="O148" s="16" t="s">
        <v>86</v>
      </c>
      <c r="P148" s="16" t="s">
        <v>80</v>
      </c>
      <c r="Q148" s="21" t="s">
        <v>94</v>
      </c>
      <c r="S148" s="22">
        <v>888.282450199127</v>
      </c>
      <c r="T148" s="22">
        <v>416.572315216064</v>
      </c>
      <c r="U148" s="22">
        <v>2.93694380097763</v>
      </c>
      <c r="V148" s="22">
        <v>13.1287208404823</v>
      </c>
      <c r="W148" s="22">
        <v>3.62335767493113</v>
      </c>
      <c r="X148" s="22">
        <v>0.604010696161006</v>
      </c>
      <c r="Y148" s="22">
        <v>0.0881657774760687</v>
      </c>
      <c r="Z148" s="22">
        <v>0.0111545901290944</v>
      </c>
      <c r="AA148" s="22">
        <v>0.105615293064472</v>
      </c>
      <c r="AB148" s="22">
        <v>0.739074150421627</v>
      </c>
      <c r="AC148" s="22">
        <v>0.0884794449196567</v>
      </c>
      <c r="AD148" s="22">
        <v>0.105813644974045</v>
      </c>
      <c r="AE148" s="22">
        <v>0.740163515879493</v>
      </c>
      <c r="AF148" s="22">
        <v>0.110818497097064</v>
      </c>
      <c r="AG148" s="22">
        <v>0.138025521476263</v>
      </c>
      <c r="AH148" s="22">
        <v>0.561882903656949</v>
      </c>
      <c r="AI148" s="22">
        <v>10.0</v>
      </c>
      <c r="AJ148" s="22">
        <v>2.93694380097763</v>
      </c>
      <c r="AK148" s="22">
        <v>13.1287208404823</v>
      </c>
      <c r="AL148" s="22">
        <v>3.62335767493113</v>
      </c>
      <c r="AM148" s="22">
        <v>0.603843421942028</v>
      </c>
      <c r="AN148" s="22">
        <v>2.44793130944382</v>
      </c>
      <c r="AO148" s="22">
        <v>8.57031974338821</v>
      </c>
      <c r="AP148" s="22">
        <v>2.92751084428191</v>
      </c>
      <c r="AQ148" s="22">
        <v>0.740163515879493</v>
      </c>
      <c r="AR148" s="22">
        <v>3.06597841968547</v>
      </c>
      <c r="AS148" s="22">
        <v>14.5825162337015</v>
      </c>
      <c r="AT148" s="22">
        <v>3.81870609417661</v>
      </c>
      <c r="AU148" s="22">
        <v>0.561882903656949</v>
      </c>
      <c r="AV148" s="23">
        <f t="shared" ref="AV148:AW148" si="299">(AC148-AC$289)/AC$290</f>
        <v>-0.3951331793</v>
      </c>
      <c r="AW148" s="24">
        <f t="shared" si="299"/>
        <v>-0.4672960151</v>
      </c>
      <c r="AX148" s="24">
        <f t="shared" si="5"/>
        <v>-0.2330184454</v>
      </c>
      <c r="AY148" s="25">
        <f t="shared" si="6"/>
        <v>-0.3042574348</v>
      </c>
      <c r="AZ148" s="23">
        <f t="shared" si="7"/>
        <v>-0.1529851267</v>
      </c>
      <c r="BA148" s="25">
        <f t="shared" si="8"/>
        <v>-0.254297355</v>
      </c>
      <c r="BB148" s="23">
        <f t="shared" si="9"/>
        <v>-0.3755525018</v>
      </c>
      <c r="BC148" s="24">
        <f t="shared" si="10"/>
        <v>-0.3055465555</v>
      </c>
      <c r="BD148" s="25">
        <f t="shared" si="11"/>
        <v>-0.2818174917</v>
      </c>
      <c r="BE148" s="26">
        <f t="shared" ref="BE148:BF148" si="300">((S148-S$289)/S$290)</f>
        <v>0.6340261224</v>
      </c>
      <c r="BF148" s="26">
        <f t="shared" si="300"/>
        <v>1.262370479</v>
      </c>
    </row>
    <row r="149">
      <c r="A149" s="16" t="s">
        <v>82</v>
      </c>
      <c r="B149" s="20">
        <f t="shared" si="3"/>
        <v>0.07670820251</v>
      </c>
      <c r="C149" s="16" t="s">
        <v>68</v>
      </c>
      <c r="D149" s="16" t="s">
        <v>69</v>
      </c>
      <c r="E149" s="16">
        <v>111.0</v>
      </c>
      <c r="F149" s="21" t="s">
        <v>70</v>
      </c>
      <c r="G149" s="16" t="s">
        <v>100</v>
      </c>
      <c r="H149" s="21" t="s">
        <v>101</v>
      </c>
      <c r="I149" s="21" t="s">
        <v>73</v>
      </c>
      <c r="J149" s="21" t="s">
        <v>74</v>
      </c>
      <c r="K149" s="21" t="s">
        <v>75</v>
      </c>
      <c r="L149" s="16" t="s">
        <v>76</v>
      </c>
      <c r="M149" s="21" t="s">
        <v>77</v>
      </c>
      <c r="N149" s="16" t="s">
        <v>78</v>
      </c>
      <c r="O149" s="16" t="s">
        <v>92</v>
      </c>
      <c r="P149" s="16" t="s">
        <v>80</v>
      </c>
      <c r="Q149" s="21" t="s">
        <v>81</v>
      </c>
      <c r="R149" s="21" t="s">
        <v>104</v>
      </c>
      <c r="S149" s="22">
        <v>122.91064453125</v>
      </c>
      <c r="T149" s="22">
        <v>129.906950473785</v>
      </c>
      <c r="U149" s="22">
        <v>3.11492565888661</v>
      </c>
      <c r="V149" s="22">
        <v>15.9387430337399</v>
      </c>
      <c r="W149" s="22">
        <v>3.99233553621685</v>
      </c>
      <c r="X149" s="22">
        <v>0.528559820106688</v>
      </c>
      <c r="Y149" s="22">
        <v>0.105815398297309</v>
      </c>
      <c r="Z149" s="22">
        <v>0.0174723390502035</v>
      </c>
      <c r="AA149" s="22">
        <v>0.132182975644383</v>
      </c>
      <c r="AB149" s="22">
        <v>0.621591421065812</v>
      </c>
      <c r="AC149" s="22">
        <v>0.106851441407468</v>
      </c>
      <c r="AD149" s="22">
        <v>0.132990231450962</v>
      </c>
      <c r="AE149" s="22">
        <v>0.623288110421851</v>
      </c>
      <c r="AF149" s="22">
        <v>0.115978156738211</v>
      </c>
      <c r="AG149" s="22">
        <v>0.146902470817484</v>
      </c>
      <c r="AH149" s="22">
        <v>0.544156504224174</v>
      </c>
      <c r="AI149" s="22">
        <v>10.0</v>
      </c>
      <c r="AJ149" s="22">
        <v>3.11492565888661</v>
      </c>
      <c r="AK149" s="22">
        <v>15.9387430337399</v>
      </c>
      <c r="AL149" s="22">
        <v>3.99233553621685</v>
      </c>
      <c r="AM149" s="22">
        <v>0.528431507031482</v>
      </c>
      <c r="AN149" s="22">
        <v>2.85827605764977</v>
      </c>
      <c r="AO149" s="22">
        <v>12.6557257888216</v>
      </c>
      <c r="AP149" s="22">
        <v>3.55748869131324</v>
      </c>
      <c r="AQ149" s="22">
        <v>0.623288110421851</v>
      </c>
      <c r="AR149" s="22">
        <v>3.10241569274714</v>
      </c>
      <c r="AS149" s="22">
        <v>15.4420791305433</v>
      </c>
      <c r="AT149" s="22">
        <v>3.9296410943677</v>
      </c>
      <c r="AU149" s="22">
        <v>0.544156504224174</v>
      </c>
      <c r="AV149" s="23">
        <f t="shared" ref="AV149:AW149" si="301">(AC149-AC$289)/AC$290</f>
        <v>0.3223102415</v>
      </c>
      <c r="AW149" s="24">
        <f t="shared" si="301"/>
        <v>0.4090138291</v>
      </c>
      <c r="AX149" s="24">
        <f t="shared" si="5"/>
        <v>-0.1707392743</v>
      </c>
      <c r="AY149" s="25">
        <f t="shared" si="6"/>
        <v>-0.1426634281</v>
      </c>
      <c r="AZ149" s="23">
        <f t="shared" si="7"/>
        <v>0.1754344843</v>
      </c>
      <c r="BA149" s="25">
        <f t="shared" si="8"/>
        <v>0.307303835</v>
      </c>
      <c r="BB149" s="23">
        <f t="shared" si="9"/>
        <v>0.1456457802</v>
      </c>
      <c r="BC149" s="24">
        <f t="shared" si="10"/>
        <v>-0.2159794244</v>
      </c>
      <c r="BD149" s="25">
        <f t="shared" si="11"/>
        <v>0.1654702635</v>
      </c>
      <c r="BE149" s="26">
        <f t="shared" ref="BE149:BF149" si="302">((S149-S$289)/S$290)</f>
        <v>-0.8354469862</v>
      </c>
      <c r="BF149" s="26">
        <f t="shared" si="302"/>
        <v>-1.004139548</v>
      </c>
    </row>
    <row r="150">
      <c r="A150" s="16" t="s">
        <v>82</v>
      </c>
      <c r="B150" s="20">
        <f t="shared" si="3"/>
        <v>0.07535190071</v>
      </c>
      <c r="C150" s="16" t="s">
        <v>68</v>
      </c>
      <c r="D150" s="16" t="s">
        <v>69</v>
      </c>
      <c r="E150" s="16">
        <v>58.0</v>
      </c>
      <c r="F150" s="21" t="s">
        <v>70</v>
      </c>
      <c r="G150" s="16" t="s">
        <v>71</v>
      </c>
      <c r="H150" s="21" t="s">
        <v>72</v>
      </c>
      <c r="I150" s="21" t="s">
        <v>73</v>
      </c>
      <c r="J150" s="21" t="s">
        <v>74</v>
      </c>
      <c r="K150" s="21" t="s">
        <v>75</v>
      </c>
      <c r="L150" s="16" t="s">
        <v>90</v>
      </c>
      <c r="M150" s="21" t="s">
        <v>85</v>
      </c>
      <c r="N150" s="16" t="s">
        <v>78</v>
      </c>
      <c r="O150" s="16" t="s">
        <v>92</v>
      </c>
      <c r="P150" s="16" t="s">
        <v>80</v>
      </c>
      <c r="Q150" s="21" t="s">
        <v>94</v>
      </c>
      <c r="S150" s="22">
        <v>106.922097682952</v>
      </c>
      <c r="T150" s="22">
        <v>127.375523567199</v>
      </c>
      <c r="U150" s="22">
        <v>3.04263937950927</v>
      </c>
      <c r="V150" s="22">
        <v>15.4715680195695</v>
      </c>
      <c r="W150" s="22">
        <v>3.9333914144882</v>
      </c>
      <c r="X150" s="22">
        <v>0.543752663210764</v>
      </c>
      <c r="Y150" s="22">
        <v>0.101744580061237</v>
      </c>
      <c r="Z150" s="22">
        <v>0.0141707801739452</v>
      </c>
      <c r="AA150" s="22">
        <v>0.119041086075124</v>
      </c>
      <c r="AB150" s="22">
        <v>0.69731734114551</v>
      </c>
      <c r="AC150" s="22">
        <v>0.102125347461628</v>
      </c>
      <c r="AD150" s="22">
        <v>0.119319129673722</v>
      </c>
      <c r="AE150" s="22">
        <v>0.698320564717078</v>
      </c>
      <c r="AF150" s="22">
        <v>0.122332501290442</v>
      </c>
      <c r="AG150" s="22">
        <v>0.161672918755987</v>
      </c>
      <c r="AH150" s="22">
        <v>0.450529060891681</v>
      </c>
      <c r="AI150" s="22">
        <v>10.0</v>
      </c>
      <c r="AJ150" s="22">
        <v>3.04263937950928</v>
      </c>
      <c r="AK150" s="22">
        <v>15.4715680195695</v>
      </c>
      <c r="AL150" s="22">
        <v>3.9333914144882</v>
      </c>
      <c r="AM150" s="22">
        <v>0.543677283366833</v>
      </c>
      <c r="AN150" s="22">
        <v>2.73185304459856</v>
      </c>
      <c r="AO150" s="22">
        <v>10.1875024581297</v>
      </c>
      <c r="AP150" s="22">
        <v>3.19178671877206</v>
      </c>
      <c r="AQ150" s="22">
        <v>0.698320564717078</v>
      </c>
      <c r="AR150" s="22">
        <v>3.27239440951932</v>
      </c>
      <c r="AS150" s="22">
        <v>18.7034675508629</v>
      </c>
      <c r="AT150" s="22">
        <v>4.32475057672265</v>
      </c>
      <c r="AU150" s="22">
        <v>0.450529060891681</v>
      </c>
      <c r="AV150" s="23">
        <f t="shared" ref="AV150:AW150" si="303">(AC150-AC$289)/AC$290</f>
        <v>0.1377519106</v>
      </c>
      <c r="AW150" s="24">
        <f t="shared" si="303"/>
        <v>-0.03181125678</v>
      </c>
      <c r="AX150" s="24">
        <f t="shared" si="5"/>
        <v>0.1197910729</v>
      </c>
      <c r="AY150" s="25">
        <f t="shared" si="6"/>
        <v>0.4328747181</v>
      </c>
      <c r="AZ150" s="23">
        <f t="shared" si="7"/>
        <v>0.04204880086</v>
      </c>
      <c r="BA150" s="25">
        <f t="shared" si="8"/>
        <v>0.2175881843</v>
      </c>
      <c r="BB150" s="23">
        <f t="shared" si="9"/>
        <v>-0.1889565779</v>
      </c>
      <c r="BC150" s="24">
        <f t="shared" si="10"/>
        <v>0.2570969905</v>
      </c>
      <c r="BD150" s="25">
        <f t="shared" si="11"/>
        <v>0.0750435838</v>
      </c>
      <c r="BE150" s="26">
        <f t="shared" ref="BE150:BF150" si="304">((S150-S$289)/S$290)</f>
        <v>-0.8661441447</v>
      </c>
      <c r="BF150" s="26">
        <f t="shared" si="304"/>
        <v>-1.02415419</v>
      </c>
    </row>
    <row r="151">
      <c r="A151" s="16" t="s">
        <v>82</v>
      </c>
      <c r="B151" s="20">
        <f t="shared" si="3"/>
        <v>0.06976097517</v>
      </c>
      <c r="C151" s="16" t="s">
        <v>68</v>
      </c>
      <c r="D151" s="16" t="s">
        <v>69</v>
      </c>
      <c r="E151" s="16">
        <v>136.0</v>
      </c>
      <c r="F151" s="21" t="s">
        <v>70</v>
      </c>
      <c r="G151" s="16" t="s">
        <v>100</v>
      </c>
      <c r="H151" s="21" t="s">
        <v>101</v>
      </c>
      <c r="I151" s="21" t="s">
        <v>88</v>
      </c>
      <c r="J151" s="21" t="s">
        <v>83</v>
      </c>
      <c r="K151" s="21" t="s">
        <v>99</v>
      </c>
      <c r="L151" s="16" t="s">
        <v>90</v>
      </c>
      <c r="M151" s="21" t="s">
        <v>85</v>
      </c>
      <c r="N151" s="16" t="s">
        <v>95</v>
      </c>
      <c r="O151" s="16" t="s">
        <v>79</v>
      </c>
      <c r="P151" s="16" t="s">
        <v>80</v>
      </c>
      <c r="Q151" s="21" t="s">
        <v>93</v>
      </c>
      <c r="S151" s="22">
        <v>372.364790201187</v>
      </c>
      <c r="T151" s="22">
        <v>125.684301614761</v>
      </c>
      <c r="U151" s="22">
        <v>3.12283875207182</v>
      </c>
      <c r="V151" s="22">
        <v>15.0978445924459</v>
      </c>
      <c r="W151" s="22">
        <v>3.88559449665632</v>
      </c>
      <c r="X151" s="22">
        <v>0.547519059621517</v>
      </c>
      <c r="Y151" s="22">
        <v>0.108025967530182</v>
      </c>
      <c r="Z151" s="22">
        <v>0.0173476377469915</v>
      </c>
      <c r="AA151" s="22">
        <v>0.131710431428158</v>
      </c>
      <c r="AB151" s="22">
        <v>0.619545201717121</v>
      </c>
      <c r="AC151" s="22">
        <v>0.108884525798867</v>
      </c>
      <c r="AD151" s="22">
        <v>0.1323227748364</v>
      </c>
      <c r="AE151" s="22">
        <v>0.622933385622476</v>
      </c>
      <c r="AF151" s="22">
        <v>0.114959403292028</v>
      </c>
      <c r="AG151" s="22">
        <v>0.144689125575687</v>
      </c>
      <c r="AH151" s="22">
        <v>0.551109426632763</v>
      </c>
      <c r="AI151" s="22">
        <v>10.0</v>
      </c>
      <c r="AJ151" s="22">
        <v>3.12283875207183</v>
      </c>
      <c r="AK151" s="22">
        <v>15.0978445924459</v>
      </c>
      <c r="AL151" s="22">
        <v>3.88559449665632</v>
      </c>
      <c r="AM151" s="22">
        <v>0.547444123729629</v>
      </c>
      <c r="AN151" s="22">
        <v>2.9126610651197</v>
      </c>
      <c r="AO151" s="22">
        <v>12.5290104600558</v>
      </c>
      <c r="AP151" s="22">
        <v>3.53963422687371</v>
      </c>
      <c r="AQ151" s="22">
        <v>0.622933385622476</v>
      </c>
      <c r="AR151" s="22">
        <v>3.07516403806175</v>
      </c>
      <c r="AS151" s="22">
        <v>14.9802601932688</v>
      </c>
      <c r="AT151" s="22">
        <v>3.87043410914963</v>
      </c>
      <c r="AU151" s="22">
        <v>0.551109426632763</v>
      </c>
      <c r="AV151" s="23">
        <f t="shared" ref="AV151:AW151" si="305">(AC151-AC$289)/AC$290</f>
        <v>0.4017040636</v>
      </c>
      <c r="AW151" s="24">
        <f t="shared" si="305"/>
        <v>0.3874916706</v>
      </c>
      <c r="AX151" s="24">
        <f t="shared" si="5"/>
        <v>-0.2173182393</v>
      </c>
      <c r="AY151" s="25">
        <f t="shared" si="6"/>
        <v>-0.2289075706</v>
      </c>
      <c r="AZ151" s="23">
        <f t="shared" si="7"/>
        <v>0.1900360567</v>
      </c>
      <c r="BA151" s="25">
        <f t="shared" si="8"/>
        <v>0.1448390881</v>
      </c>
      <c r="BB151" s="23">
        <f t="shared" si="9"/>
        <v>0.1472276524</v>
      </c>
      <c r="BC151" s="24">
        <f t="shared" si="10"/>
        <v>-0.2511108292</v>
      </c>
      <c r="BD151" s="25">
        <f t="shared" si="11"/>
        <v>0.05270147019</v>
      </c>
      <c r="BE151" s="26">
        <f t="shared" ref="BE151:BF151" si="306">((S151-S$289)/S$290)</f>
        <v>-0.3565083107</v>
      </c>
      <c r="BF151" s="26">
        <f t="shared" si="306"/>
        <v>-1.037525779</v>
      </c>
    </row>
    <row r="152">
      <c r="A152" s="16" t="s">
        <v>67</v>
      </c>
      <c r="B152" s="20">
        <f t="shared" si="3"/>
        <v>0.0641936343</v>
      </c>
      <c r="C152" s="16" t="s">
        <v>68</v>
      </c>
      <c r="D152" s="16" t="s">
        <v>69</v>
      </c>
      <c r="E152" s="16">
        <v>156.0</v>
      </c>
      <c r="F152" s="21" t="s">
        <v>102</v>
      </c>
      <c r="G152" s="16" t="s">
        <v>71</v>
      </c>
      <c r="H152" s="21" t="s">
        <v>103</v>
      </c>
      <c r="I152" s="21" t="s">
        <v>73</v>
      </c>
      <c r="J152" s="21" t="s">
        <v>74</v>
      </c>
      <c r="K152" s="21" t="s">
        <v>99</v>
      </c>
      <c r="L152" s="16" t="s">
        <v>90</v>
      </c>
      <c r="M152" s="21" t="s">
        <v>85</v>
      </c>
      <c r="N152" s="16" t="s">
        <v>95</v>
      </c>
      <c r="O152" s="16" t="s">
        <v>86</v>
      </c>
      <c r="P152" s="16" t="s">
        <v>80</v>
      </c>
      <c r="Q152" s="21" t="s">
        <v>94</v>
      </c>
      <c r="S152" s="22">
        <v>452.647216796875</v>
      </c>
      <c r="T152" s="22">
        <v>394.79013967514</v>
      </c>
      <c r="U152" s="22">
        <v>3.04275949980172</v>
      </c>
      <c r="V152" s="22">
        <v>14.0250594753244</v>
      </c>
      <c r="W152" s="22">
        <v>3.74500460284422</v>
      </c>
      <c r="X152" s="22">
        <v>0.57699186872915</v>
      </c>
      <c r="Y152" s="22">
        <v>0.0837291076878846</v>
      </c>
      <c r="Z152" s="22">
        <v>0.00997315862279255</v>
      </c>
      <c r="AA152" s="22">
        <v>0.099865702935455</v>
      </c>
      <c r="AB152" s="22">
        <v>0.767872786734884</v>
      </c>
      <c r="AC152" s="22">
        <v>0.0840042089431359</v>
      </c>
      <c r="AD152" s="22">
        <v>0.100033339018165</v>
      </c>
      <c r="AE152" s="22">
        <v>0.768859111010643</v>
      </c>
      <c r="AF152" s="22">
        <v>0.119439885673587</v>
      </c>
      <c r="AG152" s="22">
        <v>0.147737629492119</v>
      </c>
      <c r="AH152" s="22">
        <v>0.497366842602824</v>
      </c>
      <c r="AI152" s="22">
        <v>10.0</v>
      </c>
      <c r="AJ152" s="22">
        <v>3.04275949980172</v>
      </c>
      <c r="AK152" s="22">
        <v>14.0250594753244</v>
      </c>
      <c r="AL152" s="22">
        <v>3.74500460284422</v>
      </c>
      <c r="AM152" s="22">
        <v>0.576931711170906</v>
      </c>
      <c r="AN152" s="22">
        <v>2.32411644742673</v>
      </c>
      <c r="AO152" s="22">
        <v>7.65954912847598</v>
      </c>
      <c r="AP152" s="22">
        <v>2.76758904616924</v>
      </c>
      <c r="AQ152" s="22">
        <v>0.768859111010643</v>
      </c>
      <c r="AR152" s="22">
        <v>3.30450350363606</v>
      </c>
      <c r="AS152" s="22">
        <v>16.7069021088903</v>
      </c>
      <c r="AT152" s="22">
        <v>4.08740774928197</v>
      </c>
      <c r="AU152" s="22">
        <v>0.497366842602824</v>
      </c>
      <c r="AV152" s="23">
        <f t="shared" ref="AV152:AW152" si="307">(AC152-AC$289)/AC$290</f>
        <v>-0.569895275</v>
      </c>
      <c r="AW152" s="24">
        <f t="shared" si="307"/>
        <v>-0.6536821536</v>
      </c>
      <c r="AX152" s="24">
        <f t="shared" si="5"/>
        <v>0.1746724512</v>
      </c>
      <c r="AY152" s="25">
        <f t="shared" si="6"/>
        <v>0.08714813595</v>
      </c>
      <c r="AZ152" s="23">
        <f t="shared" si="7"/>
        <v>0.04227045187</v>
      </c>
      <c r="BA152" s="25">
        <f t="shared" si="8"/>
        <v>-0.06914516392</v>
      </c>
      <c r="BB152" s="23">
        <f t="shared" si="9"/>
        <v>-0.5035186451</v>
      </c>
      <c r="BC152" s="24">
        <f t="shared" si="10"/>
        <v>0.02043721357</v>
      </c>
      <c r="BD152" s="25">
        <f t="shared" si="11"/>
        <v>-0.1221971093</v>
      </c>
      <c r="BE152" s="26">
        <f t="shared" ref="BE152:BF152" si="308">((S152-S$289)/S$290)</f>
        <v>-0.2023703269</v>
      </c>
      <c r="BF152" s="26">
        <f t="shared" si="308"/>
        <v>1.090150444</v>
      </c>
    </row>
    <row r="153">
      <c r="A153" s="16" t="s">
        <v>82</v>
      </c>
      <c r="B153" s="20">
        <f t="shared" si="3"/>
        <v>0.05770602498</v>
      </c>
      <c r="C153" s="16" t="s">
        <v>68</v>
      </c>
      <c r="D153" s="16" t="s">
        <v>69</v>
      </c>
      <c r="E153" s="16">
        <v>181.0</v>
      </c>
      <c r="F153" s="21" t="s">
        <v>102</v>
      </c>
      <c r="G153" s="16" t="s">
        <v>71</v>
      </c>
      <c r="H153" s="21" t="s">
        <v>103</v>
      </c>
      <c r="I153" s="21" t="s">
        <v>73</v>
      </c>
      <c r="J153" s="21" t="s">
        <v>83</v>
      </c>
      <c r="K153" s="21" t="s">
        <v>99</v>
      </c>
      <c r="L153" s="16" t="s">
        <v>90</v>
      </c>
      <c r="M153" s="21" t="s">
        <v>85</v>
      </c>
      <c r="N153" s="16" t="s">
        <v>78</v>
      </c>
      <c r="O153" s="16" t="s">
        <v>92</v>
      </c>
      <c r="P153" s="16" t="s">
        <v>80</v>
      </c>
      <c r="Q153" s="21" t="s">
        <v>96</v>
      </c>
      <c r="S153" s="22">
        <v>249.156095743179</v>
      </c>
      <c r="T153" s="22">
        <v>316.155423402786</v>
      </c>
      <c r="U153" s="22">
        <v>2.98882556782127</v>
      </c>
      <c r="V153" s="22">
        <v>13.6954727718028</v>
      </c>
      <c r="W153" s="22">
        <v>3.70073948985913</v>
      </c>
      <c r="X153" s="22">
        <v>0.586903680310308</v>
      </c>
      <c r="Y153" s="22">
        <v>0.0975572726833538</v>
      </c>
      <c r="Z153" s="22">
        <v>0.0136888274368549</v>
      </c>
      <c r="AA153" s="22">
        <v>0.116999262548338</v>
      </c>
      <c r="AB153" s="22">
        <v>0.68138986995331</v>
      </c>
      <c r="AC153" s="22">
        <v>0.0979105988522575</v>
      </c>
      <c r="AD153" s="22">
        <v>0.11722510520346</v>
      </c>
      <c r="AE153" s="22">
        <v>0.682584221911342</v>
      </c>
      <c r="AF153" s="22">
        <v>0.117421731075408</v>
      </c>
      <c r="AG153" s="22">
        <v>0.146704033420634</v>
      </c>
      <c r="AH153" s="22">
        <v>0.504375244421398</v>
      </c>
      <c r="AI153" s="22">
        <v>10.0</v>
      </c>
      <c r="AJ153" s="22">
        <v>2.98882556782126</v>
      </c>
      <c r="AK153" s="22">
        <v>13.6954727718028</v>
      </c>
      <c r="AL153" s="22">
        <v>3.70073948985913</v>
      </c>
      <c r="AM153" s="22">
        <v>0.586873749771527</v>
      </c>
      <c r="AN153" s="22">
        <v>2.70885990157916</v>
      </c>
      <c r="AO153" s="22">
        <v>10.5185272802834</v>
      </c>
      <c r="AP153" s="22">
        <v>3.24322791062907</v>
      </c>
      <c r="AQ153" s="22">
        <v>0.682584221911342</v>
      </c>
      <c r="AR153" s="22">
        <v>3.24866789308642</v>
      </c>
      <c r="AS153" s="22">
        <v>16.4739515337054</v>
      </c>
      <c r="AT153" s="22">
        <v>4.05881159130421</v>
      </c>
      <c r="AU153" s="22">
        <v>0.504375244421397</v>
      </c>
      <c r="AV153" s="23">
        <f t="shared" ref="AV153:AW153" si="309">(AC153-AC$289)/AC$290</f>
        <v>-0.02683791296</v>
      </c>
      <c r="AW153" s="24">
        <f t="shared" si="309"/>
        <v>-0.09933313849</v>
      </c>
      <c r="AX153" s="24">
        <f t="shared" si="5"/>
        <v>0.07923733068</v>
      </c>
      <c r="AY153" s="25">
        <f t="shared" si="6"/>
        <v>0.04549340357</v>
      </c>
      <c r="AZ153" s="23">
        <f t="shared" si="7"/>
        <v>-0.05725070814</v>
      </c>
      <c r="BA153" s="25">
        <f t="shared" si="8"/>
        <v>-0.1365186915</v>
      </c>
      <c r="BB153" s="23">
        <f t="shared" si="9"/>
        <v>-0.1187813789</v>
      </c>
      <c r="BC153" s="24">
        <f t="shared" si="10"/>
        <v>-0.01497451496</v>
      </c>
      <c r="BD153" s="25">
        <f t="shared" si="11"/>
        <v>-0.1811659358</v>
      </c>
      <c r="BE153" s="26">
        <f t="shared" ref="BE153:BF153" si="310">((S153-S$289)/S$290)</f>
        <v>-0.5930624428</v>
      </c>
      <c r="BF153" s="26">
        <f t="shared" si="310"/>
        <v>0.4684277146</v>
      </c>
    </row>
    <row r="154">
      <c r="A154" s="16" t="s">
        <v>67</v>
      </c>
      <c r="B154" s="20">
        <f t="shared" si="3"/>
        <v>0.05129829482</v>
      </c>
      <c r="C154" s="16" t="s">
        <v>68</v>
      </c>
      <c r="D154" s="16" t="s">
        <v>69</v>
      </c>
      <c r="E154" s="16">
        <v>170.0</v>
      </c>
      <c r="F154" s="21" t="s">
        <v>102</v>
      </c>
      <c r="G154" s="16" t="s">
        <v>71</v>
      </c>
      <c r="H154" s="21" t="s">
        <v>103</v>
      </c>
      <c r="I154" s="21" t="s">
        <v>88</v>
      </c>
      <c r="J154" s="21" t="s">
        <v>74</v>
      </c>
      <c r="K154" s="21" t="s">
        <v>99</v>
      </c>
      <c r="L154" s="16" t="s">
        <v>90</v>
      </c>
      <c r="M154" s="21" t="s">
        <v>85</v>
      </c>
      <c r="N154" s="16" t="s">
        <v>78</v>
      </c>
      <c r="O154" s="16" t="s">
        <v>92</v>
      </c>
      <c r="P154" s="16" t="s">
        <v>80</v>
      </c>
      <c r="Q154" s="21" t="s">
        <v>93</v>
      </c>
      <c r="S154" s="22">
        <v>653.536651134491</v>
      </c>
      <c r="T154" s="22">
        <v>401.038974285125</v>
      </c>
      <c r="U154" s="22">
        <v>3.03524221360718</v>
      </c>
      <c r="V154" s="22">
        <v>13.945289054815</v>
      </c>
      <c r="W154" s="22">
        <v>3.73433917243935</v>
      </c>
      <c r="X154" s="22">
        <v>0.57940780101043</v>
      </c>
      <c r="Y154" s="22">
        <v>0.0765618949542237</v>
      </c>
      <c r="Z154" s="22">
        <v>0.00842504880555025</v>
      </c>
      <c r="AA154" s="22">
        <v>0.091788064613817</v>
      </c>
      <c r="AB154" s="22">
        <v>0.802923012689313</v>
      </c>
      <c r="AC154" s="22">
        <v>0.0767875176362642</v>
      </c>
      <c r="AD154" s="22">
        <v>0.0919080049339127</v>
      </c>
      <c r="AE154" s="22">
        <v>0.803969585050714</v>
      </c>
      <c r="AF154" s="22">
        <v>0.122963133803278</v>
      </c>
      <c r="AG154" s="22">
        <v>0.151568249785092</v>
      </c>
      <c r="AH154" s="22">
        <v>0.471691158604443</v>
      </c>
      <c r="AI154" s="22">
        <v>10.0</v>
      </c>
      <c r="AJ154" s="22">
        <v>3.03524221360718</v>
      </c>
      <c r="AK154" s="22">
        <v>13.945289054815</v>
      </c>
      <c r="AL154" s="22">
        <v>3.73433917243935</v>
      </c>
      <c r="AM154" s="22">
        <v>0.57920363612653</v>
      </c>
      <c r="AN154" s="22">
        <v>2.12445465460325</v>
      </c>
      <c r="AO154" s="22">
        <v>6.46577150715017</v>
      </c>
      <c r="AP154" s="22">
        <v>2.54278813650492</v>
      </c>
      <c r="AQ154" s="22">
        <v>0.803969585050714</v>
      </c>
      <c r="AR154" s="22">
        <v>3.40198003522421</v>
      </c>
      <c r="AS154" s="22">
        <v>17.5845049653721</v>
      </c>
      <c r="AT154" s="22">
        <v>4.19338824405421</v>
      </c>
      <c r="AU154" s="22">
        <v>0.471691158604442</v>
      </c>
      <c r="AV154" s="23">
        <f t="shared" ref="AV154:AW154" si="311">(AC154-AC$289)/AC$290</f>
        <v>-0.8517137317</v>
      </c>
      <c r="AW154" s="24">
        <f t="shared" si="311"/>
        <v>-0.9156837943</v>
      </c>
      <c r="AX154" s="24">
        <f t="shared" si="5"/>
        <v>0.3412809013</v>
      </c>
      <c r="AY154" s="25">
        <f t="shared" si="6"/>
        <v>0.2415251383</v>
      </c>
      <c r="AZ154" s="23">
        <f t="shared" si="7"/>
        <v>0.02839923917</v>
      </c>
      <c r="BA154" s="25">
        <f t="shared" si="8"/>
        <v>-0.08537843706</v>
      </c>
      <c r="BB154" s="23">
        <f t="shared" si="9"/>
        <v>-0.6600915243</v>
      </c>
      <c r="BC154" s="24">
        <f t="shared" si="10"/>
        <v>0.1501701221</v>
      </c>
      <c r="BD154" s="25">
        <f t="shared" si="11"/>
        <v>-0.1356724893</v>
      </c>
      <c r="BE154" s="26">
        <f t="shared" ref="BE154:BF154" si="312">((S154-S$289)/S$290)</f>
        <v>0.1833266891</v>
      </c>
      <c r="BF154" s="26">
        <f t="shared" si="312"/>
        <v>1.139556644</v>
      </c>
    </row>
    <row r="155">
      <c r="A155" s="16" t="s">
        <v>82</v>
      </c>
      <c r="B155" s="20">
        <f t="shared" si="3"/>
        <v>0.04916976886</v>
      </c>
      <c r="C155" s="16" t="s">
        <v>68</v>
      </c>
      <c r="D155" s="16" t="s">
        <v>69</v>
      </c>
      <c r="E155" s="16">
        <v>67.0</v>
      </c>
      <c r="F155" s="21" t="s">
        <v>70</v>
      </c>
      <c r="G155" s="16" t="s">
        <v>71</v>
      </c>
      <c r="H155" s="21" t="s">
        <v>72</v>
      </c>
      <c r="I155" s="21" t="s">
        <v>73</v>
      </c>
      <c r="J155" s="21" t="s">
        <v>83</v>
      </c>
      <c r="K155" s="21" t="s">
        <v>75</v>
      </c>
      <c r="L155" s="16" t="s">
        <v>90</v>
      </c>
      <c r="M155" s="21" t="s">
        <v>77</v>
      </c>
      <c r="N155" s="16" t="s">
        <v>78</v>
      </c>
      <c r="O155" s="16" t="s">
        <v>79</v>
      </c>
      <c r="P155" s="16" t="s">
        <v>80</v>
      </c>
      <c r="Q155" s="21" t="s">
        <v>93</v>
      </c>
      <c r="R155" s="21" t="s">
        <v>93</v>
      </c>
      <c r="S155" s="22">
        <v>114.420825958251</v>
      </c>
      <c r="T155" s="22">
        <v>131.597645998001</v>
      </c>
      <c r="U155" s="22">
        <v>3.00362204397847</v>
      </c>
      <c r="V155" s="22">
        <v>12.9683261508145</v>
      </c>
      <c r="W155" s="22">
        <v>3.60115622416114</v>
      </c>
      <c r="X155" s="22">
        <v>0.617568437402067</v>
      </c>
      <c r="Y155" s="22">
        <v>0.109271908482723</v>
      </c>
      <c r="Z155" s="22">
        <v>0.0175077029895819</v>
      </c>
      <c r="AA155" s="22">
        <v>0.132316676914068</v>
      </c>
      <c r="AB155" s="22">
        <v>0.626041895627966</v>
      </c>
      <c r="AC155" s="22">
        <v>0.109553871025231</v>
      </c>
      <c r="AD155" s="22">
        <v>0.132423118153541</v>
      </c>
      <c r="AE155" s="22">
        <v>0.62841927948009</v>
      </c>
      <c r="AF155" s="22">
        <v>0.133313021525351</v>
      </c>
      <c r="AG155" s="22">
        <v>0.157962030733158</v>
      </c>
      <c r="AH155" s="22">
        <v>0.475463653653989</v>
      </c>
      <c r="AI155" s="22">
        <v>10.0</v>
      </c>
      <c r="AJ155" s="22">
        <v>3.00362204397848</v>
      </c>
      <c r="AK155" s="22">
        <v>12.9683261508145</v>
      </c>
      <c r="AL155" s="22">
        <v>3.60115622416114</v>
      </c>
      <c r="AM155" s="22">
        <v>0.61750859306313</v>
      </c>
      <c r="AN155" s="22">
        <v>2.93056604992493</v>
      </c>
      <c r="AO155" s="22">
        <v>12.5480197221269</v>
      </c>
      <c r="AP155" s="22">
        <v>3.54231841060722</v>
      </c>
      <c r="AQ155" s="22">
        <v>0.62841927948009</v>
      </c>
      <c r="AR155" s="22">
        <v>3.56612332580313</v>
      </c>
      <c r="AS155" s="22">
        <v>17.854717756414</v>
      </c>
      <c r="AT155" s="22">
        <v>4.22548432211197</v>
      </c>
      <c r="AU155" s="22">
        <v>0.475463653653989</v>
      </c>
      <c r="AV155" s="23">
        <f t="shared" ref="AV155:AW155" si="313">(AC155-AC$289)/AC$290</f>
        <v>0.4278426125</v>
      </c>
      <c r="AW155" s="24">
        <f t="shared" si="313"/>
        <v>0.3907272439</v>
      </c>
      <c r="AX155" s="24">
        <f t="shared" si="5"/>
        <v>0.6218372445</v>
      </c>
      <c r="AY155" s="25">
        <f t="shared" si="6"/>
        <v>0.2882780463</v>
      </c>
      <c r="AZ155" s="23">
        <f t="shared" si="7"/>
        <v>-0.02994762792</v>
      </c>
      <c r="BA155" s="25">
        <f t="shared" si="8"/>
        <v>-0.288088979</v>
      </c>
      <c r="BB155" s="23">
        <f t="shared" si="9"/>
        <v>0.1227636649</v>
      </c>
      <c r="BC155" s="24">
        <f t="shared" si="10"/>
        <v>0.1311086336</v>
      </c>
      <c r="BD155" s="25">
        <f t="shared" si="11"/>
        <v>-0.3628691893</v>
      </c>
      <c r="BE155" s="26">
        <f t="shared" ref="BE155:BF155" si="314">((S155-S$289)/S$290)</f>
        <v>-0.8517469858</v>
      </c>
      <c r="BF155" s="26">
        <f t="shared" si="314"/>
        <v>-0.9907721211</v>
      </c>
    </row>
    <row r="156">
      <c r="A156" s="16" t="s">
        <v>67</v>
      </c>
      <c r="B156" s="20">
        <f t="shared" si="3"/>
        <v>0.04691487981</v>
      </c>
      <c r="C156" s="16" t="s">
        <v>68</v>
      </c>
      <c r="D156" s="16" t="s">
        <v>69</v>
      </c>
      <c r="E156" s="16">
        <v>157.0</v>
      </c>
      <c r="F156" s="21" t="s">
        <v>102</v>
      </c>
      <c r="G156" s="16" t="s">
        <v>71</v>
      </c>
      <c r="H156" s="21" t="s">
        <v>103</v>
      </c>
      <c r="I156" s="21" t="s">
        <v>88</v>
      </c>
      <c r="J156" s="21" t="s">
        <v>74</v>
      </c>
      <c r="K156" s="21" t="s">
        <v>99</v>
      </c>
      <c r="L156" s="16" t="s">
        <v>76</v>
      </c>
      <c r="M156" s="21" t="s">
        <v>85</v>
      </c>
      <c r="N156" s="16" t="s">
        <v>95</v>
      </c>
      <c r="O156" s="16" t="s">
        <v>92</v>
      </c>
      <c r="P156" s="16" t="s">
        <v>80</v>
      </c>
      <c r="Q156" s="21" t="s">
        <v>81</v>
      </c>
      <c r="S156" s="22">
        <v>1126.27016687393</v>
      </c>
      <c r="T156" s="22">
        <v>408.253660917282</v>
      </c>
      <c r="U156" s="22">
        <v>2.89411592324147</v>
      </c>
      <c r="V156" s="22">
        <v>12.8394006413215</v>
      </c>
      <c r="W156" s="22">
        <v>3.58321094010965</v>
      </c>
      <c r="X156" s="22">
        <v>0.612819822062621</v>
      </c>
      <c r="Y156" s="22">
        <v>0.0697899636176368</v>
      </c>
      <c r="Z156" s="22">
        <v>0.00706697311271088</v>
      </c>
      <c r="AA156" s="22">
        <v>0.084065290772773</v>
      </c>
      <c r="AB156" s="22">
        <v>0.834690836503976</v>
      </c>
      <c r="AC156" s="22">
        <v>0.0700051064521374</v>
      </c>
      <c r="AD156" s="22">
        <v>0.0841838015277709</v>
      </c>
      <c r="AE156" s="22">
        <v>0.835534864025596</v>
      </c>
      <c r="AF156" s="22">
        <v>0.126224632506016</v>
      </c>
      <c r="AG156" s="22">
        <v>0.155154868320686</v>
      </c>
      <c r="AH156" s="22">
        <v>0.446392173080615</v>
      </c>
      <c r="AI156" s="22">
        <v>10.0</v>
      </c>
      <c r="AJ156" s="22">
        <v>2.89411592324146</v>
      </c>
      <c r="AK156" s="22">
        <v>12.8394006413215</v>
      </c>
      <c r="AL156" s="22">
        <v>3.58321094010965</v>
      </c>
      <c r="AM156" s="22">
        <v>0.612573602243309</v>
      </c>
      <c r="AN156" s="22">
        <v>1.93680794517576</v>
      </c>
      <c r="AO156" s="22">
        <v>5.42463775520745</v>
      </c>
      <c r="AP156" s="22">
        <v>2.32908517560166</v>
      </c>
      <c r="AQ156" s="22">
        <v>0.835534864025596</v>
      </c>
      <c r="AR156" s="22">
        <v>3.49221483266668</v>
      </c>
      <c r="AS156" s="22">
        <v>18.4265694960119</v>
      </c>
      <c r="AT156" s="22">
        <v>4.292618023539</v>
      </c>
      <c r="AU156" s="22">
        <v>0.446392173080614</v>
      </c>
      <c r="AV156" s="23">
        <f t="shared" ref="AV156:AW156" si="315">(AC156-AC$289)/AC$290</f>
        <v>-1.116573149</v>
      </c>
      <c r="AW156" s="24">
        <f t="shared" si="315"/>
        <v>-1.164750964</v>
      </c>
      <c r="AX156" s="24">
        <f t="shared" si="5"/>
        <v>0.4955116634</v>
      </c>
      <c r="AY156" s="25">
        <f t="shared" si="6"/>
        <v>0.3860686785</v>
      </c>
      <c r="AZ156" s="23">
        <f t="shared" si="7"/>
        <v>-0.2320129283</v>
      </c>
      <c r="BA156" s="25">
        <f t="shared" si="8"/>
        <v>-0.3154025226</v>
      </c>
      <c r="BB156" s="23">
        <f t="shared" si="9"/>
        <v>-0.8008548364</v>
      </c>
      <c r="BC156" s="24">
        <f t="shared" si="10"/>
        <v>0.2779996659</v>
      </c>
      <c r="BD156" s="25">
        <f t="shared" si="11"/>
        <v>-0.3335984703</v>
      </c>
      <c r="BE156" s="26">
        <f t="shared" ref="BE156:BF156" si="316">((S156-S$289)/S$290)</f>
        <v>1.090949865</v>
      </c>
      <c r="BF156" s="26">
        <f t="shared" si="316"/>
        <v>1.19659932</v>
      </c>
    </row>
    <row r="157">
      <c r="A157" s="16" t="s">
        <v>82</v>
      </c>
      <c r="B157" s="20">
        <f t="shared" si="3"/>
        <v>0.03850404972</v>
      </c>
      <c r="C157" s="16" t="s">
        <v>68</v>
      </c>
      <c r="D157" s="16" t="s">
        <v>69</v>
      </c>
      <c r="E157" s="16">
        <v>123.0</v>
      </c>
      <c r="F157" s="21" t="s">
        <v>70</v>
      </c>
      <c r="G157" s="16" t="s">
        <v>100</v>
      </c>
      <c r="H157" s="21" t="s">
        <v>101</v>
      </c>
      <c r="I157" s="21" t="s">
        <v>88</v>
      </c>
      <c r="J157" s="21" t="s">
        <v>83</v>
      </c>
      <c r="K157" s="21" t="s">
        <v>75</v>
      </c>
      <c r="L157" s="16" t="s">
        <v>90</v>
      </c>
      <c r="M157" s="21" t="s">
        <v>85</v>
      </c>
      <c r="N157" s="16" t="s">
        <v>78</v>
      </c>
      <c r="O157" s="16" t="s">
        <v>79</v>
      </c>
      <c r="P157" s="16" t="s">
        <v>80</v>
      </c>
      <c r="Q157" s="21" t="s">
        <v>94</v>
      </c>
      <c r="S157" s="22">
        <v>143.304772615432</v>
      </c>
      <c r="T157" s="22">
        <v>131.835200548172</v>
      </c>
      <c r="U157" s="22">
        <v>3.21645374446799</v>
      </c>
      <c r="V157" s="22">
        <v>14.5852671449476</v>
      </c>
      <c r="W157" s="22">
        <v>3.81906626611108</v>
      </c>
      <c r="X157" s="22">
        <v>0.562874751646725</v>
      </c>
      <c r="Y157" s="22">
        <v>0.0817197904160067</v>
      </c>
      <c r="Z157" s="22">
        <v>0.00921651347481777</v>
      </c>
      <c r="AA157" s="22">
        <v>0.0960026743107595</v>
      </c>
      <c r="AB157" s="22">
        <v>0.797870648092053</v>
      </c>
      <c r="AC157" s="22">
        <v>0.0817528237997388</v>
      </c>
      <c r="AD157" s="22">
        <v>0.09586223031559</v>
      </c>
      <c r="AE157" s="22">
        <v>0.802100844740011</v>
      </c>
      <c r="AF157" s="22">
        <v>0.149332199296223</v>
      </c>
      <c r="AG157" s="22">
        <v>0.174821816268397</v>
      </c>
      <c r="AH157" s="22">
        <v>0.344670139628962</v>
      </c>
      <c r="AI157" s="22">
        <v>10.0</v>
      </c>
      <c r="AJ157" s="22">
        <v>3.216453744468</v>
      </c>
      <c r="AK157" s="22">
        <v>14.5852671449476</v>
      </c>
      <c r="AL157" s="22">
        <v>3.81906626611108</v>
      </c>
      <c r="AM157" s="22">
        <v>0.56280856429521</v>
      </c>
      <c r="AN157" s="22">
        <v>2.18688803664302</v>
      </c>
      <c r="AO157" s="22">
        <v>6.57570968032223</v>
      </c>
      <c r="AP157" s="22">
        <v>2.56431466094203</v>
      </c>
      <c r="AQ157" s="22">
        <v>0.802100844740011</v>
      </c>
      <c r="AR157" s="22">
        <v>3.994636331174</v>
      </c>
      <c r="AS157" s="22">
        <v>21.8694987224546</v>
      </c>
      <c r="AT157" s="22">
        <v>4.67648358517964</v>
      </c>
      <c r="AU157" s="22">
        <v>0.344670139628962</v>
      </c>
      <c r="AV157" s="23">
        <f t="shared" ref="AV157:AW157" si="317">(AC157-AC$289)/AC$290</f>
        <v>-0.6578139429</v>
      </c>
      <c r="AW157" s="24">
        <f t="shared" si="317"/>
        <v>-0.7881796785</v>
      </c>
      <c r="AX157" s="24">
        <f t="shared" si="5"/>
        <v>1.354258541</v>
      </c>
      <c r="AY157" s="25">
        <f t="shared" si="6"/>
        <v>0.945228313</v>
      </c>
      <c r="AZ157" s="23">
        <f t="shared" si="7"/>
        <v>0.3627783785</v>
      </c>
      <c r="BA157" s="25">
        <f t="shared" si="8"/>
        <v>0.04358007677</v>
      </c>
      <c r="BB157" s="23">
        <f t="shared" si="9"/>
        <v>-0.6517579982</v>
      </c>
      <c r="BC157" s="24">
        <f t="shared" si="10"/>
        <v>0.7919760514</v>
      </c>
      <c r="BD157" s="25">
        <f t="shared" si="11"/>
        <v>-0.03842903802</v>
      </c>
      <c r="BE157" s="26">
        <f t="shared" ref="BE157:BF157" si="318">((S157-S$289)/S$290)</f>
        <v>-0.7962913463</v>
      </c>
      <c r="BF157" s="26">
        <f t="shared" si="318"/>
        <v>-0.988893904</v>
      </c>
    </row>
    <row r="158">
      <c r="A158" s="16" t="s">
        <v>82</v>
      </c>
      <c r="B158" s="20">
        <f t="shared" si="3"/>
        <v>0.03307295501</v>
      </c>
      <c r="C158" s="16" t="s">
        <v>68</v>
      </c>
      <c r="D158" s="16" t="s">
        <v>69</v>
      </c>
      <c r="E158" s="16">
        <v>139.0</v>
      </c>
      <c r="F158" s="21" t="s">
        <v>70</v>
      </c>
      <c r="G158" s="16" t="s">
        <v>100</v>
      </c>
      <c r="H158" s="21" t="s">
        <v>101</v>
      </c>
      <c r="I158" s="21" t="s">
        <v>88</v>
      </c>
      <c r="J158" s="21" t="s">
        <v>74</v>
      </c>
      <c r="K158" s="21" t="s">
        <v>75</v>
      </c>
      <c r="L158" s="16" t="s">
        <v>90</v>
      </c>
      <c r="M158" s="21" t="s">
        <v>77</v>
      </c>
      <c r="N158" s="16" t="s">
        <v>78</v>
      </c>
      <c r="O158" s="16" t="s">
        <v>86</v>
      </c>
      <c r="P158" s="16" t="s">
        <v>80</v>
      </c>
      <c r="Q158" s="21" t="s">
        <v>96</v>
      </c>
      <c r="R158" s="21" t="s">
        <v>93</v>
      </c>
      <c r="S158" s="22">
        <v>170.887627601623</v>
      </c>
      <c r="T158" s="22">
        <v>132.076565504074</v>
      </c>
      <c r="U158" s="22">
        <v>2.97618614443439</v>
      </c>
      <c r="V158" s="22">
        <v>16.3389155309036</v>
      </c>
      <c r="W158" s="22">
        <v>4.04214244317337</v>
      </c>
      <c r="X158" s="22">
        <v>0.510292457680846</v>
      </c>
      <c r="Y158" s="22">
        <v>0.0977341564031284</v>
      </c>
      <c r="Z158" s="22">
        <v>0.0176792986793598</v>
      </c>
      <c r="AA158" s="22">
        <v>0.132963523867863</v>
      </c>
      <c r="AB158" s="22">
        <v>0.612271474022157</v>
      </c>
      <c r="AC158" s="22">
        <v>0.0988416130453663</v>
      </c>
      <c r="AD158" s="22">
        <v>0.133689527666075</v>
      </c>
      <c r="AE158" s="22">
        <v>0.61510376739405</v>
      </c>
      <c r="AF158" s="22">
        <v>0.116055267980632</v>
      </c>
      <c r="AG158" s="22">
        <v>0.156074526429459</v>
      </c>
      <c r="AH158" s="22">
        <v>0.477684693506973</v>
      </c>
      <c r="AI158" s="22">
        <v>10.0</v>
      </c>
      <c r="AJ158" s="22">
        <v>2.9761861444344</v>
      </c>
      <c r="AK158" s="22">
        <v>16.3389155309036</v>
      </c>
      <c r="AL158" s="22">
        <v>4.04214244317338</v>
      </c>
      <c r="AM158" s="22">
        <v>0.510243188018021</v>
      </c>
      <c r="AN158" s="22">
        <v>2.64401314896354</v>
      </c>
      <c r="AO158" s="22">
        <v>12.7891697129352</v>
      </c>
      <c r="AP158" s="22">
        <v>3.5761948650675</v>
      </c>
      <c r="AQ158" s="22">
        <v>0.61510376739405</v>
      </c>
      <c r="AR158" s="22">
        <v>3.10447841848192</v>
      </c>
      <c r="AS158" s="22">
        <v>17.4305714096414</v>
      </c>
      <c r="AT158" s="22">
        <v>4.17499358198805</v>
      </c>
      <c r="AU158" s="22">
        <v>0.477684693506974</v>
      </c>
      <c r="AV158" s="23">
        <f t="shared" ref="AV158:AW158" si="319">(AC158-AC$289)/AC$290</f>
        <v>0.009519050634</v>
      </c>
      <c r="AW158" s="24">
        <f t="shared" si="319"/>
        <v>0.4315626565</v>
      </c>
      <c r="AX158" s="24">
        <f t="shared" si="5"/>
        <v>-0.1672136304</v>
      </c>
      <c r="AY158" s="25">
        <f t="shared" si="6"/>
        <v>0.2147304645</v>
      </c>
      <c r="AZ158" s="23">
        <f t="shared" si="7"/>
        <v>-0.08057350384</v>
      </c>
      <c r="BA158" s="25">
        <f t="shared" si="8"/>
        <v>0.3831122266</v>
      </c>
      <c r="BB158" s="23">
        <f t="shared" si="9"/>
        <v>0.1821433265</v>
      </c>
      <c r="BC158" s="24">
        <f t="shared" si="10"/>
        <v>0.1198862661</v>
      </c>
      <c r="BD158" s="25">
        <f t="shared" si="11"/>
        <v>0.273349932</v>
      </c>
      <c r="BE158" s="26">
        <f t="shared" ref="BE158:BF158" si="320">((S158-S$289)/S$290)</f>
        <v>-0.7433337336</v>
      </c>
      <c r="BF158" s="26">
        <f t="shared" si="320"/>
        <v>-0.9869855602</v>
      </c>
    </row>
    <row r="159">
      <c r="A159" s="16" t="s">
        <v>67</v>
      </c>
      <c r="B159" s="20">
        <f t="shared" si="3"/>
        <v>0.02609271365</v>
      </c>
      <c r="C159" s="16" t="s">
        <v>68</v>
      </c>
      <c r="D159" s="16" t="s">
        <v>69</v>
      </c>
      <c r="E159" s="16">
        <v>243.0</v>
      </c>
      <c r="F159" s="21" t="s">
        <v>102</v>
      </c>
      <c r="G159" s="16" t="s">
        <v>100</v>
      </c>
      <c r="H159" s="21" t="s">
        <v>105</v>
      </c>
      <c r="I159" s="21" t="s">
        <v>73</v>
      </c>
      <c r="J159" s="21" t="s">
        <v>74</v>
      </c>
      <c r="K159" s="21" t="s">
        <v>75</v>
      </c>
      <c r="L159" s="16" t="s">
        <v>76</v>
      </c>
      <c r="M159" s="21" t="s">
        <v>77</v>
      </c>
      <c r="N159" s="16" t="s">
        <v>95</v>
      </c>
      <c r="O159" s="16" t="s">
        <v>86</v>
      </c>
      <c r="P159" s="16" t="s">
        <v>80</v>
      </c>
      <c r="Q159" s="21" t="s">
        <v>94</v>
      </c>
      <c r="R159" s="21" t="s">
        <v>94</v>
      </c>
      <c r="S159" s="22">
        <v>366.797498941421</v>
      </c>
      <c r="T159" s="22">
        <v>408.653773546218</v>
      </c>
      <c r="U159" s="22">
        <v>2.99382794993635</v>
      </c>
      <c r="V159" s="22">
        <v>14.0540599415459</v>
      </c>
      <c r="W159" s="22">
        <v>3.74887448996975</v>
      </c>
      <c r="X159" s="22">
        <v>0.57513693723485</v>
      </c>
      <c r="Y159" s="22">
        <v>0.087961642994861</v>
      </c>
      <c r="Z159" s="22">
        <v>0.0115280067232317</v>
      </c>
      <c r="AA159" s="22">
        <v>0.107368555560889</v>
      </c>
      <c r="AB159" s="22">
        <v>0.728165355516415</v>
      </c>
      <c r="AC159" s="22">
        <v>0.0886674506254853</v>
      </c>
      <c r="AD159" s="22">
        <v>0.10789369366857</v>
      </c>
      <c r="AE159" s="22">
        <v>0.729816242248394</v>
      </c>
      <c r="AF159" s="22">
        <v>0.118396377271186</v>
      </c>
      <c r="AG159" s="22">
        <v>0.147613844702668</v>
      </c>
      <c r="AH159" s="22">
        <v>0.498935962994273</v>
      </c>
      <c r="AI159" s="22">
        <v>10.0</v>
      </c>
      <c r="AJ159" s="22">
        <v>2.99382794993634</v>
      </c>
      <c r="AK159" s="22">
        <v>14.0540599415459</v>
      </c>
      <c r="AL159" s="22">
        <v>3.74887448996975</v>
      </c>
      <c r="AM159" s="22">
        <v>0.575023614376322</v>
      </c>
      <c r="AN159" s="22">
        <v>2.4531328006384</v>
      </c>
      <c r="AO159" s="22">
        <v>8.91057638670202</v>
      </c>
      <c r="AP159" s="22">
        <v>2.98505885816377</v>
      </c>
      <c r="AQ159" s="22">
        <v>0.729816242248394</v>
      </c>
      <c r="AR159" s="22">
        <v>3.27563310450292</v>
      </c>
      <c r="AS159" s="22">
        <v>16.6789174446564</v>
      </c>
      <c r="AT159" s="22">
        <v>4.08398303677383</v>
      </c>
      <c r="AU159" s="22">
        <v>0.498935962994273</v>
      </c>
      <c r="AV159" s="23">
        <f t="shared" ref="AV159:AW159" si="321">(AC159-AC$289)/AC$290</f>
        <v>-0.3877913829</v>
      </c>
      <c r="AW159" s="24">
        <f t="shared" si="321"/>
        <v>-0.4002247827</v>
      </c>
      <c r="AX159" s="24">
        <f t="shared" si="5"/>
        <v>0.1253267022</v>
      </c>
      <c r="AY159" s="25">
        <f t="shared" si="6"/>
        <v>0.08215951185</v>
      </c>
      <c r="AZ159" s="23">
        <f t="shared" si="7"/>
        <v>-0.04802010223</v>
      </c>
      <c r="BA159" s="25">
        <f t="shared" si="8"/>
        <v>-0.06325501862</v>
      </c>
      <c r="BB159" s="23">
        <f t="shared" si="9"/>
        <v>-0.3294095069</v>
      </c>
      <c r="BC159" s="24">
        <f t="shared" si="10"/>
        <v>0.01250883464</v>
      </c>
      <c r="BD159" s="25">
        <f t="shared" si="11"/>
        <v>-0.110879689</v>
      </c>
      <c r="BE159" s="26">
        <f t="shared" ref="BE159:BF159" si="322">((S159-S$289)/S$290)</f>
        <v>-0.3671972134</v>
      </c>
      <c r="BF159" s="26">
        <f t="shared" si="322"/>
        <v>1.199762797</v>
      </c>
    </row>
    <row r="160">
      <c r="A160" s="16" t="s">
        <v>82</v>
      </c>
      <c r="B160" s="20">
        <f t="shared" si="3"/>
        <v>0.0174256602</v>
      </c>
      <c r="C160" s="16" t="s">
        <v>68</v>
      </c>
      <c r="D160" s="16" t="s">
        <v>69</v>
      </c>
      <c r="E160" s="16">
        <v>183.0</v>
      </c>
      <c r="F160" s="21" t="s">
        <v>102</v>
      </c>
      <c r="G160" s="16" t="s">
        <v>71</v>
      </c>
      <c r="H160" s="21" t="s">
        <v>103</v>
      </c>
      <c r="I160" s="21" t="s">
        <v>73</v>
      </c>
      <c r="J160" s="21" t="s">
        <v>97</v>
      </c>
      <c r="K160" s="21" t="s">
        <v>75</v>
      </c>
      <c r="L160" s="16" t="s">
        <v>76</v>
      </c>
      <c r="M160" s="21" t="s">
        <v>77</v>
      </c>
      <c r="N160" s="16" t="s">
        <v>78</v>
      </c>
      <c r="O160" s="16" t="s">
        <v>86</v>
      </c>
      <c r="P160" s="16" t="s">
        <v>80</v>
      </c>
      <c r="Q160" s="21" t="s">
        <v>94</v>
      </c>
      <c r="R160" s="21" t="s">
        <v>94</v>
      </c>
      <c r="S160" s="22">
        <v>212.988057136535</v>
      </c>
      <c r="T160" s="22">
        <v>329.519492864608</v>
      </c>
      <c r="U160" s="22">
        <v>2.9745804095812</v>
      </c>
      <c r="V160" s="22">
        <v>14.0398332922396</v>
      </c>
      <c r="W160" s="22">
        <v>3.74697655346809</v>
      </c>
      <c r="X160" s="22">
        <v>0.576504041722401</v>
      </c>
      <c r="Y160" s="22">
        <v>0.0995811081842568</v>
      </c>
      <c r="Z160" s="22">
        <v>0.0149527831359128</v>
      </c>
      <c r="AA160" s="22">
        <v>0.12228157316584</v>
      </c>
      <c r="AB160" s="22">
        <v>0.651971054389469</v>
      </c>
      <c r="AC160" s="22">
        <v>0.100087597979345</v>
      </c>
      <c r="AD160" s="22">
        <v>0.122667038186811</v>
      </c>
      <c r="AE160" s="22">
        <v>0.652429421208238</v>
      </c>
      <c r="AF160" s="22">
        <v>0.116455434282484</v>
      </c>
      <c r="AG160" s="22">
        <v>0.146057136862627</v>
      </c>
      <c r="AH160" s="22">
        <v>0.508736556826623</v>
      </c>
      <c r="AI160" s="22">
        <v>10.0</v>
      </c>
      <c r="AJ160" s="22">
        <v>2.9745804095812</v>
      </c>
      <c r="AK160" s="22">
        <v>14.0398332922396</v>
      </c>
      <c r="AL160" s="22">
        <v>3.74697655346809</v>
      </c>
      <c r="AM160" s="22">
        <v>0.576486056487387</v>
      </c>
      <c r="AN160" s="22">
        <v>2.76909021076192</v>
      </c>
      <c r="AO160" s="22">
        <v>11.5177973724541</v>
      </c>
      <c r="AP160" s="22">
        <v>3.39378805650178</v>
      </c>
      <c r="AQ160" s="22">
        <v>0.652429421208238</v>
      </c>
      <c r="AR160" s="22">
        <v>3.22193368181546</v>
      </c>
      <c r="AS160" s="22">
        <v>16.3289869241327</v>
      </c>
      <c r="AT160" s="22">
        <v>4.04091411986604</v>
      </c>
      <c r="AU160" s="22">
        <v>0.508736556826623</v>
      </c>
      <c r="AV160" s="23">
        <f t="shared" ref="AV160:AW160" si="323">(AC160-AC$289)/AC$290</f>
        <v>0.05817591239</v>
      </c>
      <c r="AW160" s="24">
        <f t="shared" si="323"/>
        <v>0.0761421534</v>
      </c>
      <c r="AX160" s="24">
        <f t="shared" si="5"/>
        <v>0.03354278827</v>
      </c>
      <c r="AY160" s="25">
        <f t="shared" si="6"/>
        <v>0.01942296488</v>
      </c>
      <c r="AZ160" s="23">
        <f t="shared" si="7"/>
        <v>-0.08353647334</v>
      </c>
      <c r="BA160" s="25">
        <f t="shared" si="8"/>
        <v>-0.06614376483</v>
      </c>
      <c r="BB160" s="23">
        <f t="shared" si="9"/>
        <v>0.01569199686</v>
      </c>
      <c r="BC160" s="24">
        <f t="shared" si="10"/>
        <v>-0.03701115255</v>
      </c>
      <c r="BD160" s="25">
        <f t="shared" si="11"/>
        <v>-0.119553815</v>
      </c>
      <c r="BE160" s="26">
        <f t="shared" ref="BE160:BF160" si="324">((S160-S$289)/S$290)</f>
        <v>-0.6625031509</v>
      </c>
      <c r="BF160" s="26">
        <f t="shared" si="324"/>
        <v>0.5740902786</v>
      </c>
    </row>
    <row r="161">
      <c r="A161" s="16" t="s">
        <v>82</v>
      </c>
      <c r="B161" s="20">
        <f t="shared" si="3"/>
        <v>0.01492376446</v>
      </c>
      <c r="C161" s="16" t="s">
        <v>68</v>
      </c>
      <c r="D161" s="16" t="s">
        <v>69</v>
      </c>
      <c r="E161" s="16">
        <v>279.0</v>
      </c>
      <c r="F161" s="21" t="s">
        <v>102</v>
      </c>
      <c r="G161" s="16" t="s">
        <v>100</v>
      </c>
      <c r="H161" s="21" t="s">
        <v>105</v>
      </c>
      <c r="I161" s="21" t="s">
        <v>88</v>
      </c>
      <c r="J161" s="21" t="s">
        <v>97</v>
      </c>
      <c r="K161" s="21" t="s">
        <v>75</v>
      </c>
      <c r="L161" s="16" t="s">
        <v>84</v>
      </c>
      <c r="M161" s="21" t="s">
        <v>85</v>
      </c>
      <c r="N161" s="16" t="s">
        <v>78</v>
      </c>
      <c r="O161" s="16" t="s">
        <v>92</v>
      </c>
      <c r="P161" s="16" t="s">
        <v>80</v>
      </c>
      <c r="Q161" s="21" t="s">
        <v>98</v>
      </c>
      <c r="S161" s="22">
        <v>1107.35688853263</v>
      </c>
      <c r="T161" s="22">
        <v>425.909754991531</v>
      </c>
      <c r="U161" s="22">
        <v>2.85838212271261</v>
      </c>
      <c r="V161" s="22">
        <v>13.6606302728475</v>
      </c>
      <c r="W161" s="22">
        <v>3.69602898701397</v>
      </c>
      <c r="X161" s="22">
        <v>0.587014431952708</v>
      </c>
      <c r="Y161" s="22">
        <v>0.0821200769768667</v>
      </c>
      <c r="Z161" s="22">
        <v>0.010527311179451</v>
      </c>
      <c r="AA161" s="22">
        <v>0.102602686024543</v>
      </c>
      <c r="AB161" s="22">
        <v>0.750393072799119</v>
      </c>
      <c r="AC161" s="22">
        <v>0.0831378166871148</v>
      </c>
      <c r="AD161" s="22">
        <v>0.103545585874796</v>
      </c>
      <c r="AE161" s="22">
        <v>0.749936213941071</v>
      </c>
      <c r="AF161" s="22">
        <v>0.11162362807775</v>
      </c>
      <c r="AG161" s="22">
        <v>0.143967797113346</v>
      </c>
      <c r="AH161" s="22">
        <v>0.523042820212504</v>
      </c>
      <c r="AI161" s="22">
        <v>10.0</v>
      </c>
      <c r="AJ161" s="22">
        <v>2.8583821227126</v>
      </c>
      <c r="AK161" s="22">
        <v>13.6606302728475</v>
      </c>
      <c r="AL161" s="22">
        <v>3.69602898701397</v>
      </c>
      <c r="AM161" s="22">
        <v>0.586853145182438</v>
      </c>
      <c r="AN161" s="22">
        <v>2.30014626167679</v>
      </c>
      <c r="AO161" s="22">
        <v>8.20685678575252</v>
      </c>
      <c r="AP161" s="22">
        <v>2.8647612092027</v>
      </c>
      <c r="AQ161" s="22">
        <v>0.749936213941071</v>
      </c>
      <c r="AR161" s="22">
        <v>3.08825371015108</v>
      </c>
      <c r="AS161" s="22">
        <v>15.8651577318286</v>
      </c>
      <c r="AT161" s="22">
        <v>3.98310905346924</v>
      </c>
      <c r="AU161" s="22">
        <v>0.523042820212504</v>
      </c>
      <c r="AV161" s="23">
        <f t="shared" ref="AV161:AW161" si="325">(AC161-AC$289)/AC$290</f>
        <v>-0.6037286923</v>
      </c>
      <c r="AW161" s="24">
        <f t="shared" si="325"/>
        <v>-0.5404296486</v>
      </c>
      <c r="AX161" s="24">
        <f t="shared" si="5"/>
        <v>-0.1949451619</v>
      </c>
      <c r="AY161" s="25">
        <f t="shared" si="6"/>
        <v>-0.0647790658</v>
      </c>
      <c r="AZ161" s="23">
        <f t="shared" si="7"/>
        <v>-0.2979504401</v>
      </c>
      <c r="BA161" s="25">
        <f t="shared" si="8"/>
        <v>-0.1436882924</v>
      </c>
      <c r="BB161" s="23">
        <f t="shared" si="9"/>
        <v>-0.4191332142</v>
      </c>
      <c r="BC161" s="24">
        <f t="shared" si="10"/>
        <v>-0.1092971785</v>
      </c>
      <c r="BD161" s="25">
        <f t="shared" si="11"/>
        <v>-0.1810437246</v>
      </c>
      <c r="BE161" s="26">
        <f t="shared" ref="BE161:BF161" si="326">((S161-S$289)/S$290)</f>
        <v>1.054637378</v>
      </c>
      <c r="BF161" s="26">
        <f t="shared" si="326"/>
        <v>1.336196632</v>
      </c>
    </row>
    <row r="162">
      <c r="A162" s="16" t="s">
        <v>82</v>
      </c>
      <c r="B162" s="20">
        <f t="shared" si="3"/>
        <v>-0.002947675189</v>
      </c>
      <c r="C162" s="16" t="s">
        <v>68</v>
      </c>
      <c r="D162" s="16" t="s">
        <v>69</v>
      </c>
      <c r="E162" s="16">
        <v>252.0</v>
      </c>
      <c r="F162" s="21" t="s">
        <v>102</v>
      </c>
      <c r="G162" s="16" t="s">
        <v>100</v>
      </c>
      <c r="H162" s="21" t="s">
        <v>105</v>
      </c>
      <c r="I162" s="21" t="s">
        <v>73</v>
      </c>
      <c r="J162" s="21" t="s">
        <v>83</v>
      </c>
      <c r="K162" s="21" t="s">
        <v>75</v>
      </c>
      <c r="L162" s="16" t="s">
        <v>90</v>
      </c>
      <c r="M162" s="21" t="s">
        <v>77</v>
      </c>
      <c r="N162" s="16" t="s">
        <v>95</v>
      </c>
      <c r="O162" s="16" t="s">
        <v>86</v>
      </c>
      <c r="P162" s="16" t="s">
        <v>80</v>
      </c>
      <c r="Q162" s="21" t="s">
        <v>104</v>
      </c>
      <c r="R162" s="21" t="s">
        <v>94</v>
      </c>
      <c r="S162" s="22">
        <v>197.111953496932</v>
      </c>
      <c r="T162" s="22">
        <v>410.505546331405</v>
      </c>
      <c r="U162" s="22">
        <v>3.00119231558</v>
      </c>
      <c r="V162" s="22">
        <v>14.1225096567552</v>
      </c>
      <c r="W162" s="22">
        <v>3.75799276965181</v>
      </c>
      <c r="X162" s="22">
        <v>0.573046849945109</v>
      </c>
      <c r="Y162" s="22">
        <v>0.0996327535929935</v>
      </c>
      <c r="Z162" s="22">
        <v>0.0148032077430829</v>
      </c>
      <c r="AA162" s="22">
        <v>0.121668433634541</v>
      </c>
      <c r="AB162" s="22">
        <v>0.650934909159254</v>
      </c>
      <c r="AC162" s="22">
        <v>0.100488104787923</v>
      </c>
      <c r="AD162" s="22">
        <v>0.122330972386027</v>
      </c>
      <c r="AE162" s="22">
        <v>0.652671859619079</v>
      </c>
      <c r="AF162" s="22">
        <v>0.113207678676645</v>
      </c>
      <c r="AG162" s="22">
        <v>0.141729779004843</v>
      </c>
      <c r="AH162" s="22">
        <v>0.538085846917527</v>
      </c>
      <c r="AI162" s="22">
        <v>10.0</v>
      </c>
      <c r="AJ162" s="22">
        <v>3.00119231557999</v>
      </c>
      <c r="AK162" s="22">
        <v>14.1225096567552</v>
      </c>
      <c r="AL162" s="22">
        <v>3.75799276965181</v>
      </c>
      <c r="AM162" s="22">
        <v>0.572953784541554</v>
      </c>
      <c r="AN162" s="22">
        <v>2.78017089913256</v>
      </c>
      <c r="AO162" s="22">
        <v>11.4547741576703</v>
      </c>
      <c r="AP162" s="22">
        <v>3.38449023601344</v>
      </c>
      <c r="AQ162" s="22">
        <v>0.652671859619079</v>
      </c>
      <c r="AR162" s="22">
        <v>3.13207911005383</v>
      </c>
      <c r="AS162" s="22">
        <v>15.3757353487592</v>
      </c>
      <c r="AT162" s="22">
        <v>3.92119055246735</v>
      </c>
      <c r="AU162" s="22">
        <v>0.538085846917527</v>
      </c>
      <c r="AV162" s="23">
        <f t="shared" ref="AV162:AW162" si="327">(AC162-AC$289)/AC$290</f>
        <v>0.07381607295</v>
      </c>
      <c r="AW162" s="24">
        <f t="shared" si="327"/>
        <v>0.0653057016</v>
      </c>
      <c r="AX162" s="24">
        <f t="shared" si="5"/>
        <v>-0.120038086</v>
      </c>
      <c r="AY162" s="25">
        <f t="shared" si="6"/>
        <v>-0.154972951</v>
      </c>
      <c r="AZ162" s="23">
        <f t="shared" si="7"/>
        <v>-0.03443106497</v>
      </c>
      <c r="BA162" s="25">
        <f t="shared" si="8"/>
        <v>-0.04937657967</v>
      </c>
      <c r="BB162" s="23">
        <f t="shared" si="9"/>
        <v>0.01461085851</v>
      </c>
      <c r="BC162" s="24">
        <f t="shared" si="10"/>
        <v>-0.185305888</v>
      </c>
      <c r="BD162" s="25">
        <f t="shared" si="11"/>
        <v>-0.09860298793</v>
      </c>
      <c r="BE162" s="26">
        <f t="shared" ref="BE162:BF162" si="328">((S162-S$289)/S$290)</f>
        <v>-0.6929844244</v>
      </c>
      <c r="BF162" s="26">
        <f t="shared" si="328"/>
        <v>1.214403776</v>
      </c>
    </row>
    <row r="163">
      <c r="A163" s="16" t="s">
        <v>67</v>
      </c>
      <c r="B163" s="20">
        <f t="shared" si="3"/>
        <v>-0.01087608804</v>
      </c>
      <c r="C163" s="16" t="s">
        <v>68</v>
      </c>
      <c r="D163" s="16" t="s">
        <v>69</v>
      </c>
      <c r="E163" s="16">
        <v>86.0</v>
      </c>
      <c r="F163" s="21" t="s">
        <v>70</v>
      </c>
      <c r="G163" s="16" t="s">
        <v>100</v>
      </c>
      <c r="H163" s="21" t="s">
        <v>101</v>
      </c>
      <c r="I163" s="21" t="s">
        <v>88</v>
      </c>
      <c r="J163" s="21" t="s">
        <v>74</v>
      </c>
      <c r="K163" s="21" t="s">
        <v>75</v>
      </c>
      <c r="L163" s="16" t="s">
        <v>90</v>
      </c>
      <c r="M163" s="21" t="s">
        <v>77</v>
      </c>
      <c r="N163" s="16" t="s">
        <v>91</v>
      </c>
      <c r="O163" s="16" t="s">
        <v>92</v>
      </c>
      <c r="P163" s="16" t="s">
        <v>80</v>
      </c>
      <c r="Q163" s="21" t="s">
        <v>93</v>
      </c>
      <c r="R163" s="21" t="s">
        <v>94</v>
      </c>
      <c r="S163" s="22">
        <v>227.573233842849</v>
      </c>
      <c r="T163" s="22">
        <v>138.872194290161</v>
      </c>
      <c r="U163" s="22">
        <v>3.15311787958935</v>
      </c>
      <c r="V163" s="22">
        <v>15.2736578830344</v>
      </c>
      <c r="W163" s="22">
        <v>3.90815274561198</v>
      </c>
      <c r="X163" s="22">
        <v>0.542241684763341</v>
      </c>
      <c r="Y163" s="22">
        <v>0.112779908036071</v>
      </c>
      <c r="Z163" s="22">
        <v>0.0191017932178189</v>
      </c>
      <c r="AA163" s="22">
        <v>0.138209237092963</v>
      </c>
      <c r="AB163" s="22">
        <v>0.58107443840376</v>
      </c>
      <c r="AC163" s="22">
        <v>0.113610655530104</v>
      </c>
      <c r="AD163" s="22">
        <v>0.138753104388759</v>
      </c>
      <c r="AE163" s="22">
        <v>0.585395224988342</v>
      </c>
      <c r="AF163" s="22">
        <v>0.11886298452977</v>
      </c>
      <c r="AG163" s="22">
        <v>0.147541924044053</v>
      </c>
      <c r="AH163" s="22">
        <v>0.533233599261564</v>
      </c>
      <c r="AI163" s="22">
        <v>10.0</v>
      </c>
      <c r="AJ163" s="22">
        <v>3.15311787958936</v>
      </c>
      <c r="AK163" s="22">
        <v>15.2736578830344</v>
      </c>
      <c r="AL163" s="22">
        <v>3.90815274561198</v>
      </c>
      <c r="AM163" s="22">
        <v>0.542174143813285</v>
      </c>
      <c r="AN163" s="22">
        <v>3.03908503543029</v>
      </c>
      <c r="AO163" s="22">
        <v>13.7763126324127</v>
      </c>
      <c r="AP163" s="22">
        <v>3.71164554239931</v>
      </c>
      <c r="AQ163" s="22">
        <v>0.585395224988343</v>
      </c>
      <c r="AR163" s="22">
        <v>3.17958483617136</v>
      </c>
      <c r="AS163" s="22">
        <v>15.5768076840789</v>
      </c>
      <c r="AT163" s="22">
        <v>3.94674646817843</v>
      </c>
      <c r="AU163" s="22">
        <v>0.533233599261565</v>
      </c>
      <c r="AV163" s="23">
        <f t="shared" ref="AV163:AW163" si="329">(AC163-AC$289)/AC$290</f>
        <v>0.586263792</v>
      </c>
      <c r="AW163" s="24">
        <f t="shared" si="329"/>
        <v>0.5948378394</v>
      </c>
      <c r="AX163" s="24">
        <f t="shared" si="5"/>
        <v>-0.03884053747</v>
      </c>
      <c r="AY163" s="25">
        <f t="shared" si="6"/>
        <v>-0.1177468022</v>
      </c>
      <c r="AZ163" s="23">
        <f t="shared" si="7"/>
        <v>0.2459083765</v>
      </c>
      <c r="BA163" s="25">
        <f t="shared" si="8"/>
        <v>0.1791737753</v>
      </c>
      <c r="BB163" s="23">
        <f t="shared" si="9"/>
        <v>0.3146266424</v>
      </c>
      <c r="BC163" s="24">
        <f t="shared" si="10"/>
        <v>-0.1607886755</v>
      </c>
      <c r="BD163" s="25">
        <f t="shared" si="11"/>
        <v>0.08395909692</v>
      </c>
      <c r="BE163" s="26">
        <f t="shared" ref="BE163:BF163" si="330">((S163-S$289)/S$290)</f>
        <v>-0.6345003883</v>
      </c>
      <c r="BF163" s="26">
        <f t="shared" si="330"/>
        <v>-0.9332561506</v>
      </c>
    </row>
    <row r="164">
      <c r="A164" s="16" t="s">
        <v>67</v>
      </c>
      <c r="B164" s="20">
        <f t="shared" si="3"/>
        <v>-0.01234248939</v>
      </c>
      <c r="C164" s="16" t="s">
        <v>68</v>
      </c>
      <c r="D164" s="16" t="s">
        <v>69</v>
      </c>
      <c r="E164" s="16">
        <v>29.0</v>
      </c>
      <c r="F164" s="21" t="s">
        <v>70</v>
      </c>
      <c r="G164" s="16" t="s">
        <v>71</v>
      </c>
      <c r="H164" s="21" t="s">
        <v>72</v>
      </c>
      <c r="I164" s="21" t="s">
        <v>88</v>
      </c>
      <c r="J164" s="21" t="s">
        <v>97</v>
      </c>
      <c r="K164" s="21" t="s">
        <v>75</v>
      </c>
      <c r="L164" s="16" t="s">
        <v>90</v>
      </c>
      <c r="M164" s="21" t="s">
        <v>85</v>
      </c>
      <c r="N164" s="16" t="s">
        <v>78</v>
      </c>
      <c r="O164" s="16" t="s">
        <v>79</v>
      </c>
      <c r="P164" s="16" t="s">
        <v>80</v>
      </c>
      <c r="Q164" s="21" t="s">
        <v>94</v>
      </c>
      <c r="S164" s="22">
        <v>110.110378503799</v>
      </c>
      <c r="T164" s="22">
        <v>128.275482177734</v>
      </c>
      <c r="U164" s="22">
        <v>2.99682464708109</v>
      </c>
      <c r="V164" s="22">
        <v>16.050241733171</v>
      </c>
      <c r="W164" s="22">
        <v>4.00627529423167</v>
      </c>
      <c r="X164" s="22">
        <v>0.521000100530021</v>
      </c>
      <c r="Y164" s="22">
        <v>0.119062994516179</v>
      </c>
      <c r="Z164" s="22">
        <v>0.023605362930093</v>
      </c>
      <c r="AA164" s="22">
        <v>0.153640368816574</v>
      </c>
      <c r="AB164" s="22">
        <v>0.490076460025258</v>
      </c>
      <c r="AC164" s="22">
        <v>0.120228232681745</v>
      </c>
      <c r="AD164" s="22">
        <v>0.154819252415735</v>
      </c>
      <c r="AE164" s="22">
        <v>0.486755156638612</v>
      </c>
      <c r="AF164" s="22">
        <v>0.108907632547141</v>
      </c>
      <c r="AG164" s="22">
        <v>0.141752960402375</v>
      </c>
      <c r="AH164" s="22">
        <v>0.572120886308311</v>
      </c>
      <c r="AI164" s="22">
        <v>10.0</v>
      </c>
      <c r="AJ164" s="22">
        <v>2.99682464708109</v>
      </c>
      <c r="AK164" s="22">
        <v>16.050241733171</v>
      </c>
      <c r="AL164" s="22">
        <v>4.00627529423167</v>
      </c>
      <c r="AM164" s="22">
        <v>0.521037983155664</v>
      </c>
      <c r="AN164" s="22">
        <v>3.21610522423668</v>
      </c>
      <c r="AO164" s="22">
        <v>17.1513182197922</v>
      </c>
      <c r="AP164" s="22">
        <v>4.14141500212092</v>
      </c>
      <c r="AQ164" s="22">
        <v>0.486755156638612</v>
      </c>
      <c r="AR164" s="22">
        <v>2.91327917063602</v>
      </c>
      <c r="AS164" s="22">
        <v>14.3784425944816</v>
      </c>
      <c r="AT164" s="22">
        <v>3.79189169076354</v>
      </c>
      <c r="AU164" s="22">
        <v>0.572120886308311</v>
      </c>
      <c r="AV164" s="23">
        <f t="shared" ref="AV164:AW164" si="331">(AC164-AC$289)/AC$290</f>
        <v>0.844686288</v>
      </c>
      <c r="AW164" s="24">
        <f t="shared" si="331"/>
        <v>1.112891263</v>
      </c>
      <c r="AX164" s="24">
        <f t="shared" si="5"/>
        <v>-0.4940144494</v>
      </c>
      <c r="AY164" s="25">
        <f t="shared" si="6"/>
        <v>-0.3433167658</v>
      </c>
      <c r="AZ164" s="23">
        <f t="shared" si="7"/>
        <v>-0.04249047061</v>
      </c>
      <c r="BA164" s="25">
        <f t="shared" si="8"/>
        <v>0.3285207846</v>
      </c>
      <c r="BB164" s="23">
        <f t="shared" si="9"/>
        <v>0.7545056225</v>
      </c>
      <c r="BC164" s="24">
        <f t="shared" si="10"/>
        <v>-0.3572765607</v>
      </c>
      <c r="BD164" s="25">
        <f t="shared" si="11"/>
        <v>0.2093231838</v>
      </c>
      <c r="BE164" s="26">
        <f t="shared" ref="BE164:BF164" si="332">((S164-S$289)/S$290)</f>
        <v>-0.8600228153</v>
      </c>
      <c r="BF164" s="26">
        <f t="shared" si="332"/>
        <v>-1.017038697</v>
      </c>
    </row>
    <row r="165">
      <c r="A165" s="16" t="s">
        <v>82</v>
      </c>
      <c r="B165" s="20">
        <f t="shared" si="3"/>
        <v>-0.0145430666</v>
      </c>
      <c r="C165" s="16" t="s">
        <v>68</v>
      </c>
      <c r="D165" s="16" t="s">
        <v>69</v>
      </c>
      <c r="E165" s="16">
        <v>266.0</v>
      </c>
      <c r="F165" s="21" t="s">
        <v>102</v>
      </c>
      <c r="G165" s="16" t="s">
        <v>100</v>
      </c>
      <c r="H165" s="21" t="s">
        <v>105</v>
      </c>
      <c r="I165" s="21" t="s">
        <v>88</v>
      </c>
      <c r="J165" s="21" t="s">
        <v>83</v>
      </c>
      <c r="K165" s="21" t="s">
        <v>75</v>
      </c>
      <c r="L165" s="16" t="s">
        <v>84</v>
      </c>
      <c r="M165" s="21" t="s">
        <v>77</v>
      </c>
      <c r="N165" s="16" t="s">
        <v>95</v>
      </c>
      <c r="O165" s="16" t="s">
        <v>92</v>
      </c>
      <c r="P165" s="16" t="s">
        <v>80</v>
      </c>
      <c r="Q165" s="21" t="s">
        <v>89</v>
      </c>
      <c r="R165" s="21" t="s">
        <v>94</v>
      </c>
      <c r="S165" s="22">
        <v>513.400981426239</v>
      </c>
      <c r="T165" s="22">
        <v>342.807231664657</v>
      </c>
      <c r="U165" s="22">
        <v>2.95540619824922</v>
      </c>
      <c r="V165" s="22">
        <v>14.0313602609115</v>
      </c>
      <c r="W165" s="22">
        <v>3.7458457337311</v>
      </c>
      <c r="X165" s="22">
        <v>0.575780309366749</v>
      </c>
      <c r="Y165" s="22">
        <v>0.100717304023301</v>
      </c>
      <c r="Z165" s="22">
        <v>0.0152998876985608</v>
      </c>
      <c r="AA165" s="22">
        <v>0.123692714816034</v>
      </c>
      <c r="AB165" s="22">
        <v>0.63723329824136</v>
      </c>
      <c r="AC165" s="22">
        <v>0.1017034119619</v>
      </c>
      <c r="AD165" s="22">
        <v>0.124509100743662</v>
      </c>
      <c r="AE165" s="22">
        <v>0.638432142554632</v>
      </c>
      <c r="AF165" s="22">
        <v>0.112953846942793</v>
      </c>
      <c r="AG165" s="22">
        <v>0.141778964743217</v>
      </c>
      <c r="AH165" s="22">
        <v>0.537435527472915</v>
      </c>
      <c r="AI165" s="22">
        <v>10.0</v>
      </c>
      <c r="AJ165" s="22">
        <v>2.95540619824921</v>
      </c>
      <c r="AK165" s="22">
        <v>14.0313602609115</v>
      </c>
      <c r="AL165" s="22">
        <v>3.7458457337311</v>
      </c>
      <c r="AM165" s="22">
        <v>0.575640929823706</v>
      </c>
      <c r="AN165" s="22">
        <v>2.8137943976126</v>
      </c>
      <c r="AO165" s="22">
        <v>11.8663148757023</v>
      </c>
      <c r="AP165" s="22">
        <v>3.44475178724133</v>
      </c>
      <c r="AQ165" s="22">
        <v>0.638432142554632</v>
      </c>
      <c r="AR165" s="22">
        <v>3.12505643208393</v>
      </c>
      <c r="AS165" s="22">
        <v>15.3864091553292</v>
      </c>
      <c r="AT165" s="22">
        <v>3.92255135789567</v>
      </c>
      <c r="AU165" s="22">
        <v>0.537435527472915</v>
      </c>
      <c r="AV165" s="23">
        <f t="shared" ref="AV165:AW165" si="333">(AC165-AC$289)/AC$290</f>
        <v>0.1212749399</v>
      </c>
      <c r="AW165" s="24">
        <f t="shared" si="333"/>
        <v>0.1355395157</v>
      </c>
      <c r="AX165" s="24">
        <f t="shared" si="5"/>
        <v>-0.1320413597</v>
      </c>
      <c r="AY165" s="25">
        <f t="shared" si="6"/>
        <v>-0.1529907271</v>
      </c>
      <c r="AZ165" s="23">
        <f t="shared" si="7"/>
        <v>-0.1189175346</v>
      </c>
      <c r="BA165" s="25">
        <f t="shared" si="8"/>
        <v>-0.06786492421</v>
      </c>
      <c r="BB165" s="23">
        <f t="shared" si="9"/>
        <v>0.07811195217</v>
      </c>
      <c r="BC165" s="24">
        <f t="shared" si="10"/>
        <v>-0.182019984</v>
      </c>
      <c r="BD165" s="25">
        <f t="shared" si="11"/>
        <v>-0.1145411481</v>
      </c>
      <c r="BE165" s="26">
        <f t="shared" ref="BE165:BF165" si="334">((S165-S$289)/S$290)</f>
        <v>-0.08572633409</v>
      </c>
      <c r="BF165" s="26">
        <f t="shared" si="334"/>
        <v>0.6791493368</v>
      </c>
    </row>
    <row r="166">
      <c r="A166" s="16" t="s">
        <v>67</v>
      </c>
      <c r="B166" s="20">
        <f t="shared" si="3"/>
        <v>-0.01597828096</v>
      </c>
      <c r="C166" s="16" t="s">
        <v>68</v>
      </c>
      <c r="D166" s="16" t="s">
        <v>69</v>
      </c>
      <c r="E166" s="16">
        <v>236.0</v>
      </c>
      <c r="F166" s="21" t="s">
        <v>102</v>
      </c>
      <c r="G166" s="16" t="s">
        <v>100</v>
      </c>
      <c r="H166" s="21" t="s">
        <v>105</v>
      </c>
      <c r="I166" s="21" t="s">
        <v>88</v>
      </c>
      <c r="J166" s="21" t="s">
        <v>97</v>
      </c>
      <c r="K166" s="21" t="s">
        <v>99</v>
      </c>
      <c r="L166" s="16" t="s">
        <v>84</v>
      </c>
      <c r="M166" s="21" t="s">
        <v>85</v>
      </c>
      <c r="N166" s="16" t="s">
        <v>78</v>
      </c>
      <c r="O166" s="16" t="s">
        <v>86</v>
      </c>
      <c r="P166" s="16" t="s">
        <v>80</v>
      </c>
      <c r="Q166" s="21" t="s">
        <v>94</v>
      </c>
      <c r="S166" s="22">
        <v>1115.53604650497</v>
      </c>
      <c r="T166" s="22">
        <v>402.2741086483</v>
      </c>
      <c r="U166" s="22">
        <v>3.02786226821433</v>
      </c>
      <c r="V166" s="22">
        <v>14.1945024744117</v>
      </c>
      <c r="W166" s="22">
        <v>3.76755921976174</v>
      </c>
      <c r="X166" s="22">
        <v>0.57085982367849</v>
      </c>
      <c r="Y166" s="22">
        <v>0.0881601018640262</v>
      </c>
      <c r="Z166" s="22">
        <v>0.0113502023969555</v>
      </c>
      <c r="AA166" s="22">
        <v>0.106537328655056</v>
      </c>
      <c r="AB166" s="22">
        <v>0.730881979726957</v>
      </c>
      <c r="AC166" s="22">
        <v>0.0888374382213357</v>
      </c>
      <c r="AD166" s="22">
        <v>0.107039635441611</v>
      </c>
      <c r="AE166" s="22">
        <v>0.732775135598936</v>
      </c>
      <c r="AF166" s="22">
        <v>0.110978908202742</v>
      </c>
      <c r="AG166" s="22">
        <v>0.138670638672683</v>
      </c>
      <c r="AH166" s="22">
        <v>0.557495487951228</v>
      </c>
      <c r="AI166" s="22">
        <v>10.0</v>
      </c>
      <c r="AJ166" s="22">
        <v>3.02786226821432</v>
      </c>
      <c r="AK166" s="22">
        <v>14.1945024744117</v>
      </c>
      <c r="AL166" s="22">
        <v>3.76755921976174</v>
      </c>
      <c r="AM166" s="22">
        <v>0.570706919382801</v>
      </c>
      <c r="AN166" s="22">
        <v>2.45783579079026</v>
      </c>
      <c r="AO166" s="22">
        <v>8.77006713485041</v>
      </c>
      <c r="AP166" s="22">
        <v>2.96142991388457</v>
      </c>
      <c r="AQ166" s="22">
        <v>0.732775135598936</v>
      </c>
      <c r="AR166" s="22">
        <v>3.07041646027588</v>
      </c>
      <c r="AS166" s="22">
        <v>14.7191491777679</v>
      </c>
      <c r="AT166" s="22">
        <v>3.8365543366109</v>
      </c>
      <c r="AU166" s="22">
        <v>0.557495487951228</v>
      </c>
      <c r="AV166" s="23">
        <f t="shared" ref="AV166:AW166" si="335">(AC166-AC$289)/AC$290</f>
        <v>-0.3811532104</v>
      </c>
      <c r="AW166" s="24">
        <f t="shared" si="335"/>
        <v>-0.4277639157</v>
      </c>
      <c r="AX166" s="24">
        <f t="shared" si="5"/>
        <v>-0.2254328753</v>
      </c>
      <c r="AY166" s="25">
        <f t="shared" si="6"/>
        <v>-0.2782587058</v>
      </c>
      <c r="AZ166" s="23">
        <f t="shared" si="7"/>
        <v>0.0147814535</v>
      </c>
      <c r="BA166" s="25">
        <f t="shared" si="8"/>
        <v>-0.03481600483</v>
      </c>
      <c r="BB166" s="23">
        <f t="shared" si="9"/>
        <v>-0.3426044996</v>
      </c>
      <c r="BC166" s="24">
        <f t="shared" si="10"/>
        <v>-0.2833780244</v>
      </c>
      <c r="BD166" s="25">
        <f t="shared" si="11"/>
        <v>-0.08527624408</v>
      </c>
      <c r="BE166" s="26">
        <f t="shared" ref="BE166:BF166" si="336">((S166-S$289)/S$290)</f>
        <v>1.070340925</v>
      </c>
      <c r="BF166" s="26">
        <f t="shared" si="336"/>
        <v>1.149322192</v>
      </c>
    </row>
    <row r="167">
      <c r="A167" s="16" t="s">
        <v>82</v>
      </c>
      <c r="B167" s="20">
        <f t="shared" si="3"/>
        <v>-0.02101722292</v>
      </c>
      <c r="C167" s="16" t="s">
        <v>68</v>
      </c>
      <c r="D167" s="16" t="s">
        <v>69</v>
      </c>
      <c r="E167" s="16">
        <v>127.0</v>
      </c>
      <c r="F167" s="21" t="s">
        <v>70</v>
      </c>
      <c r="G167" s="16" t="s">
        <v>100</v>
      </c>
      <c r="H167" s="21" t="s">
        <v>101</v>
      </c>
      <c r="I167" s="21" t="s">
        <v>73</v>
      </c>
      <c r="J167" s="21" t="s">
        <v>97</v>
      </c>
      <c r="K167" s="21" t="s">
        <v>99</v>
      </c>
      <c r="L167" s="16" t="s">
        <v>84</v>
      </c>
      <c r="M167" s="21" t="s">
        <v>77</v>
      </c>
      <c r="N167" s="16" t="s">
        <v>78</v>
      </c>
      <c r="O167" s="16" t="s">
        <v>86</v>
      </c>
      <c r="P167" s="16" t="s">
        <v>80</v>
      </c>
      <c r="Q167" s="21" t="s">
        <v>89</v>
      </c>
      <c r="R167" s="21" t="s">
        <v>94</v>
      </c>
      <c r="S167" s="22">
        <v>410.833708286285</v>
      </c>
      <c r="T167" s="22">
        <v>136.748430728912</v>
      </c>
      <c r="U167" s="22">
        <v>3.07042320853583</v>
      </c>
      <c r="V167" s="22">
        <v>14.9957793162015</v>
      </c>
      <c r="W167" s="22">
        <v>3.87243841993666</v>
      </c>
      <c r="X167" s="22">
        <v>0.556438798953119</v>
      </c>
      <c r="Y167" s="22">
        <v>0.105725087917192</v>
      </c>
      <c r="Z167" s="22">
        <v>0.0169381217278231</v>
      </c>
      <c r="AA167" s="22">
        <v>0.130146539438523</v>
      </c>
      <c r="AB167" s="22">
        <v>0.633161275406615</v>
      </c>
      <c r="AC167" s="22">
        <v>0.106520855191789</v>
      </c>
      <c r="AD167" s="22">
        <v>0.130676162296529</v>
      </c>
      <c r="AE167" s="22">
        <v>0.636283848696019</v>
      </c>
      <c r="AF167" s="22">
        <v>0.123824151158238</v>
      </c>
      <c r="AG167" s="22">
        <v>0.156502233484281</v>
      </c>
      <c r="AH167" s="22">
        <v>0.482633098573627</v>
      </c>
      <c r="AI167" s="22">
        <v>10.0</v>
      </c>
      <c r="AJ167" s="22">
        <v>3.07042320853584</v>
      </c>
      <c r="AK167" s="22">
        <v>14.9957793162015</v>
      </c>
      <c r="AL167" s="22">
        <v>3.87243841993666</v>
      </c>
      <c r="AM167" s="22">
        <v>0.556330318014397</v>
      </c>
      <c r="AN167" s="22">
        <v>2.84943287638035</v>
      </c>
      <c r="AO167" s="22">
        <v>12.2191308615806</v>
      </c>
      <c r="AP167" s="22">
        <v>3.49558734143214</v>
      </c>
      <c r="AQ167" s="22">
        <v>0.636283848696019</v>
      </c>
      <c r="AR167" s="22">
        <v>3.31229604348287</v>
      </c>
      <c r="AS167" s="22">
        <v>17.526235880042</v>
      </c>
      <c r="AT167" s="22">
        <v>4.18643474570452</v>
      </c>
      <c r="AU167" s="22">
        <v>0.482633098573627</v>
      </c>
      <c r="AV167" s="23">
        <f t="shared" ref="AV167:AW167" si="337">(AC167-AC$289)/AC$290</f>
        <v>0.3094005446</v>
      </c>
      <c r="AW167" s="24">
        <f t="shared" si="337"/>
        <v>0.3343966</v>
      </c>
      <c r="AX167" s="24">
        <f t="shared" si="5"/>
        <v>0.1879915852</v>
      </c>
      <c r="AY167" s="25">
        <f t="shared" si="6"/>
        <v>0.2313962912</v>
      </c>
      <c r="AZ167" s="23">
        <f t="shared" si="7"/>
        <v>0.0933166909</v>
      </c>
      <c r="BA167" s="25">
        <f t="shared" si="8"/>
        <v>0.1248149373</v>
      </c>
      <c r="BB167" s="23">
        <f t="shared" si="9"/>
        <v>0.08769212915</v>
      </c>
      <c r="BC167" s="24">
        <f t="shared" si="10"/>
        <v>0.09488319389</v>
      </c>
      <c r="BD167" s="25">
        <f t="shared" si="11"/>
        <v>-0.000004868042669</v>
      </c>
      <c r="BE167" s="26">
        <f t="shared" ref="BE167:BF167" si="338">((S167-S$289)/S$290)</f>
        <v>-0.2826500365</v>
      </c>
      <c r="BF167" s="26">
        <f t="shared" si="338"/>
        <v>-0.9500476155</v>
      </c>
    </row>
    <row r="168">
      <c r="A168" s="16" t="s">
        <v>67</v>
      </c>
      <c r="B168" s="20">
        <f t="shared" si="3"/>
        <v>-0.02118854542</v>
      </c>
      <c r="C168" s="16" t="s">
        <v>68</v>
      </c>
      <c r="D168" s="16" t="s">
        <v>69</v>
      </c>
      <c r="E168" s="16">
        <v>162.0</v>
      </c>
      <c r="F168" s="21" t="s">
        <v>102</v>
      </c>
      <c r="G168" s="16" t="s">
        <v>71</v>
      </c>
      <c r="H168" s="21" t="s">
        <v>103</v>
      </c>
      <c r="I168" s="21" t="s">
        <v>73</v>
      </c>
      <c r="J168" s="21" t="s">
        <v>97</v>
      </c>
      <c r="K168" s="21" t="s">
        <v>75</v>
      </c>
      <c r="L168" s="16" t="s">
        <v>76</v>
      </c>
      <c r="M168" s="21" t="s">
        <v>77</v>
      </c>
      <c r="N168" s="16" t="s">
        <v>78</v>
      </c>
      <c r="O168" s="16" t="s">
        <v>79</v>
      </c>
      <c r="P168" s="16" t="s">
        <v>80</v>
      </c>
      <c r="Q168" s="21" t="s">
        <v>81</v>
      </c>
      <c r="R168" s="21" t="s">
        <v>81</v>
      </c>
      <c r="S168" s="22">
        <v>284.562700986862</v>
      </c>
      <c r="T168" s="22">
        <v>411.040366411209</v>
      </c>
      <c r="U168" s="22">
        <v>2.95385427382654</v>
      </c>
      <c r="V168" s="22">
        <v>13.7858262006076</v>
      </c>
      <c r="W168" s="22">
        <v>3.71292690482961</v>
      </c>
      <c r="X168" s="22">
        <v>0.584163778976621</v>
      </c>
      <c r="Y168" s="22">
        <v>0.105638325323155</v>
      </c>
      <c r="Z168" s="22">
        <v>0.0162576608970096</v>
      </c>
      <c r="AA168" s="22">
        <v>0.127505532809402</v>
      </c>
      <c r="AB168" s="22">
        <v>0.621599769845494</v>
      </c>
      <c r="AC168" s="22">
        <v>0.106219432017808</v>
      </c>
      <c r="AD168" s="22">
        <v>0.127995977658399</v>
      </c>
      <c r="AE168" s="22">
        <v>0.621574936595604</v>
      </c>
      <c r="AF168" s="22">
        <v>0.109045465186624</v>
      </c>
      <c r="AG168" s="22">
        <v>0.140350462704087</v>
      </c>
      <c r="AH168" s="22">
        <v>0.54637541976523</v>
      </c>
      <c r="AI168" s="22">
        <v>10.0</v>
      </c>
      <c r="AJ168" s="22">
        <v>2.95385427382653</v>
      </c>
      <c r="AK168" s="22">
        <v>13.7858262006076</v>
      </c>
      <c r="AL168" s="22">
        <v>3.71292690482961</v>
      </c>
      <c r="AM168" s="22">
        <v>0.584148223324988</v>
      </c>
      <c r="AN168" s="22">
        <v>2.93873761915937</v>
      </c>
      <c r="AO168" s="22">
        <v>12.54025359713</v>
      </c>
      <c r="AP168" s="22">
        <v>3.54122204854906</v>
      </c>
      <c r="AQ168" s="22">
        <v>0.621574936595604</v>
      </c>
      <c r="AR168" s="22">
        <v>3.01692453682994</v>
      </c>
      <c r="AS168" s="22">
        <v>15.0779178504934</v>
      </c>
      <c r="AT168" s="22">
        <v>3.88302946814642</v>
      </c>
      <c r="AU168" s="22">
        <v>0.54637541976523</v>
      </c>
      <c r="AV168" s="23">
        <f t="shared" ref="AV168:AW168" si="339">(AC168-AC$289)/AC$290</f>
        <v>0.2976296915</v>
      </c>
      <c r="AW168" s="24">
        <f t="shared" si="339"/>
        <v>0.2479739661</v>
      </c>
      <c r="AX168" s="24">
        <f t="shared" si="5"/>
        <v>-0.3168621282</v>
      </c>
      <c r="AY168" s="25">
        <f t="shared" si="6"/>
        <v>-0.2105604798</v>
      </c>
      <c r="AZ168" s="23">
        <f t="shared" si="7"/>
        <v>-0.1217812109</v>
      </c>
      <c r="BA168" s="25">
        <f t="shared" si="8"/>
        <v>-0.1179688882</v>
      </c>
      <c r="BB168" s="23">
        <f t="shared" si="9"/>
        <v>0.1532855676</v>
      </c>
      <c r="BC168" s="24">
        <f t="shared" si="10"/>
        <v>-0.2271910582</v>
      </c>
      <c r="BD168" s="25">
        <f t="shared" si="11"/>
        <v>-0.1650001269</v>
      </c>
      <c r="BE168" s="26">
        <f t="shared" ref="BE168:BF168" si="340">((S168-S$289)/S$290)</f>
        <v>-0.5250836462</v>
      </c>
      <c r="BF168" s="26">
        <f t="shared" si="340"/>
        <v>1.218632313</v>
      </c>
    </row>
    <row r="169">
      <c r="A169" s="16" t="s">
        <v>67</v>
      </c>
      <c r="B169" s="20">
        <f t="shared" si="3"/>
        <v>-0.02375566595</v>
      </c>
      <c r="C169" s="16" t="s">
        <v>68</v>
      </c>
      <c r="D169" s="16" t="s">
        <v>69</v>
      </c>
      <c r="E169" s="16">
        <v>105.0</v>
      </c>
      <c r="F169" s="21" t="s">
        <v>70</v>
      </c>
      <c r="G169" s="16" t="s">
        <v>100</v>
      </c>
      <c r="H169" s="21" t="s">
        <v>101</v>
      </c>
      <c r="I169" s="21" t="s">
        <v>73</v>
      </c>
      <c r="J169" s="21" t="s">
        <v>74</v>
      </c>
      <c r="K169" s="21" t="s">
        <v>99</v>
      </c>
      <c r="L169" s="16" t="s">
        <v>76</v>
      </c>
      <c r="M169" s="21" t="s">
        <v>85</v>
      </c>
      <c r="N169" s="16" t="s">
        <v>95</v>
      </c>
      <c r="O169" s="16" t="s">
        <v>92</v>
      </c>
      <c r="P169" s="16" t="s">
        <v>80</v>
      </c>
      <c r="Q169" s="21" t="s">
        <v>81</v>
      </c>
      <c r="S169" s="22">
        <v>390.108086109161</v>
      </c>
      <c r="T169" s="22">
        <v>127.695614576339</v>
      </c>
      <c r="U169" s="22">
        <v>3.20240251047323</v>
      </c>
      <c r="V169" s="22">
        <v>15.8312212445428</v>
      </c>
      <c r="W169" s="22">
        <v>3.97884672292648</v>
      </c>
      <c r="X169" s="22">
        <v>0.531835609243928</v>
      </c>
      <c r="Y169" s="22">
        <v>0.100742857589961</v>
      </c>
      <c r="Z169" s="22">
        <v>0.0146452714639678</v>
      </c>
      <c r="AA169" s="22">
        <v>0.121017649390358</v>
      </c>
      <c r="AB169" s="22">
        <v>0.682818863183581</v>
      </c>
      <c r="AC169" s="22">
        <v>0.101507697719548</v>
      </c>
      <c r="AD169" s="22">
        <v>0.121582271845707</v>
      </c>
      <c r="AE169" s="22">
        <v>0.685145175682925</v>
      </c>
      <c r="AF169" s="22">
        <v>0.127376846826141</v>
      </c>
      <c r="AG169" s="22">
        <v>0.158346710178784</v>
      </c>
      <c r="AH169" s="22">
        <v>0.470366250846186</v>
      </c>
      <c r="AI169" s="22">
        <v>10.0</v>
      </c>
      <c r="AJ169" s="22">
        <v>3.20240251047324</v>
      </c>
      <c r="AK169" s="22">
        <v>15.8312212445428</v>
      </c>
      <c r="AL169" s="22">
        <v>3.97884672292648</v>
      </c>
      <c r="AM169" s="22">
        <v>0.531612679347619</v>
      </c>
      <c r="AN169" s="22">
        <v>2.71533091399792</v>
      </c>
      <c r="AO169" s="22">
        <v>10.5776229263872</v>
      </c>
      <c r="AP169" s="22">
        <v>3.25232577187268</v>
      </c>
      <c r="AQ169" s="22">
        <v>0.685145175682925</v>
      </c>
      <c r="AR169" s="22">
        <v>3.40733065259927</v>
      </c>
      <c r="AS169" s="22">
        <v>17.9417855918287</v>
      </c>
      <c r="AT169" s="22">
        <v>4.23577449728249</v>
      </c>
      <c r="AU169" s="22">
        <v>0.470366250846186</v>
      </c>
      <c r="AV169" s="23">
        <f t="shared" ref="AV169:AW169" si="341">(AC169-AC$289)/AC$290</f>
        <v>0.113632118</v>
      </c>
      <c r="AW169" s="24">
        <f t="shared" si="341"/>
        <v>0.04116383027</v>
      </c>
      <c r="AX169" s="24">
        <f t="shared" si="5"/>
        <v>0.3504262623</v>
      </c>
      <c r="AY169" s="25">
        <f t="shared" si="6"/>
        <v>0.3032672799</v>
      </c>
      <c r="AZ169" s="23">
        <f t="shared" si="7"/>
        <v>0.3368504505</v>
      </c>
      <c r="BA169" s="25">
        <f t="shared" si="8"/>
        <v>0.2867732439</v>
      </c>
      <c r="BB169" s="23">
        <f t="shared" si="9"/>
        <v>-0.130201786</v>
      </c>
      <c r="BC169" s="24">
        <f t="shared" si="10"/>
        <v>0.1568645547</v>
      </c>
      <c r="BD169" s="25">
        <f t="shared" si="11"/>
        <v>0.1466019</v>
      </c>
      <c r="BE169" s="26">
        <f t="shared" ref="BE169:BF169" si="342">((S169-S$289)/S$290)</f>
        <v>-0.3224421274</v>
      </c>
      <c r="BF169" s="26">
        <f t="shared" si="342"/>
        <v>-1.021623401</v>
      </c>
    </row>
    <row r="170">
      <c r="A170" s="16" t="s">
        <v>82</v>
      </c>
      <c r="B170" s="20">
        <f t="shared" si="3"/>
        <v>-0.02600081035</v>
      </c>
      <c r="C170" s="16" t="s">
        <v>68</v>
      </c>
      <c r="D170" s="16" t="s">
        <v>69</v>
      </c>
      <c r="E170" s="16">
        <v>259.0</v>
      </c>
      <c r="F170" s="21" t="s">
        <v>102</v>
      </c>
      <c r="G170" s="16" t="s">
        <v>100</v>
      </c>
      <c r="H170" s="21" t="s">
        <v>105</v>
      </c>
      <c r="I170" s="21" t="s">
        <v>73</v>
      </c>
      <c r="J170" s="21" t="s">
        <v>97</v>
      </c>
      <c r="K170" s="21" t="s">
        <v>75</v>
      </c>
      <c r="L170" s="16" t="s">
        <v>90</v>
      </c>
      <c r="M170" s="21" t="s">
        <v>77</v>
      </c>
      <c r="N170" s="16" t="s">
        <v>95</v>
      </c>
      <c r="O170" s="16" t="s">
        <v>86</v>
      </c>
      <c r="P170" s="16" t="s">
        <v>80</v>
      </c>
      <c r="Q170" s="21" t="s">
        <v>94</v>
      </c>
      <c r="R170" s="21" t="s">
        <v>104</v>
      </c>
      <c r="S170" s="22">
        <v>151.793418645858</v>
      </c>
      <c r="T170" s="22">
        <v>323.751514434814</v>
      </c>
      <c r="U170" s="22">
        <v>2.95779375448493</v>
      </c>
      <c r="V170" s="22">
        <v>14.038156079548</v>
      </c>
      <c r="W170" s="22">
        <v>3.74675273797832</v>
      </c>
      <c r="X170" s="22">
        <v>0.57557615532759</v>
      </c>
      <c r="Y170" s="22">
        <v>0.10159218966546</v>
      </c>
      <c r="Z170" s="22">
        <v>0.0151017826920027</v>
      </c>
      <c r="AA170" s="22">
        <v>0.122889310731254</v>
      </c>
      <c r="AB170" s="22">
        <v>0.643894401893782</v>
      </c>
      <c r="AC170" s="22">
        <v>0.102348699523785</v>
      </c>
      <c r="AD170" s="22">
        <v>0.123435740630111</v>
      </c>
      <c r="AE170" s="22">
        <v>0.646370106882632</v>
      </c>
      <c r="AF170" s="22">
        <v>0.120810786287149</v>
      </c>
      <c r="AG170" s="22">
        <v>0.150389402804593</v>
      </c>
      <c r="AH170" s="22">
        <v>0.479915969271801</v>
      </c>
      <c r="AI170" s="22">
        <v>10.0</v>
      </c>
      <c r="AJ170" s="22">
        <v>2.95779375448492</v>
      </c>
      <c r="AK170" s="22">
        <v>14.038156079548</v>
      </c>
      <c r="AL170" s="22">
        <v>3.74675273797832</v>
      </c>
      <c r="AM170" s="22">
        <v>0.575504526356024</v>
      </c>
      <c r="AN170" s="22">
        <v>2.83164735349139</v>
      </c>
      <c r="AO170" s="22">
        <v>11.6626040050138</v>
      </c>
      <c r="AP170" s="22">
        <v>3.41505549076641</v>
      </c>
      <c r="AQ170" s="22">
        <v>0.646370106882632</v>
      </c>
      <c r="AR170" s="22">
        <v>3.34243175394458</v>
      </c>
      <c r="AS170" s="22">
        <v>17.3120359318476</v>
      </c>
      <c r="AT170" s="22">
        <v>4.16077347759375</v>
      </c>
      <c r="AU170" s="22">
        <v>0.479915969271801</v>
      </c>
      <c r="AV170" s="23">
        <f t="shared" ref="AV170:AW170" si="343">(AC170-AC$289)/AC$290</f>
        <v>0.1464740148</v>
      </c>
      <c r="AW170" s="24">
        <f t="shared" si="343"/>
        <v>0.1009289867</v>
      </c>
      <c r="AX170" s="24">
        <f t="shared" si="5"/>
        <v>0.2395000245</v>
      </c>
      <c r="AY170" s="25">
        <f t="shared" si="6"/>
        <v>0.1940166804</v>
      </c>
      <c r="AZ170" s="23">
        <f t="shared" si="7"/>
        <v>-0.1145119154</v>
      </c>
      <c r="BA170" s="25">
        <f t="shared" si="8"/>
        <v>-0.06648442224</v>
      </c>
      <c r="BB170" s="23">
        <f t="shared" si="9"/>
        <v>0.04271311566</v>
      </c>
      <c r="BC170" s="24">
        <f t="shared" si="10"/>
        <v>0.1086121791</v>
      </c>
      <c r="BD170" s="25">
        <f t="shared" si="11"/>
        <v>-0.1137321036</v>
      </c>
      <c r="BE170" s="26">
        <f t="shared" ref="BE170:BF170" si="344">((S170-S$289)/S$290)</f>
        <v>-0.779993598</v>
      </c>
      <c r="BF170" s="26">
        <f t="shared" si="344"/>
        <v>0.5284859519</v>
      </c>
    </row>
    <row r="171">
      <c r="A171" s="16" t="s">
        <v>82</v>
      </c>
      <c r="B171" s="20">
        <f t="shared" si="3"/>
        <v>-0.02817808261</v>
      </c>
      <c r="C171" s="16" t="s">
        <v>68</v>
      </c>
      <c r="D171" s="16" t="s">
        <v>69</v>
      </c>
      <c r="E171" s="16">
        <v>110.0</v>
      </c>
      <c r="F171" s="21" t="s">
        <v>70</v>
      </c>
      <c r="G171" s="16" t="s">
        <v>100</v>
      </c>
      <c r="H171" s="21" t="s">
        <v>101</v>
      </c>
      <c r="I171" s="21" t="s">
        <v>73</v>
      </c>
      <c r="J171" s="21" t="s">
        <v>97</v>
      </c>
      <c r="K171" s="21" t="s">
        <v>75</v>
      </c>
      <c r="L171" s="16" t="s">
        <v>76</v>
      </c>
      <c r="M171" s="21" t="s">
        <v>77</v>
      </c>
      <c r="N171" s="16" t="s">
        <v>95</v>
      </c>
      <c r="O171" s="16" t="s">
        <v>79</v>
      </c>
      <c r="P171" s="16" t="s">
        <v>80</v>
      </c>
      <c r="Q171" s="21" t="s">
        <v>104</v>
      </c>
      <c r="R171" s="21" t="s">
        <v>81</v>
      </c>
      <c r="S171" s="22">
        <v>105.575051546096</v>
      </c>
      <c r="T171" s="22">
        <v>131.760753393173</v>
      </c>
      <c r="U171" s="22">
        <v>3.18887728658148</v>
      </c>
      <c r="V171" s="22">
        <v>16.0605415564674</v>
      </c>
      <c r="W171" s="22">
        <v>4.00756054932017</v>
      </c>
      <c r="X171" s="22">
        <v>0.524883649986704</v>
      </c>
      <c r="Y171" s="22">
        <v>0.11697294872261</v>
      </c>
      <c r="Z171" s="22">
        <v>0.0201359989938498</v>
      </c>
      <c r="AA171" s="22">
        <v>0.141901370655289</v>
      </c>
      <c r="AB171" s="22">
        <v>0.563902993022895</v>
      </c>
      <c r="AC171" s="22">
        <v>0.117612571561754</v>
      </c>
      <c r="AD171" s="22">
        <v>0.142231644072315</v>
      </c>
      <c r="AE171" s="22">
        <v>0.569114078998495</v>
      </c>
      <c r="AF171" s="22">
        <v>0.118244821818971</v>
      </c>
      <c r="AG171" s="22">
        <v>0.145875995099619</v>
      </c>
      <c r="AH171" s="22">
        <v>0.550504627804054</v>
      </c>
      <c r="AI171" s="22">
        <v>10.0</v>
      </c>
      <c r="AJ171" s="22">
        <v>3.18887728658149</v>
      </c>
      <c r="AK171" s="22">
        <v>16.0605415564674</v>
      </c>
      <c r="AL171" s="22">
        <v>4.00756054932017</v>
      </c>
      <c r="AM171" s="22">
        <v>0.524827938940397</v>
      </c>
      <c r="AN171" s="22">
        <v>3.14613628927693</v>
      </c>
      <c r="AO171" s="22">
        <v>14.475715296816</v>
      </c>
      <c r="AP171" s="22">
        <v>3.80469647893442</v>
      </c>
      <c r="AQ171" s="22">
        <v>0.569114078998495</v>
      </c>
      <c r="AR171" s="22">
        <v>3.16304898365747</v>
      </c>
      <c r="AS171" s="22">
        <v>15.2270311424523</v>
      </c>
      <c r="AT171" s="22">
        <v>3.90218286891483</v>
      </c>
      <c r="AU171" s="22">
        <v>0.550504627804054</v>
      </c>
      <c r="AV171" s="23">
        <f t="shared" ref="AV171:AW171" si="345">(AC171-AC$289)/AC$290</f>
        <v>0.7425423069</v>
      </c>
      <c r="AW171" s="24">
        <f t="shared" si="345"/>
        <v>0.7070034556</v>
      </c>
      <c r="AX171" s="24">
        <f t="shared" si="5"/>
        <v>-0.06710388163</v>
      </c>
      <c r="AY171" s="25">
        <f t="shared" si="6"/>
        <v>-0.1826605855</v>
      </c>
      <c r="AZ171" s="23">
        <f t="shared" si="7"/>
        <v>0.3118931384</v>
      </c>
      <c r="BA171" s="25">
        <f t="shared" si="8"/>
        <v>0.3304770017</v>
      </c>
      <c r="BB171" s="23">
        <f t="shared" si="9"/>
        <v>0.3872313558</v>
      </c>
      <c r="BC171" s="24">
        <f t="shared" si="10"/>
        <v>-0.2480549296</v>
      </c>
      <c r="BD171" s="25">
        <f t="shared" si="11"/>
        <v>0.1868439666</v>
      </c>
      <c r="BE171" s="26">
        <f t="shared" ref="BE171:BF171" si="346">((S171-S$289)/S$290)</f>
        <v>-0.8687304016</v>
      </c>
      <c r="BF171" s="26">
        <f t="shared" si="346"/>
        <v>-0.989482518</v>
      </c>
    </row>
    <row r="172">
      <c r="A172" s="16" t="s">
        <v>82</v>
      </c>
      <c r="B172" s="20">
        <f t="shared" si="3"/>
        <v>-0.02930156279</v>
      </c>
      <c r="C172" s="16" t="s">
        <v>68</v>
      </c>
      <c r="D172" s="16" t="s">
        <v>69</v>
      </c>
      <c r="E172" s="16">
        <v>115.0</v>
      </c>
      <c r="F172" s="21" t="s">
        <v>70</v>
      </c>
      <c r="G172" s="16" t="s">
        <v>100</v>
      </c>
      <c r="H172" s="21" t="s">
        <v>101</v>
      </c>
      <c r="I172" s="21" t="s">
        <v>73</v>
      </c>
      <c r="J172" s="21" t="s">
        <v>74</v>
      </c>
      <c r="K172" s="21" t="s">
        <v>99</v>
      </c>
      <c r="L172" s="16" t="s">
        <v>76</v>
      </c>
      <c r="M172" s="21" t="s">
        <v>85</v>
      </c>
      <c r="N172" s="16" t="s">
        <v>78</v>
      </c>
      <c r="O172" s="16" t="s">
        <v>79</v>
      </c>
      <c r="P172" s="16" t="s">
        <v>80</v>
      </c>
      <c r="Q172" s="21" t="s">
        <v>94</v>
      </c>
      <c r="S172" s="22">
        <v>226.759637355804</v>
      </c>
      <c r="T172" s="22">
        <v>124.616587638854</v>
      </c>
      <c r="U172" s="22">
        <v>3.09779343567758</v>
      </c>
      <c r="V172" s="22">
        <v>14.9013573197641</v>
      </c>
      <c r="W172" s="22">
        <v>3.86022762538223</v>
      </c>
      <c r="X172" s="22">
        <v>0.559268410421492</v>
      </c>
      <c r="Y172" s="22">
        <v>0.107466959308332</v>
      </c>
      <c r="Z172" s="22">
        <v>0.0170007084382887</v>
      </c>
      <c r="AA172" s="22">
        <v>0.130386764812571</v>
      </c>
      <c r="AB172" s="22">
        <v>0.631805798724335</v>
      </c>
      <c r="AC172" s="22">
        <v>0.108300909268627</v>
      </c>
      <c r="AD172" s="22">
        <v>0.130989389564653</v>
      </c>
      <c r="AE172" s="22">
        <v>0.634538123186337</v>
      </c>
      <c r="AF172" s="22">
        <v>0.128056703461396</v>
      </c>
      <c r="AG172" s="22">
        <v>0.159859738599117</v>
      </c>
      <c r="AH172" s="22">
        <v>0.460196422465001</v>
      </c>
      <c r="AI172" s="22">
        <v>10.0</v>
      </c>
      <c r="AJ172" s="22">
        <v>3.09779343567758</v>
      </c>
      <c r="AK172" s="22">
        <v>14.9013573197641</v>
      </c>
      <c r="AL172" s="22">
        <v>3.86022762538223</v>
      </c>
      <c r="AM172" s="22">
        <v>0.559123915882736</v>
      </c>
      <c r="AN172" s="22">
        <v>2.89704932293578</v>
      </c>
      <c r="AO172" s="22">
        <v>12.2777789264926</v>
      </c>
      <c r="AP172" s="22">
        <v>3.50396617085448</v>
      </c>
      <c r="AQ172" s="22">
        <v>0.634538123186337</v>
      </c>
      <c r="AR172" s="22">
        <v>3.42551681759234</v>
      </c>
      <c r="AS172" s="22">
        <v>18.2862970218734</v>
      </c>
      <c r="AT172" s="22">
        <v>4.27624800752639</v>
      </c>
      <c r="AU172" s="22">
        <v>0.460196422465001</v>
      </c>
      <c r="AV172" s="23">
        <f t="shared" ref="AV172:AW172" si="347">(AC172-AC$289)/AC$290</f>
        <v>0.3789132994</v>
      </c>
      <c r="AW172" s="24">
        <f t="shared" si="347"/>
        <v>0.3444966226</v>
      </c>
      <c r="AX172" s="24">
        <f t="shared" si="5"/>
        <v>0.381510347</v>
      </c>
      <c r="AY172" s="25">
        <f t="shared" si="6"/>
        <v>0.3622232152</v>
      </c>
      <c r="AZ172" s="23">
        <f t="shared" si="7"/>
        <v>0.1438213853</v>
      </c>
      <c r="BA172" s="25">
        <f t="shared" si="8"/>
        <v>0.1062295492</v>
      </c>
      <c r="BB172" s="23">
        <f t="shared" si="9"/>
        <v>0.09547707871</v>
      </c>
      <c r="BC172" s="24">
        <f t="shared" si="10"/>
        <v>0.2082501931</v>
      </c>
      <c r="BD172" s="25">
        <f t="shared" si="11"/>
        <v>-0.01657442633</v>
      </c>
      <c r="BE172" s="26">
        <f t="shared" ref="BE172:BF172" si="348">((S172-S$289)/S$290)</f>
        <v>-0.6360624502</v>
      </c>
      <c r="BF172" s="26">
        <f t="shared" si="348"/>
        <v>-1.045967623</v>
      </c>
    </row>
    <row r="173">
      <c r="A173" s="16" t="s">
        <v>67</v>
      </c>
      <c r="B173" s="20">
        <f t="shared" si="3"/>
        <v>-0.03864409725</v>
      </c>
      <c r="C173" s="16" t="s">
        <v>68</v>
      </c>
      <c r="D173" s="16" t="s">
        <v>69</v>
      </c>
      <c r="E173" s="16">
        <v>154.0</v>
      </c>
      <c r="F173" s="21" t="s">
        <v>102</v>
      </c>
      <c r="G173" s="16" t="s">
        <v>71</v>
      </c>
      <c r="H173" s="21" t="s">
        <v>103</v>
      </c>
      <c r="I173" s="21" t="s">
        <v>88</v>
      </c>
      <c r="J173" s="21" t="s">
        <v>83</v>
      </c>
      <c r="K173" s="21" t="s">
        <v>75</v>
      </c>
      <c r="L173" s="16" t="s">
        <v>76</v>
      </c>
      <c r="M173" s="21" t="s">
        <v>77</v>
      </c>
      <c r="N173" s="16" t="s">
        <v>91</v>
      </c>
      <c r="O173" s="16" t="s">
        <v>86</v>
      </c>
      <c r="P173" s="16" t="s">
        <v>80</v>
      </c>
      <c r="Q173" s="21" t="s">
        <v>81</v>
      </c>
      <c r="R173" s="21" t="s">
        <v>81</v>
      </c>
      <c r="S173" s="22">
        <v>485.480445623397</v>
      </c>
      <c r="T173" s="22">
        <v>431.033248662948</v>
      </c>
      <c r="U173" s="22">
        <v>2.96726170601117</v>
      </c>
      <c r="V173" s="22">
        <v>13.5038777052635</v>
      </c>
      <c r="W173" s="22">
        <v>3.67476226513546</v>
      </c>
      <c r="X173" s="22">
        <v>0.592615407448953</v>
      </c>
      <c r="Y173" s="22">
        <v>0.0989636101262129</v>
      </c>
      <c r="Z173" s="22">
        <v>0.0140516178945959</v>
      </c>
      <c r="AA173" s="22">
        <v>0.118539520391285</v>
      </c>
      <c r="AB173" s="22">
        <v>0.671307480179394</v>
      </c>
      <c r="AC173" s="22">
        <v>0.0992759494102304</v>
      </c>
      <c r="AD173" s="22">
        <v>0.118715525987511</v>
      </c>
      <c r="AE173" s="22">
        <v>0.672936693082767</v>
      </c>
      <c r="AF173" s="22">
        <v>0.115351790117508</v>
      </c>
      <c r="AG173" s="22">
        <v>0.143564853907185</v>
      </c>
      <c r="AH173" s="22">
        <v>0.526011642703627</v>
      </c>
      <c r="AI173" s="22">
        <v>10.0</v>
      </c>
      <c r="AJ173" s="22">
        <v>2.96726170601116</v>
      </c>
      <c r="AK173" s="22">
        <v>13.5038777052635</v>
      </c>
      <c r="AL173" s="22">
        <v>3.67476226513546</v>
      </c>
      <c r="AM173" s="22">
        <v>0.592523137080124</v>
      </c>
      <c r="AN173" s="22">
        <v>2.74663460034973</v>
      </c>
      <c r="AO173" s="22">
        <v>10.7876964472418</v>
      </c>
      <c r="AP173" s="22">
        <v>3.28446288565449</v>
      </c>
      <c r="AQ173" s="22">
        <v>0.672936693082767</v>
      </c>
      <c r="AR173" s="22">
        <v>3.19139952658447</v>
      </c>
      <c r="AS173" s="22">
        <v>15.7764738526609</v>
      </c>
      <c r="AT173" s="22">
        <v>3.97196095809878</v>
      </c>
      <c r="AU173" s="22">
        <v>0.526011642703627</v>
      </c>
      <c r="AV173" s="23">
        <f t="shared" ref="AV173:AW173" si="349">(AC173-AC$289)/AC$290</f>
        <v>0.02648028659</v>
      </c>
      <c r="AW173" s="24">
        <f t="shared" si="349"/>
        <v>-0.05127447571</v>
      </c>
      <c r="AX173" s="24">
        <f t="shared" si="5"/>
        <v>-0.01864667925</v>
      </c>
      <c r="AY173" s="25">
        <f t="shared" si="6"/>
        <v>-0.08101799306</v>
      </c>
      <c r="AZ173" s="23">
        <f t="shared" si="7"/>
        <v>-0.09704125303</v>
      </c>
      <c r="BA173" s="25">
        <f t="shared" si="8"/>
        <v>-0.1760572163</v>
      </c>
      <c r="BB173" s="23">
        <f t="shared" si="9"/>
        <v>-0.07575885053</v>
      </c>
      <c r="BC173" s="24">
        <f t="shared" si="10"/>
        <v>-0.1242979074</v>
      </c>
      <c r="BD173" s="25">
        <f t="shared" si="11"/>
        <v>-0.2146739268</v>
      </c>
      <c r="BE173" s="26">
        <f t="shared" ref="BE173:BF173" si="350">((S173-S$289)/S$290)</f>
        <v>-0.139332276</v>
      </c>
      <c r="BF173" s="26">
        <f t="shared" si="350"/>
        <v>1.376705361</v>
      </c>
    </row>
    <row r="174">
      <c r="A174" s="16" t="s">
        <v>82</v>
      </c>
      <c r="B174" s="20">
        <f t="shared" si="3"/>
        <v>-0.04296485176</v>
      </c>
      <c r="C174" s="16" t="s">
        <v>68</v>
      </c>
      <c r="D174" s="16" t="s">
        <v>69</v>
      </c>
      <c r="E174" s="16">
        <v>285.0</v>
      </c>
      <c r="F174" s="21" t="s">
        <v>102</v>
      </c>
      <c r="G174" s="16" t="s">
        <v>100</v>
      </c>
      <c r="H174" s="21" t="s">
        <v>105</v>
      </c>
      <c r="I174" s="21" t="s">
        <v>88</v>
      </c>
      <c r="J174" s="21" t="s">
        <v>97</v>
      </c>
      <c r="K174" s="21" t="s">
        <v>75</v>
      </c>
      <c r="L174" s="16" t="s">
        <v>76</v>
      </c>
      <c r="M174" s="21" t="s">
        <v>77</v>
      </c>
      <c r="N174" s="16" t="s">
        <v>91</v>
      </c>
      <c r="O174" s="16" t="s">
        <v>79</v>
      </c>
      <c r="P174" s="16" t="s">
        <v>80</v>
      </c>
      <c r="Q174" s="21" t="s">
        <v>94</v>
      </c>
      <c r="R174" s="21" t="s">
        <v>81</v>
      </c>
      <c r="S174" s="22">
        <v>419.567637205123</v>
      </c>
      <c r="T174" s="22">
        <v>340.781444787979</v>
      </c>
      <c r="U174" s="22">
        <v>3.01321419644048</v>
      </c>
      <c r="V174" s="22">
        <v>13.9555686805802</v>
      </c>
      <c r="W174" s="22">
        <v>3.73571528366124</v>
      </c>
      <c r="X174" s="22">
        <v>0.578193278980698</v>
      </c>
      <c r="Y174" s="22">
        <v>0.0928456483578178</v>
      </c>
      <c r="Z174" s="22">
        <v>0.0130863518432811</v>
      </c>
      <c r="AA174" s="22">
        <v>0.114395593635774</v>
      </c>
      <c r="AB174" s="22">
        <v>0.689717154153572</v>
      </c>
      <c r="AC174" s="22">
        <v>0.0924275273163212</v>
      </c>
      <c r="AD174" s="22">
        <v>0.113859821658551</v>
      </c>
      <c r="AE174" s="22">
        <v>0.697637017027868</v>
      </c>
      <c r="AF174" s="22">
        <v>0.123959162772541</v>
      </c>
      <c r="AG174" s="22">
        <v>0.153573536870039</v>
      </c>
      <c r="AH174" s="22">
        <v>0.457272978907879</v>
      </c>
      <c r="AI174" s="22">
        <v>10.0</v>
      </c>
      <c r="AJ174" s="22">
        <v>3.01321419644049</v>
      </c>
      <c r="AK174" s="22">
        <v>13.9555686805802</v>
      </c>
      <c r="AL174" s="22">
        <v>3.73571528366124</v>
      </c>
      <c r="AM174" s="22">
        <v>0.57793314126711</v>
      </c>
      <c r="AN174" s="22">
        <v>2.55716158908509</v>
      </c>
      <c r="AO174" s="22">
        <v>9.92326692990426</v>
      </c>
      <c r="AP174" s="22">
        <v>3.15012173255324</v>
      </c>
      <c r="AQ174" s="22">
        <v>0.697637017027868</v>
      </c>
      <c r="AR174" s="22">
        <v>3.42953683670711</v>
      </c>
      <c r="AS174" s="22">
        <v>18.0528780356935</v>
      </c>
      <c r="AT174" s="22">
        <v>4.24886785340442</v>
      </c>
      <c r="AU174" s="22">
        <v>0.457272978907879</v>
      </c>
      <c r="AV174" s="23">
        <f t="shared" ref="AV174:AW174" si="351">(AC174-AC$289)/AC$290</f>
        <v>-0.2409569175</v>
      </c>
      <c r="AW174" s="24">
        <f t="shared" si="351"/>
        <v>-0.2078468071</v>
      </c>
      <c r="AX174" s="24">
        <f t="shared" si="5"/>
        <v>0.3883814281</v>
      </c>
      <c r="AY174" s="25">
        <f t="shared" si="6"/>
        <v>0.3223397807</v>
      </c>
      <c r="AZ174" s="23">
        <f t="shared" si="7"/>
        <v>-0.01224778471</v>
      </c>
      <c r="BA174" s="25">
        <f t="shared" si="8"/>
        <v>-0.08328393281</v>
      </c>
      <c r="BB174" s="23">
        <f t="shared" si="9"/>
        <v>-0.1859083414</v>
      </c>
      <c r="BC174" s="24">
        <f t="shared" si="10"/>
        <v>0.2230216335</v>
      </c>
      <c r="BD174" s="25">
        <f t="shared" si="11"/>
        <v>-0.1281368526</v>
      </c>
      <c r="BE174" s="26">
        <f t="shared" ref="BE174:BF174" si="352">((S174-S$289)/S$290)</f>
        <v>-0.2658813581</v>
      </c>
      <c r="BF174" s="26">
        <f t="shared" si="352"/>
        <v>0.6631325212</v>
      </c>
    </row>
    <row r="175">
      <c r="A175" s="16" t="s">
        <v>67</v>
      </c>
      <c r="B175" s="20">
        <f t="shared" si="3"/>
        <v>-0.04671364201</v>
      </c>
      <c r="C175" s="16" t="s">
        <v>68</v>
      </c>
      <c r="D175" s="16" t="s">
        <v>69</v>
      </c>
      <c r="E175" s="16">
        <v>160.0</v>
      </c>
      <c r="F175" s="21" t="s">
        <v>102</v>
      </c>
      <c r="G175" s="16" t="s">
        <v>71</v>
      </c>
      <c r="H175" s="21" t="s">
        <v>103</v>
      </c>
      <c r="I175" s="21" t="s">
        <v>73</v>
      </c>
      <c r="J175" s="21" t="s">
        <v>74</v>
      </c>
      <c r="K175" s="21" t="s">
        <v>99</v>
      </c>
      <c r="L175" s="16" t="s">
        <v>84</v>
      </c>
      <c r="M175" s="21" t="s">
        <v>85</v>
      </c>
      <c r="N175" s="16" t="s">
        <v>95</v>
      </c>
      <c r="O175" s="16" t="s">
        <v>86</v>
      </c>
      <c r="P175" s="16" t="s">
        <v>80</v>
      </c>
      <c r="Q175" s="21" t="s">
        <v>94</v>
      </c>
      <c r="S175" s="22">
        <v>702.052074193954</v>
      </c>
      <c r="T175" s="22">
        <v>394.088374614715</v>
      </c>
      <c r="U175" s="22">
        <v>3.04199462330627</v>
      </c>
      <c r="V175" s="22">
        <v>14.0572906388928</v>
      </c>
      <c r="W175" s="22">
        <v>3.74930535418134</v>
      </c>
      <c r="X175" s="22">
        <v>0.576019036625754</v>
      </c>
      <c r="Y175" s="22">
        <v>0.0754152311449032</v>
      </c>
      <c r="Z175" s="22">
        <v>0.00814794041413044</v>
      </c>
      <c r="AA175" s="22">
        <v>0.0902659427144615</v>
      </c>
      <c r="AB175" s="22">
        <v>0.81035509674339</v>
      </c>
      <c r="AC175" s="22">
        <v>0.075664539468602</v>
      </c>
      <c r="AD175" s="22">
        <v>0.0904177037026521</v>
      </c>
      <c r="AE175" s="22">
        <v>0.811159911615147</v>
      </c>
      <c r="AF175" s="22">
        <v>0.131029139347211</v>
      </c>
      <c r="AG175" s="22">
        <v>0.161015294901074</v>
      </c>
      <c r="AH175" s="22">
        <v>0.402960389336415</v>
      </c>
      <c r="AI175" s="22">
        <v>10.0</v>
      </c>
      <c r="AJ175" s="22">
        <v>3.04199462330627</v>
      </c>
      <c r="AK175" s="22">
        <v>14.0572906388928</v>
      </c>
      <c r="AL175" s="22">
        <v>3.74930535418134</v>
      </c>
      <c r="AM175" s="22">
        <v>0.575959452675897</v>
      </c>
      <c r="AN175" s="22">
        <v>2.0933855919646</v>
      </c>
      <c r="AO175" s="22">
        <v>6.2577847681296</v>
      </c>
      <c r="AP175" s="22">
        <v>2.5015564691067</v>
      </c>
      <c r="AQ175" s="22">
        <v>0.811159911615147</v>
      </c>
      <c r="AR175" s="22">
        <v>3.62513952193976</v>
      </c>
      <c r="AS175" s="22">
        <v>19.84485540536</v>
      </c>
      <c r="AT175" s="22">
        <v>4.45475649226307</v>
      </c>
      <c r="AU175" s="22">
        <v>0.402960389336415</v>
      </c>
      <c r="AV175" s="23">
        <f t="shared" ref="AV175:AW175" si="353">(AC175-AC$289)/AC$290</f>
        <v>-0.8955670657</v>
      </c>
      <c r="AW175" s="24">
        <f t="shared" si="353"/>
        <v>-0.9637386021</v>
      </c>
      <c r="AX175" s="24">
        <f t="shared" si="5"/>
        <v>0.7227086728</v>
      </c>
      <c r="AY175" s="25">
        <f t="shared" si="6"/>
        <v>0.6222484663</v>
      </c>
      <c r="AZ175" s="23">
        <f t="shared" si="7"/>
        <v>0.04085906959</v>
      </c>
      <c r="BA175" s="25">
        <f t="shared" si="8"/>
        <v>-0.06259922357</v>
      </c>
      <c r="BB175" s="23">
        <f t="shared" si="9"/>
        <v>-0.6921563188</v>
      </c>
      <c r="BC175" s="24">
        <f t="shared" si="10"/>
        <v>0.4974497739</v>
      </c>
      <c r="BD175" s="25">
        <f t="shared" si="11"/>
        <v>-0.1164303903</v>
      </c>
      <c r="BE175" s="26">
        <f t="shared" ref="BE175:BF175" si="354">((S175-S$289)/S$290)</f>
        <v>0.2764737178</v>
      </c>
      <c r="BF175" s="26">
        <f t="shared" si="354"/>
        <v>1.084601962</v>
      </c>
    </row>
    <row r="176">
      <c r="A176" s="16" t="s">
        <v>82</v>
      </c>
      <c r="B176" s="20">
        <f t="shared" si="3"/>
        <v>-0.05580682971</v>
      </c>
      <c r="C176" s="16" t="s">
        <v>68</v>
      </c>
      <c r="D176" s="16" t="s">
        <v>69</v>
      </c>
      <c r="E176" s="16">
        <v>187.0</v>
      </c>
      <c r="F176" s="21" t="s">
        <v>102</v>
      </c>
      <c r="G176" s="16" t="s">
        <v>71</v>
      </c>
      <c r="H176" s="21" t="s">
        <v>103</v>
      </c>
      <c r="I176" s="21" t="s">
        <v>73</v>
      </c>
      <c r="J176" s="21" t="s">
        <v>97</v>
      </c>
      <c r="K176" s="21" t="s">
        <v>99</v>
      </c>
      <c r="L176" s="16" t="s">
        <v>84</v>
      </c>
      <c r="M176" s="21" t="s">
        <v>85</v>
      </c>
      <c r="N176" s="16" t="s">
        <v>78</v>
      </c>
      <c r="O176" s="16" t="s">
        <v>79</v>
      </c>
      <c r="P176" s="16" t="s">
        <v>80</v>
      </c>
      <c r="Q176" s="21" t="s">
        <v>94</v>
      </c>
      <c r="S176" s="22">
        <v>291.307388067245</v>
      </c>
      <c r="T176" s="22">
        <v>319.974078416824</v>
      </c>
      <c r="U176" s="22">
        <v>3.07065640824696</v>
      </c>
      <c r="V176" s="22">
        <v>14.4191804105114</v>
      </c>
      <c r="W176" s="22">
        <v>3.79725959219427</v>
      </c>
      <c r="X176" s="22">
        <v>0.565075286374948</v>
      </c>
      <c r="Y176" s="22">
        <v>0.10470314905282</v>
      </c>
      <c r="Z176" s="22">
        <v>0.0156708365213401</v>
      </c>
      <c r="AA176" s="22">
        <v>0.125183211819077</v>
      </c>
      <c r="AB176" s="22">
        <v>0.635258221711376</v>
      </c>
      <c r="AC176" s="22">
        <v>0.105215705190228</v>
      </c>
      <c r="AD176" s="22">
        <v>0.125597548508638</v>
      </c>
      <c r="AE176" s="22">
        <v>0.635624159557762</v>
      </c>
      <c r="AF176" s="22">
        <v>0.117008548498017</v>
      </c>
      <c r="AG176" s="22">
        <v>0.146233705393554</v>
      </c>
      <c r="AH176" s="22">
        <v>0.507548061730257</v>
      </c>
      <c r="AI176" s="22">
        <v>10.0</v>
      </c>
      <c r="AJ176" s="22">
        <v>3.07065640824696</v>
      </c>
      <c r="AK176" s="22">
        <v>14.4191804105114</v>
      </c>
      <c r="AL176" s="22">
        <v>3.79725959219427</v>
      </c>
      <c r="AM176" s="22">
        <v>0.565042986568016</v>
      </c>
      <c r="AN176" s="22">
        <v>2.91096784359631</v>
      </c>
      <c r="AO176" s="22">
        <v>12.074690303824</v>
      </c>
      <c r="AP176" s="22">
        <v>3.47486550873901</v>
      </c>
      <c r="AQ176" s="22">
        <v>0.635624159557762</v>
      </c>
      <c r="AR176" s="22">
        <v>3.23723650844521</v>
      </c>
      <c r="AS176" s="22">
        <v>16.3684910255626</v>
      </c>
      <c r="AT176" s="22">
        <v>4.04579918255499</v>
      </c>
      <c r="AU176" s="22">
        <v>0.507548061730257</v>
      </c>
      <c r="AV176" s="23">
        <f t="shared" ref="AV176:AW176" si="355">(AC176-AC$289)/AC$290</f>
        <v>0.2584332324</v>
      </c>
      <c r="AW176" s="24">
        <f t="shared" si="355"/>
        <v>0.1706365464</v>
      </c>
      <c r="AX176" s="24">
        <f t="shared" si="5"/>
        <v>0.05969862482</v>
      </c>
      <c r="AY176" s="25">
        <f t="shared" si="6"/>
        <v>0.02653881517</v>
      </c>
      <c r="AZ176" s="23">
        <f t="shared" si="7"/>
        <v>0.09374700081</v>
      </c>
      <c r="BA176" s="25">
        <f t="shared" si="8"/>
        <v>0.01038932116</v>
      </c>
      <c r="BB176" s="23">
        <f t="shared" si="9"/>
        <v>0.09063397002</v>
      </c>
      <c r="BC176" s="24">
        <f t="shared" si="10"/>
        <v>-0.0310059795</v>
      </c>
      <c r="BD176" s="25">
        <f t="shared" si="11"/>
        <v>-0.05168197986</v>
      </c>
      <c r="BE176" s="26">
        <f t="shared" ref="BE176:BF176" si="356">((S176-S$289)/S$290)</f>
        <v>-0.5121342062</v>
      </c>
      <c r="BF176" s="26">
        <f t="shared" si="356"/>
        <v>0.4986197816</v>
      </c>
    </row>
    <row r="177">
      <c r="A177" s="16" t="s">
        <v>67</v>
      </c>
      <c r="B177" s="20">
        <f t="shared" si="3"/>
        <v>-0.05825390683</v>
      </c>
      <c r="C177" s="16" t="s">
        <v>68</v>
      </c>
      <c r="D177" s="16" t="s">
        <v>69</v>
      </c>
      <c r="E177" s="16">
        <v>146.0</v>
      </c>
      <c r="F177" s="21" t="s">
        <v>102</v>
      </c>
      <c r="G177" s="16" t="s">
        <v>71</v>
      </c>
      <c r="H177" s="21" t="s">
        <v>103</v>
      </c>
      <c r="I177" s="21" t="s">
        <v>88</v>
      </c>
      <c r="J177" s="21" t="s">
        <v>83</v>
      </c>
      <c r="K177" s="21" t="s">
        <v>75</v>
      </c>
      <c r="L177" s="16" t="s">
        <v>90</v>
      </c>
      <c r="M177" s="21" t="s">
        <v>77</v>
      </c>
      <c r="N177" s="16" t="s">
        <v>78</v>
      </c>
      <c r="O177" s="16" t="s">
        <v>79</v>
      </c>
      <c r="P177" s="16" t="s">
        <v>80</v>
      </c>
      <c r="Q177" s="21" t="s">
        <v>104</v>
      </c>
      <c r="R177" s="21" t="s">
        <v>93</v>
      </c>
      <c r="S177" s="22">
        <v>411.346302986145</v>
      </c>
      <c r="T177" s="22">
        <v>432.398556470871</v>
      </c>
      <c r="U177" s="22">
        <v>2.86787248932409</v>
      </c>
      <c r="V177" s="22">
        <v>12.6338233425821</v>
      </c>
      <c r="W177" s="22">
        <v>3.55440900046437</v>
      </c>
      <c r="X177" s="22">
        <v>0.618870462596211</v>
      </c>
      <c r="Y177" s="22">
        <v>0.0852278668465806</v>
      </c>
      <c r="Z177" s="22">
        <v>0.010526751365327</v>
      </c>
      <c r="AA177" s="22">
        <v>0.102599957920688</v>
      </c>
      <c r="AB177" s="22">
        <v>0.753760424048746</v>
      </c>
      <c r="AC177" s="22">
        <v>0.0855682372628224</v>
      </c>
      <c r="AD177" s="22">
        <v>0.102833273207933</v>
      </c>
      <c r="AE177" s="22">
        <v>0.754594607911625</v>
      </c>
      <c r="AF177" s="22">
        <v>0.132681270695957</v>
      </c>
      <c r="AG177" s="22">
        <v>0.162821616853039</v>
      </c>
      <c r="AH177" s="22">
        <v>0.390329005659252</v>
      </c>
      <c r="AI177" s="22">
        <v>10.0</v>
      </c>
      <c r="AJ177" s="22">
        <v>2.86787248932409</v>
      </c>
      <c r="AK177" s="22">
        <v>12.6338233425821</v>
      </c>
      <c r="AL177" s="22">
        <v>3.55440900046437</v>
      </c>
      <c r="AM177" s="22">
        <v>0.618776856938455</v>
      </c>
      <c r="AN177" s="22">
        <v>2.36738789760473</v>
      </c>
      <c r="AO177" s="22">
        <v>8.09433164887461</v>
      </c>
      <c r="AP177" s="22">
        <v>2.84505389208616</v>
      </c>
      <c r="AQ177" s="22">
        <v>0.754594607911625</v>
      </c>
      <c r="AR177" s="22">
        <v>3.6708484892551</v>
      </c>
      <c r="AS177" s="22">
        <v>20.2926049825491</v>
      </c>
      <c r="AT177" s="22">
        <v>4.50473139960077</v>
      </c>
      <c r="AU177" s="22">
        <v>0.390329005659252</v>
      </c>
      <c r="AV177" s="23">
        <f t="shared" ref="AV177:AW177" si="357">(AC177-AC$289)/AC$290</f>
        <v>-0.5088185254</v>
      </c>
      <c r="AW177" s="24">
        <f t="shared" si="357"/>
        <v>-0.5633981918</v>
      </c>
      <c r="AX177" s="24">
        <f t="shared" si="5"/>
        <v>0.8008351724</v>
      </c>
      <c r="AY177" s="25">
        <f t="shared" si="6"/>
        <v>0.6950446578</v>
      </c>
      <c r="AZ177" s="23">
        <f t="shared" si="7"/>
        <v>-0.2804384164</v>
      </c>
      <c r="BA177" s="25">
        <f t="shared" si="8"/>
        <v>-0.3592403927</v>
      </c>
      <c r="BB177" s="23">
        <f t="shared" si="9"/>
        <v>-0.4399070197</v>
      </c>
      <c r="BC177" s="24">
        <f t="shared" si="10"/>
        <v>0.561273045</v>
      </c>
      <c r="BD177" s="25">
        <f t="shared" si="11"/>
        <v>-0.3703915934</v>
      </c>
      <c r="BE177" s="26">
        <f t="shared" ref="BE177:BF177" si="358">((S177-S$289)/S$290)</f>
        <v>-0.281665882</v>
      </c>
      <c r="BF177" s="26">
        <f t="shared" si="358"/>
        <v>1.387500121</v>
      </c>
    </row>
    <row r="178">
      <c r="A178" s="16" t="s">
        <v>82</v>
      </c>
      <c r="B178" s="20">
        <f t="shared" si="3"/>
        <v>-0.06138177</v>
      </c>
      <c r="C178" s="16" t="s">
        <v>68</v>
      </c>
      <c r="D178" s="16" t="s">
        <v>69</v>
      </c>
      <c r="E178" s="16">
        <v>131.0</v>
      </c>
      <c r="F178" s="21" t="s">
        <v>70</v>
      </c>
      <c r="G178" s="16" t="s">
        <v>100</v>
      </c>
      <c r="H178" s="21" t="s">
        <v>101</v>
      </c>
      <c r="I178" s="21" t="s">
        <v>73</v>
      </c>
      <c r="J178" s="21" t="s">
        <v>74</v>
      </c>
      <c r="K178" s="21" t="s">
        <v>99</v>
      </c>
      <c r="L178" s="16" t="s">
        <v>90</v>
      </c>
      <c r="M178" s="21" t="s">
        <v>85</v>
      </c>
      <c r="N178" s="16" t="s">
        <v>78</v>
      </c>
      <c r="O178" s="16" t="s">
        <v>92</v>
      </c>
      <c r="P178" s="16" t="s">
        <v>80</v>
      </c>
      <c r="Q178" s="21" t="s">
        <v>93</v>
      </c>
      <c r="S178" s="22">
        <v>208.220968008041</v>
      </c>
      <c r="T178" s="22">
        <v>123.986869096755</v>
      </c>
      <c r="U178" s="22">
        <v>3.17598582597236</v>
      </c>
      <c r="V178" s="22">
        <v>16.1423893616356</v>
      </c>
      <c r="W178" s="22">
        <v>4.01775924635059</v>
      </c>
      <c r="X178" s="22">
        <v>0.522589504515263</v>
      </c>
      <c r="Y178" s="22">
        <v>0.104979040215039</v>
      </c>
      <c r="Z178" s="22">
        <v>0.0165485700308118</v>
      </c>
      <c r="AA178" s="22">
        <v>0.128641245449551</v>
      </c>
      <c r="AB178" s="22">
        <v>0.641598022407913</v>
      </c>
      <c r="AC178" s="22">
        <v>0.105846898152391</v>
      </c>
      <c r="AD178" s="22">
        <v>0.129275740004928</v>
      </c>
      <c r="AE178" s="22">
        <v>0.644037778387599</v>
      </c>
      <c r="AF178" s="22">
        <v>0.126583921135713</v>
      </c>
      <c r="AG178" s="22">
        <v>0.160576029361531</v>
      </c>
      <c r="AH178" s="22">
        <v>0.455348140167961</v>
      </c>
      <c r="AI178" s="22">
        <v>10.0</v>
      </c>
      <c r="AJ178" s="22">
        <v>3.17598582597237</v>
      </c>
      <c r="AK178" s="22">
        <v>16.1423893616356</v>
      </c>
      <c r="AL178" s="22">
        <v>4.01775924635059</v>
      </c>
      <c r="AM178" s="22">
        <v>0.522406364914498</v>
      </c>
      <c r="AN178" s="22">
        <v>2.83140452557648</v>
      </c>
      <c r="AO178" s="22">
        <v>11.9586357440192</v>
      </c>
      <c r="AP178" s="22">
        <v>3.45812604513185</v>
      </c>
      <c r="AQ178" s="22">
        <v>0.644037778387599</v>
      </c>
      <c r="AR178" s="22">
        <v>3.38611989038034</v>
      </c>
      <c r="AS178" s="22">
        <v>18.4505366338716</v>
      </c>
      <c r="AT178" s="22">
        <v>4.29540878542096</v>
      </c>
      <c r="AU178" s="22">
        <v>0.455348140167962</v>
      </c>
      <c r="AV178" s="23">
        <f t="shared" ref="AV178:AW178" si="359">(AC178-AC$289)/AC$290</f>
        <v>0.2830819002</v>
      </c>
      <c r="AW178" s="24">
        <f t="shared" si="359"/>
        <v>0.2892399413</v>
      </c>
      <c r="AX178" s="24">
        <f t="shared" si="5"/>
        <v>0.3141724875</v>
      </c>
      <c r="AY178" s="25">
        <f t="shared" si="6"/>
        <v>0.3901338553</v>
      </c>
      <c r="AZ178" s="23">
        <f t="shared" si="7"/>
        <v>0.2881052731</v>
      </c>
      <c r="BA178" s="25">
        <f t="shared" si="8"/>
        <v>0.3459998853</v>
      </c>
      <c r="BB178" s="23">
        <f t="shared" si="9"/>
        <v>0.05311398315</v>
      </c>
      <c r="BC178" s="24">
        <f t="shared" si="10"/>
        <v>0.2327473697</v>
      </c>
      <c r="BD178" s="25">
        <f t="shared" si="11"/>
        <v>0.2012069544</v>
      </c>
      <c r="BE178" s="26">
        <f t="shared" ref="BE178:BF178" si="360">((S178-S$289)/S$290)</f>
        <v>-0.6716557081</v>
      </c>
      <c r="BF178" s="26">
        <f t="shared" si="360"/>
        <v>-1.050946472</v>
      </c>
    </row>
    <row r="179">
      <c r="A179" s="16" t="s">
        <v>67</v>
      </c>
      <c r="B179" s="20">
        <f t="shared" si="3"/>
        <v>-0.06313568571</v>
      </c>
      <c r="C179" s="16" t="s">
        <v>68</v>
      </c>
      <c r="D179" s="16" t="s">
        <v>69</v>
      </c>
      <c r="E179" s="16">
        <v>168.0</v>
      </c>
      <c r="F179" s="21" t="s">
        <v>102</v>
      </c>
      <c r="G179" s="16" t="s">
        <v>71</v>
      </c>
      <c r="H179" s="21" t="s">
        <v>103</v>
      </c>
      <c r="I179" s="21" t="s">
        <v>73</v>
      </c>
      <c r="J179" s="21" t="s">
        <v>97</v>
      </c>
      <c r="K179" s="21" t="s">
        <v>99</v>
      </c>
      <c r="L179" s="16" t="s">
        <v>84</v>
      </c>
      <c r="M179" s="21" t="s">
        <v>85</v>
      </c>
      <c r="N179" s="16" t="s">
        <v>78</v>
      </c>
      <c r="O179" s="16" t="s">
        <v>86</v>
      </c>
      <c r="P179" s="16" t="s">
        <v>80</v>
      </c>
      <c r="Q179" s="21" t="s">
        <v>98</v>
      </c>
      <c r="S179" s="22">
        <v>1472.37580752372</v>
      </c>
      <c r="T179" s="22">
        <v>395.634548902511</v>
      </c>
      <c r="U179" s="22">
        <v>3.00342674756701</v>
      </c>
      <c r="V179" s="22">
        <v>13.643368228063</v>
      </c>
      <c r="W179" s="22">
        <v>3.69369303381629</v>
      </c>
      <c r="X179" s="22">
        <v>0.588487435265938</v>
      </c>
      <c r="Y179" s="22">
        <v>0.0884033829519616</v>
      </c>
      <c r="Z179" s="22">
        <v>0.0111862454460188</v>
      </c>
      <c r="AA179" s="22">
        <v>0.105765048319465</v>
      </c>
      <c r="AB179" s="22">
        <v>0.739637954183379</v>
      </c>
      <c r="AC179" s="22">
        <v>0.0887346030129548</v>
      </c>
      <c r="AD179" s="22">
        <v>0.105986505029938</v>
      </c>
      <c r="AE179" s="22">
        <v>0.74052925963139</v>
      </c>
      <c r="AF179" s="22">
        <v>0.113060048982637</v>
      </c>
      <c r="AG179" s="22">
        <v>0.140338087111724</v>
      </c>
      <c r="AH179" s="22">
        <v>0.546455414163215</v>
      </c>
      <c r="AI179" s="22">
        <v>10.0</v>
      </c>
      <c r="AJ179" s="22">
        <v>3.00342674756701</v>
      </c>
      <c r="AK179" s="22">
        <v>13.643368228063</v>
      </c>
      <c r="AL179" s="22">
        <v>3.69369303381629</v>
      </c>
      <c r="AM179" s="22">
        <v>0.588445492137328</v>
      </c>
      <c r="AN179" s="22">
        <v>2.4549906833584</v>
      </c>
      <c r="AO179" s="22">
        <v>8.59834403140553</v>
      </c>
      <c r="AP179" s="22">
        <v>2.93229330582831</v>
      </c>
      <c r="AQ179" s="22">
        <v>0.74052925963139</v>
      </c>
      <c r="AR179" s="22">
        <v>3.1279946885197</v>
      </c>
      <c r="AS179" s="22">
        <v>15.0752589360213</v>
      </c>
      <c r="AT179" s="22">
        <v>3.88268707675771</v>
      </c>
      <c r="AU179" s="22">
        <v>0.546455414163214</v>
      </c>
      <c r="AV179" s="23">
        <f t="shared" ref="AV179:AW179" si="361">(AC179-AC$289)/AC$290</f>
        <v>-0.3851690202</v>
      </c>
      <c r="AW179" s="24">
        <f t="shared" si="361"/>
        <v>-0.4617221374</v>
      </c>
      <c r="AX179" s="24">
        <f t="shared" si="5"/>
        <v>-0.1270192447</v>
      </c>
      <c r="AY179" s="25">
        <f t="shared" si="6"/>
        <v>-0.2110592258</v>
      </c>
      <c r="AZ179" s="23">
        <f t="shared" si="7"/>
        <v>-0.03030799707</v>
      </c>
      <c r="BA179" s="25">
        <f t="shared" si="8"/>
        <v>-0.1472437201</v>
      </c>
      <c r="BB179" s="23">
        <f t="shared" si="9"/>
        <v>-0.3771835123</v>
      </c>
      <c r="BC179" s="24">
        <f t="shared" si="10"/>
        <v>-0.2275952502</v>
      </c>
      <c r="BD179" s="25">
        <f t="shared" si="11"/>
        <v>-0.1904883501</v>
      </c>
      <c r="BE179" s="26">
        <f t="shared" ref="BE179:BF179" si="362">((S179-S$289)/S$290)</f>
        <v>1.755454264</v>
      </c>
      <c r="BF179" s="26">
        <f t="shared" si="362"/>
        <v>1.096826737</v>
      </c>
    </row>
    <row r="180">
      <c r="A180" s="16" t="s">
        <v>82</v>
      </c>
      <c r="B180" s="20">
        <f t="shared" si="3"/>
        <v>-0.08868340032</v>
      </c>
      <c r="C180" s="16" t="s">
        <v>68</v>
      </c>
      <c r="D180" s="16" t="s">
        <v>69</v>
      </c>
      <c r="E180" s="16">
        <v>184.0</v>
      </c>
      <c r="F180" s="21" t="s">
        <v>102</v>
      </c>
      <c r="G180" s="16" t="s">
        <v>71</v>
      </c>
      <c r="H180" s="21" t="s">
        <v>103</v>
      </c>
      <c r="I180" s="21" t="s">
        <v>73</v>
      </c>
      <c r="J180" s="21" t="s">
        <v>83</v>
      </c>
      <c r="K180" s="21" t="s">
        <v>75</v>
      </c>
      <c r="L180" s="16" t="s">
        <v>84</v>
      </c>
      <c r="M180" s="21" t="s">
        <v>85</v>
      </c>
      <c r="N180" s="16" t="s">
        <v>78</v>
      </c>
      <c r="O180" s="16" t="s">
        <v>86</v>
      </c>
      <c r="P180" s="16" t="s">
        <v>80</v>
      </c>
      <c r="Q180" s="21" t="s">
        <v>87</v>
      </c>
      <c r="S180" s="22">
        <v>405.273108243942</v>
      </c>
      <c r="T180" s="22">
        <v>331.006294012069</v>
      </c>
      <c r="U180" s="22">
        <v>3.05676090690905</v>
      </c>
      <c r="V180" s="22">
        <v>14.4320768685401</v>
      </c>
      <c r="W180" s="22">
        <v>3.79895733965783</v>
      </c>
      <c r="X180" s="22">
        <v>0.564686938921266</v>
      </c>
      <c r="Y180" s="22">
        <v>0.0981569901678723</v>
      </c>
      <c r="Z180" s="22">
        <v>0.0141785162677843</v>
      </c>
      <c r="AA180" s="22">
        <v>0.119073575018911</v>
      </c>
      <c r="AB180" s="22">
        <v>0.66999226684782</v>
      </c>
      <c r="AC180" s="22">
        <v>0.0985288738369342</v>
      </c>
      <c r="AD180" s="22">
        <v>0.119308276896418</v>
      </c>
      <c r="AE180" s="22">
        <v>0.671202584246524</v>
      </c>
      <c r="AF180" s="22">
        <v>0.122219994916076</v>
      </c>
      <c r="AG180" s="22">
        <v>0.152264363701071</v>
      </c>
      <c r="AH180" s="22">
        <v>0.466093232508567</v>
      </c>
      <c r="AI180" s="22">
        <v>10.0</v>
      </c>
      <c r="AJ180" s="22">
        <v>3.05676090690905</v>
      </c>
      <c r="AK180" s="22">
        <v>14.4320768685401</v>
      </c>
      <c r="AL180" s="22">
        <v>3.79895733965783</v>
      </c>
      <c r="AM180" s="22">
        <v>0.564653962732519</v>
      </c>
      <c r="AN180" s="22">
        <v>2.72596550948854</v>
      </c>
      <c r="AO180" s="22">
        <v>10.8956921048947</v>
      </c>
      <c r="AP180" s="22">
        <v>3.30086232746759</v>
      </c>
      <c r="AQ180" s="22">
        <v>0.671202584246524</v>
      </c>
      <c r="AR180" s="22">
        <v>3.38141985934497</v>
      </c>
      <c r="AS180" s="22">
        <v>17.7463980807478</v>
      </c>
      <c r="AT180" s="22">
        <v>4.21264739572965</v>
      </c>
      <c r="AU180" s="22">
        <v>0.466093232508566</v>
      </c>
      <c r="AV180" s="23">
        <f t="shared" ref="AV180:AW180" si="363">(AC180-AC$289)/AC$290</f>
        <v>-0.002693704123</v>
      </c>
      <c r="AW180" s="24">
        <f t="shared" si="363"/>
        <v>-0.03216120491</v>
      </c>
      <c r="AX180" s="24">
        <f t="shared" si="5"/>
        <v>0.3061391192</v>
      </c>
      <c r="AY180" s="25">
        <f t="shared" si="6"/>
        <v>0.2695790751</v>
      </c>
      <c r="AZ180" s="23">
        <f t="shared" si="7"/>
        <v>0.06810643723</v>
      </c>
      <c r="BA180" s="25">
        <f t="shared" si="8"/>
        <v>0.01297337049</v>
      </c>
      <c r="BB180" s="23">
        <f t="shared" si="9"/>
        <v>-0.06802570477</v>
      </c>
      <c r="BC180" s="24">
        <f t="shared" si="10"/>
        <v>0.1784550641</v>
      </c>
      <c r="BD180" s="25">
        <f t="shared" si="11"/>
        <v>-0.04937457793</v>
      </c>
      <c r="BE180" s="26">
        <f t="shared" ref="BE180:BF180" si="364">((S180-S$289)/S$290)</f>
        <v>-0.2933260925</v>
      </c>
      <c r="BF180" s="26">
        <f t="shared" si="364"/>
        <v>0.5858456217</v>
      </c>
    </row>
    <row r="181">
      <c r="A181" s="16" t="s">
        <v>67</v>
      </c>
      <c r="B181" s="20">
        <f t="shared" si="3"/>
        <v>-0.09164413592</v>
      </c>
      <c r="C181" s="16" t="s">
        <v>68</v>
      </c>
      <c r="D181" s="16" t="s">
        <v>69</v>
      </c>
      <c r="E181" s="16">
        <v>149.0</v>
      </c>
      <c r="F181" s="21" t="s">
        <v>102</v>
      </c>
      <c r="G181" s="16" t="s">
        <v>71</v>
      </c>
      <c r="H181" s="21" t="s">
        <v>103</v>
      </c>
      <c r="I181" s="21" t="s">
        <v>88</v>
      </c>
      <c r="J181" s="21" t="s">
        <v>97</v>
      </c>
      <c r="K181" s="21" t="s">
        <v>99</v>
      </c>
      <c r="L181" s="16" t="s">
        <v>84</v>
      </c>
      <c r="M181" s="21" t="s">
        <v>85</v>
      </c>
      <c r="N181" s="16" t="s">
        <v>95</v>
      </c>
      <c r="O181" s="16" t="s">
        <v>86</v>
      </c>
      <c r="P181" s="16" t="s">
        <v>80</v>
      </c>
      <c r="Q181" s="21" t="s">
        <v>89</v>
      </c>
      <c r="S181" s="22">
        <v>3101.88861775398</v>
      </c>
      <c r="T181" s="22">
        <v>411.058609008789</v>
      </c>
      <c r="U181" s="22">
        <v>2.73688075526569</v>
      </c>
      <c r="V181" s="22">
        <v>11.4817980254305</v>
      </c>
      <c r="W181" s="22">
        <v>3.3884801940443</v>
      </c>
      <c r="X181" s="22">
        <v>0.65364156202954</v>
      </c>
      <c r="Y181" s="22">
        <v>0.0846388428887023</v>
      </c>
      <c r="Z181" s="22">
        <v>0.010354941643754</v>
      </c>
      <c r="AA181" s="22">
        <v>0.101759233702667</v>
      </c>
      <c r="AB181" s="22">
        <v>0.757779361279826</v>
      </c>
      <c r="AC181" s="22">
        <v>0.084956789553335</v>
      </c>
      <c r="AD181" s="22">
        <v>0.101967135153086</v>
      </c>
      <c r="AE181" s="22">
        <v>0.758711170473109</v>
      </c>
      <c r="AF181" s="22">
        <v>0.103536348794765</v>
      </c>
      <c r="AG181" s="22">
        <v>0.1294129548492</v>
      </c>
      <c r="AH181" s="22">
        <v>0.614852649771901</v>
      </c>
      <c r="AI181" s="22">
        <v>10.0</v>
      </c>
      <c r="AJ181" s="22">
        <v>2.73688075526567</v>
      </c>
      <c r="AK181" s="22">
        <v>11.4817980254305</v>
      </c>
      <c r="AL181" s="22">
        <v>3.3884801940443</v>
      </c>
      <c r="AM181" s="22">
        <v>0.653538995080025</v>
      </c>
      <c r="AN181" s="22">
        <v>2.35047117764223</v>
      </c>
      <c r="AO181" s="22">
        <v>7.95855295899972</v>
      </c>
      <c r="AP181" s="22">
        <v>2.82109073923539</v>
      </c>
      <c r="AQ181" s="22">
        <v>0.758711170473109</v>
      </c>
      <c r="AR181" s="22">
        <v>2.86450564998852</v>
      </c>
      <c r="AS181" s="22">
        <v>12.8194437832909</v>
      </c>
      <c r="AT181" s="22">
        <v>3.58042508416122</v>
      </c>
      <c r="AU181" s="22">
        <v>0.6148526497719</v>
      </c>
      <c r="AV181" s="23">
        <f t="shared" ref="AV181:AW181" si="365">(AC181-AC$289)/AC$290</f>
        <v>-0.5326961229</v>
      </c>
      <c r="AW181" s="24">
        <f t="shared" si="365"/>
        <v>-0.5913268393</v>
      </c>
      <c r="AX181" s="24">
        <f t="shared" si="5"/>
        <v>-0.5773789326</v>
      </c>
      <c r="AY181" s="25">
        <f t="shared" si="6"/>
        <v>-0.6513506252</v>
      </c>
      <c r="AZ181" s="23">
        <f t="shared" si="7"/>
        <v>-0.5221498743</v>
      </c>
      <c r="BA181" s="25">
        <f t="shared" si="8"/>
        <v>-0.6117916293</v>
      </c>
      <c r="BB181" s="23">
        <f t="shared" si="9"/>
        <v>-0.4582645631</v>
      </c>
      <c r="BC181" s="24">
        <f t="shared" si="10"/>
        <v>-0.5731896386</v>
      </c>
      <c r="BD181" s="25">
        <f t="shared" si="11"/>
        <v>-0.5765749101</v>
      </c>
      <c r="BE181" s="26">
        <f t="shared" ref="BE181:BF181" si="366">((S181-S$289)/S$290)</f>
        <v>4.884032083</v>
      </c>
      <c r="BF181" s="26">
        <f t="shared" si="366"/>
        <v>1.218776547</v>
      </c>
    </row>
    <row r="182">
      <c r="A182" s="16" t="s">
        <v>82</v>
      </c>
      <c r="B182" s="20">
        <f t="shared" si="3"/>
        <v>-0.1003021267</v>
      </c>
      <c r="C182" s="16" t="s">
        <v>68</v>
      </c>
      <c r="D182" s="16" t="s">
        <v>69</v>
      </c>
      <c r="E182" s="16">
        <v>53.0</v>
      </c>
      <c r="F182" s="21" t="s">
        <v>70</v>
      </c>
      <c r="G182" s="16" t="s">
        <v>71</v>
      </c>
      <c r="H182" s="21" t="s">
        <v>72</v>
      </c>
      <c r="I182" s="21" t="s">
        <v>88</v>
      </c>
      <c r="J182" s="21" t="s">
        <v>83</v>
      </c>
      <c r="K182" s="21" t="s">
        <v>99</v>
      </c>
      <c r="L182" s="16" t="s">
        <v>84</v>
      </c>
      <c r="M182" s="21" t="s">
        <v>77</v>
      </c>
      <c r="N182" s="16" t="s">
        <v>78</v>
      </c>
      <c r="O182" s="16" t="s">
        <v>79</v>
      </c>
      <c r="P182" s="16" t="s">
        <v>80</v>
      </c>
      <c r="Q182" s="21" t="s">
        <v>89</v>
      </c>
      <c r="R182" s="21" t="s">
        <v>98</v>
      </c>
      <c r="S182" s="22">
        <v>841.500452518463</v>
      </c>
      <c r="T182" s="22">
        <v>143.759072303771</v>
      </c>
      <c r="U182" s="22">
        <v>3.12963342822886</v>
      </c>
      <c r="V182" s="22">
        <v>14.8335592279264</v>
      </c>
      <c r="W182" s="22">
        <v>3.85143599556405</v>
      </c>
      <c r="X182" s="22">
        <v>0.557432069640676</v>
      </c>
      <c r="Y182" s="22">
        <v>0.104023087461781</v>
      </c>
      <c r="Z182" s="22">
        <v>0.0160397246166336</v>
      </c>
      <c r="AA182" s="22">
        <v>0.126648034397039</v>
      </c>
      <c r="AB182" s="22">
        <v>0.653509535906905</v>
      </c>
      <c r="AC182" s="22">
        <v>0.10439001712973</v>
      </c>
      <c r="AD182" s="22">
        <v>0.126851284350855</v>
      </c>
      <c r="AE182" s="22">
        <v>0.655440363886626</v>
      </c>
      <c r="AF182" s="22">
        <v>0.127347991437933</v>
      </c>
      <c r="AG182" s="22">
        <v>0.1568914030849</v>
      </c>
      <c r="AH182" s="22">
        <v>0.475850583980416</v>
      </c>
      <c r="AI182" s="22">
        <v>10.0</v>
      </c>
      <c r="AJ182" s="22">
        <v>3.12963342822886</v>
      </c>
      <c r="AK182" s="22">
        <v>14.8335592279264</v>
      </c>
      <c r="AL182" s="22">
        <v>3.85143599556405</v>
      </c>
      <c r="AM182" s="22">
        <v>0.557345517724867</v>
      </c>
      <c r="AN182" s="22">
        <v>2.7924329582203</v>
      </c>
      <c r="AO182" s="22">
        <v>11.5142938913371</v>
      </c>
      <c r="AP182" s="22">
        <v>3.39327185638538</v>
      </c>
      <c r="AQ182" s="22">
        <v>0.655440363886626</v>
      </c>
      <c r="AR182" s="22">
        <v>3.40655877096473</v>
      </c>
      <c r="AS182" s="22">
        <v>17.6135082269968</v>
      </c>
      <c r="AT182" s="22">
        <v>4.19684503252107</v>
      </c>
      <c r="AU182" s="22">
        <v>0.475850583980416</v>
      </c>
      <c r="AV182" s="23">
        <f t="shared" ref="AV182:AW182" si="367">(AC182-AC$289)/AC$290</f>
        <v>0.2261893515</v>
      </c>
      <c r="AW182" s="24">
        <f t="shared" si="367"/>
        <v>0.2110632962</v>
      </c>
      <c r="AX182" s="24">
        <f t="shared" si="5"/>
        <v>0.3491069498</v>
      </c>
      <c r="AY182" s="25">
        <f t="shared" si="6"/>
        <v>0.246560486</v>
      </c>
      <c r="AZ182" s="23">
        <f t="shared" si="7"/>
        <v>0.2025738789</v>
      </c>
      <c r="BA182" s="25">
        <f t="shared" si="8"/>
        <v>0.0928482863</v>
      </c>
      <c r="BB182" s="23">
        <f t="shared" si="9"/>
        <v>0.002264893483</v>
      </c>
      <c r="BC182" s="24">
        <f t="shared" si="10"/>
        <v>0.1291535699</v>
      </c>
      <c r="BD182" s="25">
        <f t="shared" si="11"/>
        <v>-0.006026282565</v>
      </c>
      <c r="BE182" s="26">
        <f t="shared" ref="BE182:BF182" si="368">((S182-S$289)/S$290)</f>
        <v>0.5442071782</v>
      </c>
      <c r="BF182" s="26">
        <f t="shared" si="368"/>
        <v>-0.8946182146</v>
      </c>
    </row>
    <row r="183">
      <c r="A183" s="16" t="s">
        <v>67</v>
      </c>
      <c r="B183" s="20">
        <f t="shared" si="3"/>
        <v>-0.1540713572</v>
      </c>
      <c r="C183" s="16" t="s">
        <v>68</v>
      </c>
      <c r="D183" s="16" t="s">
        <v>69</v>
      </c>
      <c r="E183" s="16">
        <v>237.0</v>
      </c>
      <c r="F183" s="21" t="s">
        <v>102</v>
      </c>
      <c r="G183" s="16" t="s">
        <v>100</v>
      </c>
      <c r="H183" s="21" t="s">
        <v>105</v>
      </c>
      <c r="I183" s="21" t="s">
        <v>73</v>
      </c>
      <c r="J183" s="21" t="s">
        <v>83</v>
      </c>
      <c r="K183" s="21" t="s">
        <v>75</v>
      </c>
      <c r="L183" s="16" t="s">
        <v>76</v>
      </c>
      <c r="M183" s="21" t="s">
        <v>77</v>
      </c>
      <c r="N183" s="16" t="s">
        <v>91</v>
      </c>
      <c r="O183" s="16" t="s">
        <v>86</v>
      </c>
      <c r="P183" s="16" t="s">
        <v>80</v>
      </c>
      <c r="Q183" s="21" t="s">
        <v>81</v>
      </c>
      <c r="R183" s="21" t="s">
        <v>104</v>
      </c>
      <c r="S183" s="22">
        <v>223.200073242187</v>
      </c>
      <c r="T183" s="22">
        <v>404.563406944274</v>
      </c>
      <c r="U183" s="22">
        <v>3.16295128799719</v>
      </c>
      <c r="V183" s="22">
        <v>15.3002884948699</v>
      </c>
      <c r="W183" s="22">
        <v>3.9115583205252</v>
      </c>
      <c r="X183" s="22">
        <v>0.537453678237974</v>
      </c>
      <c r="Y183" s="22">
        <v>0.101398771076059</v>
      </c>
      <c r="Z183" s="22">
        <v>0.014847161881111</v>
      </c>
      <c r="AA183" s="22">
        <v>0.121848930570239</v>
      </c>
      <c r="AB183" s="22">
        <v>0.649898454395537</v>
      </c>
      <c r="AC183" s="22">
        <v>0.102055392101195</v>
      </c>
      <c r="AD183" s="22">
        <v>0.122285427583846</v>
      </c>
      <c r="AE183" s="22">
        <v>0.652930437579651</v>
      </c>
      <c r="AF183" s="22">
        <v>0.120054464550607</v>
      </c>
      <c r="AG183" s="22">
        <v>0.148931386631203</v>
      </c>
      <c r="AH183" s="22">
        <v>0.489951452116794</v>
      </c>
      <c r="AI183" s="22">
        <v>10.0</v>
      </c>
      <c r="AJ183" s="22">
        <v>3.16295128799719</v>
      </c>
      <c r="AK183" s="22">
        <v>15.3002884948699</v>
      </c>
      <c r="AL183" s="22">
        <v>3.9115583205252</v>
      </c>
      <c r="AM183" s="22">
        <v>0.537339293371897</v>
      </c>
      <c r="AN183" s="22">
        <v>2.82353251479975</v>
      </c>
      <c r="AO183" s="22">
        <v>11.4462463368687</v>
      </c>
      <c r="AP183" s="22">
        <v>3.38323016315307</v>
      </c>
      <c r="AQ183" s="22">
        <v>0.652930437579651</v>
      </c>
      <c r="AR183" s="22">
        <v>3.32150685256691</v>
      </c>
      <c r="AS183" s="22">
        <v>16.9779848375221</v>
      </c>
      <c r="AT183" s="22">
        <v>4.12043503012996</v>
      </c>
      <c r="AU183" s="22">
        <v>0.489951452116794</v>
      </c>
      <c r="AV183" s="23">
        <f t="shared" ref="AV183:AW183" si="369">(AC183-AC$289)/AC$290</f>
        <v>0.1350200892</v>
      </c>
      <c r="AW183" s="24">
        <f t="shared" si="369"/>
        <v>0.06383710809</v>
      </c>
      <c r="AX183" s="24">
        <f t="shared" si="5"/>
        <v>0.2037348477</v>
      </c>
      <c r="AY183" s="25">
        <f t="shared" si="6"/>
        <v>0.135257485</v>
      </c>
      <c r="AZ183" s="23">
        <f t="shared" si="7"/>
        <v>0.2640533953</v>
      </c>
      <c r="BA183" s="25">
        <f t="shared" si="8"/>
        <v>0.1843572162</v>
      </c>
      <c r="BB183" s="23">
        <f t="shared" si="9"/>
        <v>0.01345774688</v>
      </c>
      <c r="BC183" s="24">
        <f t="shared" si="10"/>
        <v>0.05790535562</v>
      </c>
      <c r="BD183" s="25">
        <f t="shared" si="11"/>
        <v>0.1126358571</v>
      </c>
      <c r="BE183" s="26">
        <f t="shared" ref="BE183:BF183" si="370">((S183-S$289)/S$290)</f>
        <v>-0.6428966238</v>
      </c>
      <c r="BF183" s="26">
        <f t="shared" si="370"/>
        <v>1.167422451</v>
      </c>
    </row>
    <row r="184">
      <c r="A184" s="16" t="s">
        <v>67</v>
      </c>
      <c r="B184" s="20">
        <f t="shared" si="3"/>
        <v>-0.1542290037</v>
      </c>
      <c r="C184" s="16" t="s">
        <v>68</v>
      </c>
      <c r="D184" s="16" t="s">
        <v>69</v>
      </c>
      <c r="E184" s="16">
        <v>153.0</v>
      </c>
      <c r="F184" s="21" t="s">
        <v>102</v>
      </c>
      <c r="G184" s="16" t="s">
        <v>71</v>
      </c>
      <c r="H184" s="21" t="s">
        <v>103</v>
      </c>
      <c r="I184" s="21" t="s">
        <v>88</v>
      </c>
      <c r="J184" s="21" t="s">
        <v>74</v>
      </c>
      <c r="K184" s="21" t="s">
        <v>75</v>
      </c>
      <c r="L184" s="16" t="s">
        <v>84</v>
      </c>
      <c r="M184" s="21" t="s">
        <v>77</v>
      </c>
      <c r="N184" s="16" t="s">
        <v>91</v>
      </c>
      <c r="O184" s="16" t="s">
        <v>86</v>
      </c>
      <c r="P184" s="16" t="s">
        <v>80</v>
      </c>
      <c r="Q184" s="21" t="s">
        <v>98</v>
      </c>
      <c r="R184" s="21" t="s">
        <v>98</v>
      </c>
      <c r="S184" s="22">
        <v>1165.85871839523</v>
      </c>
      <c r="T184" s="22">
        <v>451.525792121887</v>
      </c>
      <c r="U184" s="22">
        <v>2.92074809508754</v>
      </c>
      <c r="V184" s="22">
        <v>13.2126935209975</v>
      </c>
      <c r="W184" s="22">
        <v>3.63492689348734</v>
      </c>
      <c r="X184" s="22">
        <v>0.601411301154515</v>
      </c>
      <c r="Y184" s="22">
        <v>0.102946064299252</v>
      </c>
      <c r="Z184" s="22">
        <v>0.0153640121435311</v>
      </c>
      <c r="AA184" s="22">
        <v>0.123951652443729</v>
      </c>
      <c r="AB184" s="22">
        <v>0.640608227188286</v>
      </c>
      <c r="AC184" s="22">
        <v>0.103289316694948</v>
      </c>
      <c r="AD184" s="22">
        <v>0.124148375450433</v>
      </c>
      <c r="AE184" s="22">
        <v>0.642316535579067</v>
      </c>
      <c r="AF184" s="22">
        <v>0.111386960288676</v>
      </c>
      <c r="AG184" s="22">
        <v>0.139750792187368</v>
      </c>
      <c r="AH184" s="22">
        <v>0.550861830957319</v>
      </c>
      <c r="AI184" s="22">
        <v>10.0</v>
      </c>
      <c r="AJ184" s="22">
        <v>2.92074809508752</v>
      </c>
      <c r="AK184" s="22">
        <v>13.2126935209975</v>
      </c>
      <c r="AL184" s="22">
        <v>3.63492689348734</v>
      </c>
      <c r="AM184" s="22">
        <v>0.601309562766601</v>
      </c>
      <c r="AN184" s="22">
        <v>2.85767109522694</v>
      </c>
      <c r="AO184" s="22">
        <v>11.7976567739752</v>
      </c>
      <c r="AP184" s="22">
        <v>3.43477172079532</v>
      </c>
      <c r="AQ184" s="22">
        <v>0.642316535579067</v>
      </c>
      <c r="AR184" s="22">
        <v>3.08170590132008</v>
      </c>
      <c r="AS184" s="22">
        <v>14.9493473226881</v>
      </c>
      <c r="AT184" s="22">
        <v>3.86643858385054</v>
      </c>
      <c r="AU184" s="22">
        <v>0.550861830957319</v>
      </c>
      <c r="AV184" s="23">
        <f t="shared" ref="AV184:AW184" si="371">(AC184-AC$289)/AC$290</f>
        <v>0.1832059835</v>
      </c>
      <c r="AW184" s="24">
        <f t="shared" si="371"/>
        <v>0.1239079178</v>
      </c>
      <c r="AX184" s="24">
        <f t="shared" si="5"/>
        <v>-0.2061367817</v>
      </c>
      <c r="AY184" s="25">
        <f t="shared" si="6"/>
        <v>-0.2347276719</v>
      </c>
      <c r="AZ184" s="23">
        <f t="shared" si="7"/>
        <v>-0.1828701245</v>
      </c>
      <c r="BA184" s="25">
        <f t="shared" si="8"/>
        <v>-0.2366884749</v>
      </c>
      <c r="BB184" s="23">
        <f t="shared" si="9"/>
        <v>0.06078975369</v>
      </c>
      <c r="BC184" s="24">
        <f t="shared" si="10"/>
        <v>-0.2498597892</v>
      </c>
      <c r="BD184" s="25">
        <f t="shared" si="11"/>
        <v>-0.2667885115</v>
      </c>
      <c r="BE184" s="26">
        <f t="shared" ref="BE184:BF184" si="372">((S184-S$289)/S$290)</f>
        <v>1.166957776</v>
      </c>
      <c r="BF184" s="26">
        <f t="shared" si="372"/>
        <v>1.538728964</v>
      </c>
    </row>
    <row r="185">
      <c r="A185" s="16" t="s">
        <v>67</v>
      </c>
      <c r="B185" s="20">
        <f t="shared" si="3"/>
        <v>-0.1542886151</v>
      </c>
      <c r="C185" s="16" t="s">
        <v>68</v>
      </c>
      <c r="D185" s="16" t="s">
        <v>69</v>
      </c>
      <c r="E185" s="16">
        <v>227.0</v>
      </c>
      <c r="F185" s="21" t="s">
        <v>102</v>
      </c>
      <c r="G185" s="16" t="s">
        <v>100</v>
      </c>
      <c r="H185" s="21" t="s">
        <v>105</v>
      </c>
      <c r="I185" s="21" t="s">
        <v>88</v>
      </c>
      <c r="J185" s="21" t="s">
        <v>83</v>
      </c>
      <c r="K185" s="21" t="s">
        <v>99</v>
      </c>
      <c r="L185" s="16" t="s">
        <v>76</v>
      </c>
      <c r="M185" s="21" t="s">
        <v>85</v>
      </c>
      <c r="N185" s="16" t="s">
        <v>95</v>
      </c>
      <c r="O185" s="16" t="s">
        <v>92</v>
      </c>
      <c r="P185" s="16" t="s">
        <v>80</v>
      </c>
      <c r="Q185" s="21" t="s">
        <v>81</v>
      </c>
      <c r="S185" s="22">
        <v>961.934161663055</v>
      </c>
      <c r="T185" s="22">
        <v>332.891451835632</v>
      </c>
      <c r="U185" s="22">
        <v>3.10735467105829</v>
      </c>
      <c r="V185" s="22">
        <v>14.8086322101294</v>
      </c>
      <c r="W185" s="22">
        <v>3.84819856687898</v>
      </c>
      <c r="X185" s="22">
        <v>0.552376509117657</v>
      </c>
      <c r="Y185" s="22">
        <v>0.0945253478932393</v>
      </c>
      <c r="Z185" s="22">
        <v>0.0128961279939609</v>
      </c>
      <c r="AA185" s="22">
        <v>0.113561120080602</v>
      </c>
      <c r="AB185" s="22">
        <v>0.694227440750004</v>
      </c>
      <c r="AC185" s="22">
        <v>0.0951923474136647</v>
      </c>
      <c r="AD185" s="22">
        <v>0.114034342718831</v>
      </c>
      <c r="AE185" s="22">
        <v>0.696709400089989</v>
      </c>
      <c r="AF185" s="22">
        <v>0.121380859101046</v>
      </c>
      <c r="AG185" s="22">
        <v>0.150292887828078</v>
      </c>
      <c r="AH185" s="22">
        <v>0.480212859904021</v>
      </c>
      <c r="AI185" s="22">
        <v>10.0</v>
      </c>
      <c r="AJ185" s="22">
        <v>3.10735467105828</v>
      </c>
      <c r="AK185" s="22">
        <v>14.8086322101294</v>
      </c>
      <c r="AL185" s="22">
        <v>3.84819856687898</v>
      </c>
      <c r="AM185" s="22">
        <v>0.552133415547766</v>
      </c>
      <c r="AN185" s="22">
        <v>2.63365494511142</v>
      </c>
      <c r="AO185" s="22">
        <v>9.95371043986301</v>
      </c>
      <c r="AP185" s="22">
        <v>3.15495014855433</v>
      </c>
      <c r="AQ185" s="22">
        <v>0.696709400089989</v>
      </c>
      <c r="AR185" s="22">
        <v>3.35820376846241</v>
      </c>
      <c r="AS185" s="22">
        <v>17.2898224705894</v>
      </c>
      <c r="AT185" s="22">
        <v>4.15810322991018</v>
      </c>
      <c r="AU185" s="22">
        <v>0.480212859904021</v>
      </c>
      <c r="AV185" s="23">
        <f t="shared" ref="AV185:AW185" si="373">(AC185-AC$289)/AC$290</f>
        <v>-0.1329881407</v>
      </c>
      <c r="AW185" s="24">
        <f t="shared" si="373"/>
        <v>-0.2022193703</v>
      </c>
      <c r="AX185" s="24">
        <f t="shared" si="5"/>
        <v>0.2664578045</v>
      </c>
      <c r="AY185" s="25">
        <f t="shared" si="6"/>
        <v>0.1901270511</v>
      </c>
      <c r="AZ185" s="23">
        <f t="shared" si="7"/>
        <v>0.1614641791</v>
      </c>
      <c r="BA185" s="25">
        <f t="shared" si="8"/>
        <v>0.08792077169</v>
      </c>
      <c r="BB185" s="23">
        <f t="shared" si="9"/>
        <v>-0.1817716939</v>
      </c>
      <c r="BC185" s="24">
        <f t="shared" si="10"/>
        <v>0.1071120639</v>
      </c>
      <c r="BD185" s="25">
        <f t="shared" si="11"/>
        <v>0.02488805618</v>
      </c>
      <c r="BE185" s="26">
        <f t="shared" ref="BE185:BF185" si="374">((S185-S$289)/S$290)</f>
        <v>0.7754334863</v>
      </c>
      <c r="BF185" s="26">
        <f t="shared" si="374"/>
        <v>0.6007505583</v>
      </c>
    </row>
    <row r="186">
      <c r="A186" s="16" t="s">
        <v>67</v>
      </c>
      <c r="B186" s="20">
        <f t="shared" si="3"/>
        <v>-0.1550017691</v>
      </c>
      <c r="C186" s="16" t="s">
        <v>68</v>
      </c>
      <c r="D186" s="16" t="s">
        <v>69</v>
      </c>
      <c r="E186" s="16">
        <v>74.0</v>
      </c>
      <c r="F186" s="21" t="s">
        <v>70</v>
      </c>
      <c r="G186" s="16" t="s">
        <v>100</v>
      </c>
      <c r="H186" s="21" t="s">
        <v>101</v>
      </c>
      <c r="I186" s="21" t="s">
        <v>88</v>
      </c>
      <c r="J186" s="21" t="s">
        <v>97</v>
      </c>
      <c r="K186" s="21" t="s">
        <v>99</v>
      </c>
      <c r="L186" s="16" t="s">
        <v>76</v>
      </c>
      <c r="M186" s="21" t="s">
        <v>77</v>
      </c>
      <c r="N186" s="16" t="s">
        <v>95</v>
      </c>
      <c r="O186" s="16" t="s">
        <v>86</v>
      </c>
      <c r="P186" s="16" t="s">
        <v>80</v>
      </c>
      <c r="Q186" s="21" t="s">
        <v>94</v>
      </c>
      <c r="R186" s="21" t="s">
        <v>81</v>
      </c>
      <c r="S186" s="22">
        <v>827.167698621749</v>
      </c>
      <c r="T186" s="22">
        <v>138.566543340682</v>
      </c>
      <c r="U186" s="22">
        <v>3.20480862169589</v>
      </c>
      <c r="V186" s="22">
        <v>15.7957256874472</v>
      </c>
      <c r="W186" s="22">
        <v>3.97438368649117</v>
      </c>
      <c r="X186" s="22">
        <v>0.526593830506625</v>
      </c>
      <c r="Y186" s="22">
        <v>0.105817569664248</v>
      </c>
      <c r="Z186" s="22">
        <v>0.0165621270754163</v>
      </c>
      <c r="AA186" s="22">
        <v>0.128693927888678</v>
      </c>
      <c r="AB186" s="22">
        <v>0.636772406277294</v>
      </c>
      <c r="AC186" s="22">
        <v>0.106587571703926</v>
      </c>
      <c r="AD186" s="22">
        <v>0.129210726288584</v>
      </c>
      <c r="AE186" s="22">
        <v>0.640460990461067</v>
      </c>
      <c r="AF186" s="22">
        <v>0.126072769462381</v>
      </c>
      <c r="AG186" s="22">
        <v>0.156518328720349</v>
      </c>
      <c r="AH186" s="22">
        <v>0.47471003381686</v>
      </c>
      <c r="AI186" s="22">
        <v>10.0</v>
      </c>
      <c r="AJ186" s="22">
        <v>3.2048086216959</v>
      </c>
      <c r="AK186" s="22">
        <v>15.7957256874472</v>
      </c>
      <c r="AL186" s="22">
        <v>3.97438368649117</v>
      </c>
      <c r="AM186" s="22">
        <v>0.526525231066046</v>
      </c>
      <c r="AN186" s="22">
        <v>2.85121754308002</v>
      </c>
      <c r="AO186" s="22">
        <v>11.9466105975674</v>
      </c>
      <c r="AP186" s="22">
        <v>3.45638692821962</v>
      </c>
      <c r="AQ186" s="22">
        <v>0.640460990461067</v>
      </c>
      <c r="AR186" s="22">
        <v>3.37244658311869</v>
      </c>
      <c r="AS186" s="22">
        <v>17.5298409839835</v>
      </c>
      <c r="AT186" s="22">
        <v>4.18686529326936</v>
      </c>
      <c r="AU186" s="22">
        <v>0.47471003381686</v>
      </c>
      <c r="AV186" s="23">
        <f t="shared" ref="AV186:AW186" si="375">(AC186-AC$289)/AC$290</f>
        <v>0.312005886</v>
      </c>
      <c r="AW186" s="24">
        <f t="shared" si="375"/>
        <v>0.2871435721</v>
      </c>
      <c r="AX186" s="24">
        <f t="shared" si="5"/>
        <v>0.2908018516</v>
      </c>
      <c r="AY186" s="25">
        <f t="shared" si="6"/>
        <v>0.2320234504</v>
      </c>
      <c r="AZ186" s="23">
        <f t="shared" si="7"/>
        <v>0.3412903081</v>
      </c>
      <c r="BA186" s="25">
        <f t="shared" si="8"/>
        <v>0.2799802982</v>
      </c>
      <c r="BB186" s="23">
        <f t="shared" si="9"/>
        <v>0.06906443667</v>
      </c>
      <c r="BC186" s="24">
        <f t="shared" si="10"/>
        <v>0.134916489</v>
      </c>
      <c r="BD186" s="25">
        <f t="shared" si="11"/>
        <v>0.1767768839</v>
      </c>
      <c r="BE186" s="26">
        <f t="shared" ref="BE186:BF186" si="376">((S186-S$289)/S$290)</f>
        <v>0.5166890539</v>
      </c>
      <c r="BF186" s="26">
        <f t="shared" si="376"/>
        <v>-0.9356727695</v>
      </c>
    </row>
    <row r="187">
      <c r="A187" s="16" t="s">
        <v>67</v>
      </c>
      <c r="B187" s="20">
        <f t="shared" si="3"/>
        <v>-0.157442505</v>
      </c>
      <c r="C187" s="16" t="s">
        <v>68</v>
      </c>
      <c r="D187" s="16" t="s">
        <v>69</v>
      </c>
      <c r="E187" s="16">
        <v>9.0</v>
      </c>
      <c r="F187" s="21" t="s">
        <v>70</v>
      </c>
      <c r="G187" s="16" t="s">
        <v>71</v>
      </c>
      <c r="H187" s="21" t="s">
        <v>72</v>
      </c>
      <c r="I187" s="21" t="s">
        <v>88</v>
      </c>
      <c r="J187" s="21" t="s">
        <v>83</v>
      </c>
      <c r="K187" s="21" t="s">
        <v>99</v>
      </c>
      <c r="L187" s="16" t="s">
        <v>84</v>
      </c>
      <c r="M187" s="21" t="s">
        <v>77</v>
      </c>
      <c r="N187" s="16" t="s">
        <v>95</v>
      </c>
      <c r="O187" s="16" t="s">
        <v>86</v>
      </c>
      <c r="P187" s="16" t="s">
        <v>80</v>
      </c>
      <c r="Q187" s="21" t="s">
        <v>98</v>
      </c>
      <c r="R187" s="21" t="s">
        <v>98</v>
      </c>
      <c r="S187" s="22">
        <v>1401.27038073539</v>
      </c>
      <c r="T187" s="22">
        <v>147.050462007522</v>
      </c>
      <c r="U187" s="22">
        <v>3.10481842464836</v>
      </c>
      <c r="V187" s="22">
        <v>14.9469902339668</v>
      </c>
      <c r="W187" s="22">
        <v>3.86613375789908</v>
      </c>
      <c r="X187" s="22">
        <v>0.554117288159312</v>
      </c>
      <c r="Y187" s="22">
        <v>0.0949879264496792</v>
      </c>
      <c r="Z187" s="22">
        <v>0.0133790336566523</v>
      </c>
      <c r="AA187" s="22">
        <v>0.115667772766023</v>
      </c>
      <c r="AB187" s="22">
        <v>0.710985837250395</v>
      </c>
      <c r="AC187" s="22">
        <v>0.0953732634309061</v>
      </c>
      <c r="AD187" s="22">
        <v>0.115913967188072</v>
      </c>
      <c r="AE187" s="22">
        <v>0.712295799627508</v>
      </c>
      <c r="AF187" s="22">
        <v>0.130356537309633</v>
      </c>
      <c r="AG187" s="22">
        <v>0.161696055950588</v>
      </c>
      <c r="AH187" s="22">
        <v>0.443255845263053</v>
      </c>
      <c r="AI187" s="22">
        <v>10.0</v>
      </c>
      <c r="AJ187" s="22">
        <v>3.10481842464837</v>
      </c>
      <c r="AK187" s="22">
        <v>14.9469902339668</v>
      </c>
      <c r="AL187" s="22">
        <v>3.86613375789908</v>
      </c>
      <c r="AM187" s="22">
        <v>0.553960575346491</v>
      </c>
      <c r="AN187" s="22">
        <v>2.55123479677673</v>
      </c>
      <c r="AO187" s="22">
        <v>9.61433194621494</v>
      </c>
      <c r="AP187" s="22">
        <v>3.10069862228094</v>
      </c>
      <c r="AQ187" s="22">
        <v>0.712295799627508</v>
      </c>
      <c r="AR187" s="22">
        <v>3.48703737303271</v>
      </c>
      <c r="AS187" s="22">
        <v>18.7088212827946</v>
      </c>
      <c r="AT187" s="22">
        <v>4.32536949667825</v>
      </c>
      <c r="AU187" s="22">
        <v>0.443255845263053</v>
      </c>
      <c r="AV187" s="23">
        <f t="shared" ref="AV187:AW187" si="377">(AC187-AC$289)/AC$290</f>
        <v>-0.1259232032</v>
      </c>
      <c r="AW187" s="24">
        <f t="shared" si="377"/>
        <v>-0.141610823</v>
      </c>
      <c r="AX187" s="24">
        <f t="shared" si="5"/>
        <v>0.4866622664</v>
      </c>
      <c r="AY187" s="25">
        <f t="shared" si="6"/>
        <v>0.4337762709</v>
      </c>
      <c r="AZ187" s="23">
        <f t="shared" si="7"/>
        <v>0.1567841905</v>
      </c>
      <c r="BA187" s="25">
        <f t="shared" si="8"/>
        <v>0.1152189532</v>
      </c>
      <c r="BB187" s="23">
        <f t="shared" si="9"/>
        <v>-0.2512782306</v>
      </c>
      <c r="BC187" s="24">
        <f t="shared" si="10"/>
        <v>0.293846758</v>
      </c>
      <c r="BD187" s="25">
        <f t="shared" si="11"/>
        <v>0.01405069439</v>
      </c>
      <c r="BE187" s="26">
        <f t="shared" ref="BE187:BF187" si="378">((S187-S$289)/S$290)</f>
        <v>1.618935631</v>
      </c>
      <c r="BF187" s="26">
        <f t="shared" si="378"/>
        <v>-0.868594953</v>
      </c>
    </row>
    <row r="188">
      <c r="A188" s="16" t="s">
        <v>67</v>
      </c>
      <c r="B188" s="20">
        <f t="shared" si="3"/>
        <v>-0.1601193461</v>
      </c>
      <c r="C188" s="16" t="s">
        <v>68</v>
      </c>
      <c r="D188" s="16" t="s">
        <v>69</v>
      </c>
      <c r="E188" s="16">
        <v>248.0</v>
      </c>
      <c r="F188" s="21" t="s">
        <v>102</v>
      </c>
      <c r="G188" s="16" t="s">
        <v>100</v>
      </c>
      <c r="H188" s="21" t="s">
        <v>105</v>
      </c>
      <c r="I188" s="21" t="s">
        <v>88</v>
      </c>
      <c r="J188" s="21" t="s">
        <v>83</v>
      </c>
      <c r="K188" s="21" t="s">
        <v>75</v>
      </c>
      <c r="L188" s="16" t="s">
        <v>84</v>
      </c>
      <c r="M188" s="21" t="s">
        <v>85</v>
      </c>
      <c r="N188" s="16" t="s">
        <v>78</v>
      </c>
      <c r="O188" s="16" t="s">
        <v>79</v>
      </c>
      <c r="P188" s="16" t="s">
        <v>80</v>
      </c>
      <c r="Q188" s="21" t="s">
        <v>98</v>
      </c>
      <c r="S188" s="22">
        <v>1200.45420455932</v>
      </c>
      <c r="T188" s="22">
        <v>330.866023540496</v>
      </c>
      <c r="U188" s="22">
        <v>3.12677265127915</v>
      </c>
      <c r="V188" s="22">
        <v>14.7387094266493</v>
      </c>
      <c r="W188" s="22">
        <v>3.83910268508792</v>
      </c>
      <c r="X188" s="22">
        <v>0.554391565877323</v>
      </c>
      <c r="Y188" s="22">
        <v>0.0989339822634204</v>
      </c>
      <c r="Z188" s="22">
        <v>0.0139780563879195</v>
      </c>
      <c r="AA188" s="22">
        <v>0.118228830612163</v>
      </c>
      <c r="AB188" s="22">
        <v>0.668574468470193</v>
      </c>
      <c r="AC188" s="22">
        <v>0.0993838394142077</v>
      </c>
      <c r="AD188" s="22">
        <v>0.118438887152901</v>
      </c>
      <c r="AE188" s="22">
        <v>0.672827901931294</v>
      </c>
      <c r="AF188" s="22">
        <v>0.116366820606448</v>
      </c>
      <c r="AG188" s="22">
        <v>0.142731705821211</v>
      </c>
      <c r="AH188" s="22">
        <v>0.531197861399666</v>
      </c>
      <c r="AI188" s="22">
        <v>10.0</v>
      </c>
      <c r="AJ188" s="22">
        <v>3.12677265127915</v>
      </c>
      <c r="AK188" s="22">
        <v>14.7387094266493</v>
      </c>
      <c r="AL188" s="22">
        <v>3.83910268508792</v>
      </c>
      <c r="AM188" s="22">
        <v>0.554248133353453</v>
      </c>
      <c r="AN188" s="22">
        <v>2.74961955712656</v>
      </c>
      <c r="AO188" s="22">
        <v>10.7374786068035</v>
      </c>
      <c r="AP188" s="22">
        <v>3.27680921123027</v>
      </c>
      <c r="AQ188" s="22">
        <v>0.672827901931294</v>
      </c>
      <c r="AR188" s="22">
        <v>3.21948203677856</v>
      </c>
      <c r="AS188" s="22">
        <v>15.5938943559392</v>
      </c>
      <c r="AT188" s="22">
        <v>3.94891052772017</v>
      </c>
      <c r="AU188" s="22">
        <v>0.531197861399666</v>
      </c>
      <c r="AV188" s="23">
        <f t="shared" ref="AV188:AW188" si="379">(AC188-AC$289)/AC$290</f>
        <v>0.03069349083</v>
      </c>
      <c r="AW188" s="24">
        <f t="shared" si="379"/>
        <v>-0.06019470321</v>
      </c>
      <c r="AX188" s="24">
        <f t="shared" si="5"/>
        <v>0.02935239728</v>
      </c>
      <c r="AY188" s="25">
        <f t="shared" si="6"/>
        <v>-0.1145945144</v>
      </c>
      <c r="AZ188" s="23">
        <f t="shared" si="7"/>
        <v>0.197295053</v>
      </c>
      <c r="BA188" s="25">
        <f t="shared" si="8"/>
        <v>0.07407642336</v>
      </c>
      <c r="BB188" s="23">
        <f t="shared" si="9"/>
        <v>-0.07527370346</v>
      </c>
      <c r="BC188" s="24">
        <f t="shared" si="10"/>
        <v>-0.1505025934</v>
      </c>
      <c r="BD188" s="25">
        <f t="shared" si="11"/>
        <v>0.01234511278</v>
      </c>
      <c r="BE188" s="26">
        <f t="shared" ref="BE188:BF188" si="380">((S188-S$289)/S$290)</f>
        <v>1.233379267</v>
      </c>
      <c r="BF188" s="26">
        <f t="shared" si="380"/>
        <v>0.5847365779</v>
      </c>
    </row>
    <row r="189">
      <c r="A189" s="16" t="s">
        <v>82</v>
      </c>
      <c r="B189" s="20">
        <f t="shared" si="3"/>
        <v>-0.1680719694</v>
      </c>
      <c r="C189" s="16" t="s">
        <v>68</v>
      </c>
      <c r="D189" s="16" t="s">
        <v>69</v>
      </c>
      <c r="E189" s="16">
        <v>192.0</v>
      </c>
      <c r="F189" s="21" t="s">
        <v>102</v>
      </c>
      <c r="G189" s="16" t="s">
        <v>71</v>
      </c>
      <c r="H189" s="21" t="s">
        <v>103</v>
      </c>
      <c r="I189" s="21" t="s">
        <v>88</v>
      </c>
      <c r="J189" s="21" t="s">
        <v>74</v>
      </c>
      <c r="K189" s="21" t="s">
        <v>75</v>
      </c>
      <c r="L189" s="16" t="s">
        <v>84</v>
      </c>
      <c r="M189" s="21" t="s">
        <v>85</v>
      </c>
      <c r="N189" s="16" t="s">
        <v>95</v>
      </c>
      <c r="O189" s="16" t="s">
        <v>92</v>
      </c>
      <c r="P189" s="16" t="s">
        <v>80</v>
      </c>
      <c r="Q189" s="21" t="s">
        <v>89</v>
      </c>
      <c r="S189" s="22">
        <v>753.17909169197</v>
      </c>
      <c r="T189" s="22">
        <v>329.81510066986</v>
      </c>
      <c r="U189" s="22">
        <v>3.04939674547619</v>
      </c>
      <c r="V189" s="22">
        <v>15.180061949836</v>
      </c>
      <c r="W189" s="22">
        <v>3.89615989787842</v>
      </c>
      <c r="X189" s="22">
        <v>0.542019741576823</v>
      </c>
      <c r="Y189" s="22">
        <v>0.113622448546125</v>
      </c>
      <c r="Z189" s="22">
        <v>0.0197938902272348</v>
      </c>
      <c r="AA189" s="22">
        <v>0.140690760987475</v>
      </c>
      <c r="AB189" s="22">
        <v>0.536985441488239</v>
      </c>
      <c r="AC189" s="22">
        <v>0.114391894298039</v>
      </c>
      <c r="AD189" s="22">
        <v>0.141376110718205</v>
      </c>
      <c r="AE189" s="22">
        <v>0.53615931285643</v>
      </c>
      <c r="AF189" s="22">
        <v>0.104032982040247</v>
      </c>
      <c r="AG189" s="22">
        <v>0.137060870968053</v>
      </c>
      <c r="AH189" s="22">
        <v>0.567985441942933</v>
      </c>
      <c r="AI189" s="22">
        <v>10.0</v>
      </c>
      <c r="AJ189" s="22">
        <v>3.04939674547617</v>
      </c>
      <c r="AK189" s="22">
        <v>15.180061949836</v>
      </c>
      <c r="AL189" s="22">
        <v>3.89615989787842</v>
      </c>
      <c r="AM189" s="22">
        <v>0.541944606041747</v>
      </c>
      <c r="AN189" s="22">
        <v>3.16484240891243</v>
      </c>
      <c r="AO189" s="22">
        <v>15.2990947836626</v>
      </c>
      <c r="AP189" s="22">
        <v>3.91140572987036</v>
      </c>
      <c r="AQ189" s="22">
        <v>0.536159312856429</v>
      </c>
      <c r="AR189" s="22">
        <v>2.87824583644684</v>
      </c>
      <c r="AS189" s="22">
        <v>14.3793961903046</v>
      </c>
      <c r="AT189" s="22">
        <v>3.79201743011614</v>
      </c>
      <c r="AU189" s="22">
        <v>0.567985441942933</v>
      </c>
      <c r="AV189" s="23">
        <f t="shared" ref="AV189:AW189" si="381">(AC189-AC$289)/AC$290</f>
        <v>0.616771887</v>
      </c>
      <c r="AW189" s="24">
        <f t="shared" si="381"/>
        <v>0.679416757</v>
      </c>
      <c r="AX189" s="24">
        <f t="shared" si="5"/>
        <v>-0.5538939857</v>
      </c>
      <c r="AY189" s="25">
        <f t="shared" si="6"/>
        <v>-0.3431336069</v>
      </c>
      <c r="AZ189" s="23">
        <f t="shared" si="7"/>
        <v>0.05451777678</v>
      </c>
      <c r="BA189" s="25">
        <f t="shared" si="8"/>
        <v>0.1609201123</v>
      </c>
      <c r="BB189" s="23">
        <f t="shared" si="9"/>
        <v>0.5341909957</v>
      </c>
      <c r="BC189" s="24">
        <f t="shared" si="10"/>
        <v>-0.3363811787</v>
      </c>
      <c r="BD189" s="25">
        <f t="shared" si="11"/>
        <v>0.08532054536</v>
      </c>
      <c r="BE189" s="26">
        <f t="shared" ref="BE189:BF189" si="382">((S189-S$289)/S$290)</f>
        <v>0.3746348687</v>
      </c>
      <c r="BF189" s="26">
        <f t="shared" si="382"/>
        <v>0.5764274917</v>
      </c>
    </row>
    <row r="190">
      <c r="A190" s="16" t="s">
        <v>67</v>
      </c>
      <c r="B190" s="20">
        <f t="shared" si="3"/>
        <v>-0.1707504726</v>
      </c>
      <c r="C190" s="16" t="s">
        <v>68</v>
      </c>
      <c r="D190" s="16" t="s">
        <v>69</v>
      </c>
      <c r="E190" s="16">
        <v>240.0</v>
      </c>
      <c r="F190" s="21" t="s">
        <v>102</v>
      </c>
      <c r="G190" s="16" t="s">
        <v>100</v>
      </c>
      <c r="H190" s="21" t="s">
        <v>105</v>
      </c>
      <c r="I190" s="21" t="s">
        <v>73</v>
      </c>
      <c r="J190" s="21" t="s">
        <v>97</v>
      </c>
      <c r="K190" s="21" t="s">
        <v>99</v>
      </c>
      <c r="L190" s="16" t="s">
        <v>76</v>
      </c>
      <c r="M190" s="21" t="s">
        <v>85</v>
      </c>
      <c r="N190" s="16" t="s">
        <v>95</v>
      </c>
      <c r="O190" s="16" t="s">
        <v>92</v>
      </c>
      <c r="P190" s="16" t="s">
        <v>80</v>
      </c>
      <c r="Q190" s="21" t="s">
        <v>81</v>
      </c>
      <c r="S190" s="22">
        <v>680.177538871765</v>
      </c>
      <c r="T190" s="22">
        <v>392.191547393798</v>
      </c>
      <c r="U190" s="22">
        <v>3.11930155309056</v>
      </c>
      <c r="V190" s="22">
        <v>14.9968528334883</v>
      </c>
      <c r="W190" s="22">
        <v>3.87257702744417</v>
      </c>
      <c r="X190" s="22">
        <v>0.546647417009265</v>
      </c>
      <c r="Y190" s="22">
        <v>0.0993600260587858</v>
      </c>
      <c r="Z190" s="22">
        <v>0.0144503202845728</v>
      </c>
      <c r="AA190" s="22">
        <v>0.120209485002527</v>
      </c>
      <c r="AB190" s="22">
        <v>0.659256125405034</v>
      </c>
      <c r="AC190" s="22">
        <v>0.100170316871666</v>
      </c>
      <c r="AD190" s="22">
        <v>0.120833762651172</v>
      </c>
      <c r="AE190" s="22">
        <v>0.661121735879248</v>
      </c>
      <c r="AF190" s="22">
        <v>0.118160330590326</v>
      </c>
      <c r="AG190" s="22">
        <v>0.146851978740864</v>
      </c>
      <c r="AH190" s="22">
        <v>0.504094808437662</v>
      </c>
      <c r="AI190" s="22">
        <v>10.0</v>
      </c>
      <c r="AJ190" s="22">
        <v>3.11930155309055</v>
      </c>
      <c r="AK190" s="22">
        <v>14.9968528334883</v>
      </c>
      <c r="AL190" s="22">
        <v>3.87257702744417</v>
      </c>
      <c r="AM190" s="22">
        <v>0.546514790785429</v>
      </c>
      <c r="AN190" s="22">
        <v>2.77137876678279</v>
      </c>
      <c r="AO190" s="22">
        <v>11.1760998639193</v>
      </c>
      <c r="AP190" s="22">
        <v>3.34306743334909</v>
      </c>
      <c r="AQ190" s="22">
        <v>0.661121735879248</v>
      </c>
      <c r="AR190" s="22">
        <v>3.26910247966582</v>
      </c>
      <c r="AS190" s="22">
        <v>16.5071949682754</v>
      </c>
      <c r="AT190" s="22">
        <v>4.06290474516391</v>
      </c>
      <c r="AU190" s="22">
        <v>0.504094808437662</v>
      </c>
      <c r="AV190" s="23">
        <f t="shared" ref="AV190:AW190" si="383">(AC190-AC$289)/AC$290</f>
        <v>0.06140616149</v>
      </c>
      <c r="AW190" s="24">
        <f t="shared" si="383"/>
        <v>0.0170281289</v>
      </c>
      <c r="AX190" s="24">
        <f t="shared" si="5"/>
        <v>0.1141644536</v>
      </c>
      <c r="AY190" s="25">
        <f t="shared" si="6"/>
        <v>0.05145571601</v>
      </c>
      <c r="AZ190" s="23">
        <f t="shared" si="7"/>
        <v>0.1835090683</v>
      </c>
      <c r="BA190" s="25">
        <f t="shared" si="8"/>
        <v>0.1250259043</v>
      </c>
      <c r="BB190" s="23">
        <f t="shared" si="9"/>
        <v>-0.02307081603</v>
      </c>
      <c r="BC190" s="24">
        <f t="shared" si="10"/>
        <v>-0.013557541</v>
      </c>
      <c r="BD190" s="25">
        <f t="shared" si="11"/>
        <v>0.05821358651</v>
      </c>
      <c r="BE190" s="26">
        <f t="shared" ref="BE190:BF190" si="384">((S190-S$289)/S$290)</f>
        <v>0.2344757749</v>
      </c>
      <c r="BF190" s="26">
        <f t="shared" si="384"/>
        <v>1.069604762</v>
      </c>
    </row>
    <row r="191">
      <c r="A191" s="16" t="s">
        <v>82</v>
      </c>
      <c r="B191" s="20">
        <f t="shared" si="3"/>
        <v>-0.1710291695</v>
      </c>
      <c r="C191" s="16" t="s">
        <v>68</v>
      </c>
      <c r="D191" s="16" t="s">
        <v>69</v>
      </c>
      <c r="E191" s="16">
        <v>212.0</v>
      </c>
      <c r="F191" s="21" t="s">
        <v>102</v>
      </c>
      <c r="G191" s="16" t="s">
        <v>71</v>
      </c>
      <c r="H191" s="21" t="s">
        <v>103</v>
      </c>
      <c r="I191" s="21" t="s">
        <v>73</v>
      </c>
      <c r="J191" s="21" t="s">
        <v>83</v>
      </c>
      <c r="K191" s="21" t="s">
        <v>99</v>
      </c>
      <c r="L191" s="16" t="s">
        <v>84</v>
      </c>
      <c r="M191" s="21" t="s">
        <v>85</v>
      </c>
      <c r="N191" s="16" t="s">
        <v>95</v>
      </c>
      <c r="O191" s="16" t="s">
        <v>92</v>
      </c>
      <c r="P191" s="16" t="s">
        <v>80</v>
      </c>
      <c r="Q191" s="21" t="s">
        <v>87</v>
      </c>
      <c r="S191" s="22">
        <v>1149.58075332641</v>
      </c>
      <c r="T191" s="22">
        <v>419.912815332412</v>
      </c>
      <c r="U191" s="22">
        <v>3.0134410075997</v>
      </c>
      <c r="V191" s="22">
        <v>13.8820662931456</v>
      </c>
      <c r="W191" s="22">
        <v>3.72586450278933</v>
      </c>
      <c r="X191" s="22">
        <v>0.581292648584512</v>
      </c>
      <c r="Y191" s="22">
        <v>0.0938429380566962</v>
      </c>
      <c r="Z191" s="22">
        <v>0.0126386877204268</v>
      </c>
      <c r="AA191" s="22">
        <v>0.112421918327463</v>
      </c>
      <c r="AB191" s="22">
        <v>0.705832076794016</v>
      </c>
      <c r="AC191" s="22">
        <v>0.0942599289017491</v>
      </c>
      <c r="AD191" s="22">
        <v>0.112736623990927</v>
      </c>
      <c r="AE191" s="22">
        <v>0.706426196780081</v>
      </c>
      <c r="AF191" s="22">
        <v>0.119120062486724</v>
      </c>
      <c r="AG191" s="22">
        <v>0.148889192100066</v>
      </c>
      <c r="AH191" s="22">
        <v>0.489500608724609</v>
      </c>
      <c r="AI191" s="22">
        <v>10.0</v>
      </c>
      <c r="AJ191" s="22">
        <v>3.01344100759969</v>
      </c>
      <c r="AK191" s="22">
        <v>13.8820662931456</v>
      </c>
      <c r="AL191" s="22">
        <v>3.72586450278933</v>
      </c>
      <c r="AM191" s="22">
        <v>0.581245124672293</v>
      </c>
      <c r="AN191" s="22">
        <v>2.60785803294838</v>
      </c>
      <c r="AO191" s="22">
        <v>9.72845167477076</v>
      </c>
      <c r="AP191" s="22">
        <v>3.11904659708231</v>
      </c>
      <c r="AQ191" s="22">
        <v>0.706426196780081</v>
      </c>
      <c r="AR191" s="22">
        <v>3.29565506213284</v>
      </c>
      <c r="AS191" s="22">
        <v>16.9683659566984</v>
      </c>
      <c r="AT191" s="22">
        <v>4.11926764810183</v>
      </c>
      <c r="AU191" s="22">
        <v>0.489500608724609</v>
      </c>
      <c r="AV191" s="23">
        <f t="shared" ref="AV191:AW191" si="385">(AC191-AC$289)/AC$290</f>
        <v>-0.1693999442</v>
      </c>
      <c r="AW191" s="24">
        <f t="shared" si="385"/>
        <v>-0.2440643495</v>
      </c>
      <c r="AX191" s="24">
        <f t="shared" si="5"/>
        <v>0.1595485531</v>
      </c>
      <c r="AY191" s="25">
        <f t="shared" si="6"/>
        <v>0.1335570123</v>
      </c>
      <c r="AZ191" s="23">
        <f t="shared" si="7"/>
        <v>-0.01182926321</v>
      </c>
      <c r="BA191" s="25">
        <f t="shared" si="8"/>
        <v>-0.09827727209</v>
      </c>
      <c r="BB191" s="23">
        <f t="shared" si="9"/>
        <v>-0.2251031178</v>
      </c>
      <c r="BC191" s="24">
        <f t="shared" si="10"/>
        <v>0.06018335626</v>
      </c>
      <c r="BD191" s="25">
        <f t="shared" si="11"/>
        <v>-0.1477810909</v>
      </c>
      <c r="BE191" s="26">
        <f t="shared" ref="BE191:BF191" si="386">((S191-S$289)/S$290)</f>
        <v>1.13570495</v>
      </c>
      <c r="BF191" s="26">
        <f t="shared" si="386"/>
        <v>1.288782031</v>
      </c>
    </row>
    <row r="192">
      <c r="A192" s="16" t="s">
        <v>67</v>
      </c>
      <c r="B192" s="20">
        <f t="shared" si="3"/>
        <v>-0.2084449073</v>
      </c>
      <c r="C192" s="16" t="s">
        <v>68</v>
      </c>
      <c r="D192" s="16" t="s">
        <v>69</v>
      </c>
      <c r="E192" s="16">
        <v>145.0</v>
      </c>
      <c r="F192" s="21" t="s">
        <v>102</v>
      </c>
      <c r="G192" s="16" t="s">
        <v>71</v>
      </c>
      <c r="H192" s="21" t="s">
        <v>103</v>
      </c>
      <c r="I192" s="21" t="s">
        <v>73</v>
      </c>
      <c r="J192" s="21" t="s">
        <v>83</v>
      </c>
      <c r="K192" s="21" t="s">
        <v>75</v>
      </c>
      <c r="L192" s="16" t="s">
        <v>90</v>
      </c>
      <c r="M192" s="21" t="s">
        <v>77</v>
      </c>
      <c r="N192" s="16" t="s">
        <v>91</v>
      </c>
      <c r="O192" s="16" t="s">
        <v>92</v>
      </c>
      <c r="P192" s="16" t="s">
        <v>80</v>
      </c>
      <c r="Q192" s="21" t="s">
        <v>94</v>
      </c>
      <c r="R192" s="21" t="s">
        <v>104</v>
      </c>
      <c r="S192" s="22">
        <v>210.038443088531</v>
      </c>
      <c r="T192" s="22">
        <v>335.450277090072</v>
      </c>
      <c r="U192" s="22">
        <v>3.05642561070871</v>
      </c>
      <c r="V192" s="22">
        <v>13.877758329527</v>
      </c>
      <c r="W192" s="22">
        <v>3.72528634195104</v>
      </c>
      <c r="X192" s="22">
        <v>0.581399526052404</v>
      </c>
      <c r="Y192" s="22">
        <v>0.119306456013463</v>
      </c>
      <c r="Z192" s="22">
        <v>0.0200260966476377</v>
      </c>
      <c r="AA192" s="22">
        <v>0.141513591741704</v>
      </c>
      <c r="AB192" s="22">
        <v>0.53388869231758</v>
      </c>
      <c r="AC192" s="22">
        <v>0.119810619003776</v>
      </c>
      <c r="AD192" s="22">
        <v>0.141891979631171</v>
      </c>
      <c r="AE192" s="22">
        <v>0.534946471032539</v>
      </c>
      <c r="AF192" s="22">
        <v>0.121140545570177</v>
      </c>
      <c r="AG192" s="22">
        <v>0.148988403366644</v>
      </c>
      <c r="AH192" s="22">
        <v>0.488820046694353</v>
      </c>
      <c r="AI192" s="22">
        <v>10.0</v>
      </c>
      <c r="AJ192" s="22">
        <v>3.05642561070871</v>
      </c>
      <c r="AK192" s="22">
        <v>13.877758329527</v>
      </c>
      <c r="AL192" s="22">
        <v>3.72528634195104</v>
      </c>
      <c r="AM192" s="22">
        <v>0.581375075122746</v>
      </c>
      <c r="AN192" s="22">
        <v>3.31476045910462</v>
      </c>
      <c r="AO192" s="22">
        <v>15.4109485693871</v>
      </c>
      <c r="AP192" s="22">
        <v>3.92567810312908</v>
      </c>
      <c r="AQ192" s="22">
        <v>0.534946471032539</v>
      </c>
      <c r="AR192" s="22">
        <v>3.35155509410837</v>
      </c>
      <c r="AS192" s="22">
        <v>16.9909869936339</v>
      </c>
      <c r="AT192" s="22">
        <v>4.12201249314384</v>
      </c>
      <c r="AU192" s="22">
        <v>0.488820046694353</v>
      </c>
      <c r="AV192" s="23">
        <f t="shared" ref="AV192:AW192" si="387">(AC192-AC$289)/AC$290</f>
        <v>0.8283780884</v>
      </c>
      <c r="AW192" s="24">
        <f t="shared" si="387"/>
        <v>0.6960509656</v>
      </c>
      <c r="AX192" s="24">
        <f t="shared" si="5"/>
        <v>0.2550937837</v>
      </c>
      <c r="AY192" s="25">
        <f t="shared" si="6"/>
        <v>0.1375553041</v>
      </c>
      <c r="AZ192" s="23">
        <f t="shared" si="7"/>
        <v>0.06748773458</v>
      </c>
      <c r="BA192" s="25">
        <f t="shared" si="8"/>
        <v>-0.09915725934</v>
      </c>
      <c r="BB192" s="23">
        <f t="shared" si="9"/>
        <v>0.539599585</v>
      </c>
      <c r="BC192" s="24">
        <f t="shared" si="10"/>
        <v>0.06362206861</v>
      </c>
      <c r="BD192" s="25">
        <f t="shared" si="11"/>
        <v>-0.1485518609</v>
      </c>
      <c r="BE192" s="26">
        <f t="shared" ref="BE192:BF192" si="388">((S192-S$289)/S$290)</f>
        <v>-0.6681662528</v>
      </c>
      <c r="BF192" s="26">
        <f t="shared" si="388"/>
        <v>0.6209818238</v>
      </c>
    </row>
    <row r="193">
      <c r="A193" s="16" t="s">
        <v>67</v>
      </c>
      <c r="B193" s="20">
        <f t="shared" si="3"/>
        <v>-0.2108432586</v>
      </c>
      <c r="C193" s="16" t="s">
        <v>68</v>
      </c>
      <c r="D193" s="16" t="s">
        <v>69</v>
      </c>
      <c r="E193" s="16">
        <v>87.0</v>
      </c>
      <c r="F193" s="21" t="s">
        <v>70</v>
      </c>
      <c r="G193" s="16" t="s">
        <v>100</v>
      </c>
      <c r="H193" s="21" t="s">
        <v>101</v>
      </c>
      <c r="I193" s="21" t="s">
        <v>73</v>
      </c>
      <c r="J193" s="21" t="s">
        <v>83</v>
      </c>
      <c r="K193" s="21" t="s">
        <v>99</v>
      </c>
      <c r="L193" s="16" t="s">
        <v>76</v>
      </c>
      <c r="M193" s="21" t="s">
        <v>85</v>
      </c>
      <c r="N193" s="16" t="s">
        <v>91</v>
      </c>
      <c r="O193" s="16" t="s">
        <v>92</v>
      </c>
      <c r="P193" s="16" t="s">
        <v>80</v>
      </c>
      <c r="Q193" s="21" t="s">
        <v>94</v>
      </c>
      <c r="S193" s="22">
        <v>333.442067623138</v>
      </c>
      <c r="T193" s="22">
        <v>128.501722812652</v>
      </c>
      <c r="U193" s="22">
        <v>3.24468038176011</v>
      </c>
      <c r="V193" s="22">
        <v>17.4833480168537</v>
      </c>
      <c r="W193" s="22">
        <v>4.18130936631741</v>
      </c>
      <c r="X193" s="22">
        <v>0.482860383404719</v>
      </c>
      <c r="Y193" s="22">
        <v>0.110893117653865</v>
      </c>
      <c r="Z193" s="22">
        <v>0.018976364621565</v>
      </c>
      <c r="AA193" s="22">
        <v>0.137754726312983</v>
      </c>
      <c r="AB193" s="22">
        <v>0.589017867089765</v>
      </c>
      <c r="AC193" s="22">
        <v>0.111937229831558</v>
      </c>
      <c r="AD193" s="22">
        <v>0.138555690162993</v>
      </c>
      <c r="AE193" s="22">
        <v>0.591098620610124</v>
      </c>
      <c r="AF193" s="22">
        <v>0.124244781524126</v>
      </c>
      <c r="AG193" s="22">
        <v>0.161812995423566</v>
      </c>
      <c r="AH193" s="22">
        <v>0.446924581705543</v>
      </c>
      <c r="AI193" s="22">
        <v>10.0</v>
      </c>
      <c r="AJ193" s="22">
        <v>3.24468038176011</v>
      </c>
      <c r="AK193" s="22">
        <v>17.4833480168537</v>
      </c>
      <c r="AL193" s="22">
        <v>4.18130936631741</v>
      </c>
      <c r="AM193" s="22">
        <v>0.482732354809958</v>
      </c>
      <c r="AN193" s="22">
        <v>2.99432089799418</v>
      </c>
      <c r="AO193" s="22">
        <v>13.7371393773215</v>
      </c>
      <c r="AP193" s="22">
        <v>3.70636471186005</v>
      </c>
      <c r="AQ193" s="22">
        <v>0.591098620610123</v>
      </c>
      <c r="AR193" s="22">
        <v>3.32354790577038</v>
      </c>
      <c r="AS193" s="22">
        <v>18.7358917119692</v>
      </c>
      <c r="AT193" s="22">
        <v>4.32849762758041</v>
      </c>
      <c r="AU193" s="22">
        <v>0.446924581705543</v>
      </c>
      <c r="AV193" s="23">
        <f t="shared" ref="AV193:AW193" si="389">(AC193-AC$289)/AC$290</f>
        <v>0.5209149738</v>
      </c>
      <c r="AW193" s="24">
        <f t="shared" si="389"/>
        <v>0.5884722118</v>
      </c>
      <c r="AX193" s="24">
        <f t="shared" si="5"/>
        <v>0.2072234485</v>
      </c>
      <c r="AY193" s="25">
        <f t="shared" si="6"/>
        <v>0.438332878</v>
      </c>
      <c r="AZ193" s="23">
        <f t="shared" si="7"/>
        <v>0.414863357</v>
      </c>
      <c r="BA193" s="25">
        <f t="shared" si="8"/>
        <v>0.5949306522</v>
      </c>
      <c r="BB193" s="23">
        <f t="shared" si="9"/>
        <v>0.2891927199</v>
      </c>
      <c r="BC193" s="24">
        <f t="shared" si="10"/>
        <v>0.2753095362</v>
      </c>
      <c r="BD193" s="25">
        <f t="shared" si="11"/>
        <v>0.436523866</v>
      </c>
      <c r="BE193" s="26">
        <f t="shared" ref="BE193:BF193" si="390">((S193-S$289)/S$290)</f>
        <v>-0.4312378653</v>
      </c>
      <c r="BF193" s="26">
        <f t="shared" si="390"/>
        <v>-1.015249933</v>
      </c>
    </row>
    <row r="194">
      <c r="A194" s="16" t="s">
        <v>67</v>
      </c>
      <c r="B194" s="20">
        <f t="shared" si="3"/>
        <v>-0.22741477</v>
      </c>
      <c r="C194" s="16" t="s">
        <v>68</v>
      </c>
      <c r="D194" s="16" t="s">
        <v>69</v>
      </c>
      <c r="E194" s="16">
        <v>99.0</v>
      </c>
      <c r="F194" s="21" t="s">
        <v>70</v>
      </c>
      <c r="G194" s="16" t="s">
        <v>100</v>
      </c>
      <c r="H194" s="21" t="s">
        <v>101</v>
      </c>
      <c r="I194" s="21" t="s">
        <v>73</v>
      </c>
      <c r="J194" s="21" t="s">
        <v>74</v>
      </c>
      <c r="K194" s="21" t="s">
        <v>99</v>
      </c>
      <c r="L194" s="16" t="s">
        <v>90</v>
      </c>
      <c r="M194" s="21" t="s">
        <v>77</v>
      </c>
      <c r="N194" s="16" t="s">
        <v>78</v>
      </c>
      <c r="O194" s="16" t="s">
        <v>92</v>
      </c>
      <c r="P194" s="16" t="s">
        <v>80</v>
      </c>
      <c r="Q194" s="21" t="s">
        <v>93</v>
      </c>
      <c r="R194" s="21" t="s">
        <v>93</v>
      </c>
      <c r="S194" s="22">
        <v>289.576880455017</v>
      </c>
      <c r="T194" s="22">
        <v>131.462511062622</v>
      </c>
      <c r="U194" s="22">
        <v>3.33857953018465</v>
      </c>
      <c r="V194" s="22">
        <v>17.1066764584254</v>
      </c>
      <c r="W194" s="22">
        <v>4.13602181551614</v>
      </c>
      <c r="X194" s="22">
        <v>0.494021922673123</v>
      </c>
      <c r="Y194" s="22">
        <v>0.10950133448859</v>
      </c>
      <c r="Z194" s="22">
        <v>0.0176379469422144</v>
      </c>
      <c r="AA194" s="22">
        <v>0.132807932527445</v>
      </c>
      <c r="AB194" s="22">
        <v>0.618004754913327</v>
      </c>
      <c r="AC194" s="22">
        <v>0.110333982843891</v>
      </c>
      <c r="AD194" s="22">
        <v>0.133401055782678</v>
      </c>
      <c r="AE194" s="22">
        <v>0.620957090326264</v>
      </c>
      <c r="AF194" s="22">
        <v>0.132538907997712</v>
      </c>
      <c r="AG194" s="22">
        <v>0.164355918249011</v>
      </c>
      <c r="AH194" s="22">
        <v>0.42940461369754</v>
      </c>
      <c r="AI194" s="22">
        <v>10.0</v>
      </c>
      <c r="AJ194" s="22">
        <v>3.33857953018466</v>
      </c>
      <c r="AK194" s="22">
        <v>17.1066764584254</v>
      </c>
      <c r="AL194" s="22">
        <v>4.13602181551614</v>
      </c>
      <c r="AM194" s="22">
        <v>0.493876673955835</v>
      </c>
      <c r="AN194" s="22">
        <v>2.9514340410741</v>
      </c>
      <c r="AO194" s="22">
        <v>12.7340369649594</v>
      </c>
      <c r="AP194" s="22">
        <v>3.56847824218663</v>
      </c>
      <c r="AQ194" s="22">
        <v>0.620957090326264</v>
      </c>
      <c r="AR194" s="22">
        <v>3.54541578893881</v>
      </c>
      <c r="AS194" s="22">
        <v>19.3293952605582</v>
      </c>
      <c r="AT194" s="22">
        <v>4.39652081316104</v>
      </c>
      <c r="AU194" s="22">
        <v>0.429404613697539</v>
      </c>
      <c r="AV194" s="23">
        <f t="shared" ref="AV194:AW194" si="391">(AC194-AC$289)/AC$290</f>
        <v>0.4583066991</v>
      </c>
      <c r="AW194" s="24">
        <f t="shared" si="391"/>
        <v>0.422260872</v>
      </c>
      <c r="AX194" s="24">
        <f t="shared" si="5"/>
        <v>0.5864435906</v>
      </c>
      <c r="AY194" s="25">
        <f t="shared" si="6"/>
        <v>0.5374191816</v>
      </c>
      <c r="AZ194" s="23">
        <f t="shared" si="7"/>
        <v>0.5881300155</v>
      </c>
      <c r="BA194" s="25">
        <f t="shared" si="8"/>
        <v>0.5260009274</v>
      </c>
      <c r="BB194" s="23">
        <f t="shared" si="9"/>
        <v>0.1560408129</v>
      </c>
      <c r="BC194" s="24">
        <f t="shared" si="10"/>
        <v>0.3638336202</v>
      </c>
      <c r="BD194" s="25">
        <f t="shared" si="11"/>
        <v>0.3704239997</v>
      </c>
      <c r="BE194" s="26">
        <f t="shared" ref="BE194:BF194" si="392">((S194-S$289)/S$290)</f>
        <v>-0.5154566887</v>
      </c>
      <c r="BF194" s="26">
        <f t="shared" si="392"/>
        <v>-0.9918405609</v>
      </c>
    </row>
    <row r="195">
      <c r="A195" s="16" t="s">
        <v>82</v>
      </c>
      <c r="B195" s="20">
        <f t="shared" si="3"/>
        <v>-0.2461896093</v>
      </c>
      <c r="C195" s="16" t="s">
        <v>68</v>
      </c>
      <c r="D195" s="16" t="s">
        <v>69</v>
      </c>
      <c r="E195" s="16">
        <v>255.0</v>
      </c>
      <c r="F195" s="21" t="s">
        <v>102</v>
      </c>
      <c r="G195" s="16" t="s">
        <v>100</v>
      </c>
      <c r="H195" s="21" t="s">
        <v>105</v>
      </c>
      <c r="I195" s="21" t="s">
        <v>88</v>
      </c>
      <c r="J195" s="21" t="s">
        <v>97</v>
      </c>
      <c r="K195" s="21" t="s">
        <v>75</v>
      </c>
      <c r="L195" s="16" t="s">
        <v>90</v>
      </c>
      <c r="M195" s="21" t="s">
        <v>77</v>
      </c>
      <c r="N195" s="16" t="s">
        <v>78</v>
      </c>
      <c r="O195" s="16" t="s">
        <v>86</v>
      </c>
      <c r="P195" s="16" t="s">
        <v>80</v>
      </c>
      <c r="Q195" s="21" t="s">
        <v>93</v>
      </c>
      <c r="R195" s="21" t="s">
        <v>93</v>
      </c>
      <c r="S195" s="22">
        <v>325.724535703659</v>
      </c>
      <c r="T195" s="22">
        <v>435.785903215408</v>
      </c>
      <c r="U195" s="22">
        <v>3.09027336229039</v>
      </c>
      <c r="V195" s="22">
        <v>15.4325180078951</v>
      </c>
      <c r="W195" s="22">
        <v>3.92842436708347</v>
      </c>
      <c r="X195" s="22">
        <v>0.533356300185557</v>
      </c>
      <c r="Y195" s="22">
        <v>0.118012972961061</v>
      </c>
      <c r="Z195" s="22">
        <v>0.0212653686695629</v>
      </c>
      <c r="AA195" s="22">
        <v>0.145826501945163</v>
      </c>
      <c r="AB195" s="22">
        <v>0.495789262906518</v>
      </c>
      <c r="AC195" s="22">
        <v>0.119267745883887</v>
      </c>
      <c r="AD195" s="22">
        <v>0.146900072720795</v>
      </c>
      <c r="AE195" s="22">
        <v>0.496694537023128</v>
      </c>
      <c r="AF195" s="22">
        <v>0.107552475258089</v>
      </c>
      <c r="AG195" s="22">
        <v>0.136419669086614</v>
      </c>
      <c r="AH195" s="22">
        <v>0.571744789855599</v>
      </c>
      <c r="AI195" s="22">
        <v>10.0</v>
      </c>
      <c r="AJ195" s="22">
        <v>3.09027336229039</v>
      </c>
      <c r="AK195" s="22">
        <v>15.4325180078951</v>
      </c>
      <c r="AL195" s="22">
        <v>3.92842436708347</v>
      </c>
      <c r="AM195" s="22">
        <v>0.533264853119532</v>
      </c>
      <c r="AN195" s="22">
        <v>3.29974096945435</v>
      </c>
      <c r="AO195" s="22">
        <v>16.5180089417852</v>
      </c>
      <c r="AP195" s="22">
        <v>4.06423534527533</v>
      </c>
      <c r="AQ195" s="22">
        <v>0.496694537023128</v>
      </c>
      <c r="AR195" s="22">
        <v>2.97561848214048</v>
      </c>
      <c r="AS195" s="22">
        <v>14.245170733032</v>
      </c>
      <c r="AT195" s="22">
        <v>3.77427751139633</v>
      </c>
      <c r="AU195" s="22">
        <v>0.571744789855599</v>
      </c>
      <c r="AV195" s="23">
        <f t="shared" ref="AV195:AW195" si="393">(AC195-AC$289)/AC$290</f>
        <v>0.807178392</v>
      </c>
      <c r="AW195" s="24">
        <f t="shared" si="393"/>
        <v>0.8575370771</v>
      </c>
      <c r="AX195" s="24">
        <f t="shared" si="5"/>
        <v>-0.387463099</v>
      </c>
      <c r="AY195" s="25">
        <f t="shared" si="6"/>
        <v>-0.3689745457</v>
      </c>
      <c r="AZ195" s="23">
        <f t="shared" si="7"/>
        <v>0.1299450296</v>
      </c>
      <c r="BA195" s="25">
        <f t="shared" si="8"/>
        <v>0.2100281109</v>
      </c>
      <c r="BB195" s="23">
        <f t="shared" si="9"/>
        <v>0.710181601</v>
      </c>
      <c r="BC195" s="24">
        <f t="shared" si="10"/>
        <v>-0.355376238</v>
      </c>
      <c r="BD195" s="25">
        <f t="shared" si="11"/>
        <v>0.136802426</v>
      </c>
      <c r="BE195" s="26">
        <f t="shared" ref="BE195:BF195" si="394">((S195-S$289)/S$290)</f>
        <v>-0.4460551156</v>
      </c>
      <c r="BF195" s="26">
        <f t="shared" si="394"/>
        <v>1.414282064</v>
      </c>
    </row>
    <row r="196">
      <c r="A196" s="16" t="s">
        <v>82</v>
      </c>
      <c r="B196" s="20">
        <f t="shared" si="3"/>
        <v>-0.2517910758</v>
      </c>
      <c r="C196" s="16" t="s">
        <v>68</v>
      </c>
      <c r="D196" s="16" t="s">
        <v>69</v>
      </c>
      <c r="E196" s="16">
        <v>141.0</v>
      </c>
      <c r="F196" s="21" t="s">
        <v>70</v>
      </c>
      <c r="G196" s="16" t="s">
        <v>100</v>
      </c>
      <c r="H196" s="21" t="s">
        <v>101</v>
      </c>
      <c r="I196" s="21" t="s">
        <v>88</v>
      </c>
      <c r="J196" s="21" t="s">
        <v>74</v>
      </c>
      <c r="K196" s="21" t="s">
        <v>99</v>
      </c>
      <c r="L196" s="16" t="s">
        <v>84</v>
      </c>
      <c r="M196" s="21" t="s">
        <v>77</v>
      </c>
      <c r="N196" s="16" t="s">
        <v>78</v>
      </c>
      <c r="O196" s="16" t="s">
        <v>79</v>
      </c>
      <c r="P196" s="16" t="s">
        <v>80</v>
      </c>
      <c r="Q196" s="21" t="s">
        <v>98</v>
      </c>
      <c r="R196" s="21" t="s">
        <v>98</v>
      </c>
      <c r="S196" s="22">
        <v>1033.27134037017</v>
      </c>
      <c r="T196" s="22">
        <v>142.859847307205</v>
      </c>
      <c r="U196" s="22">
        <v>3.24390177489622</v>
      </c>
      <c r="V196" s="22">
        <v>16.1636152581391</v>
      </c>
      <c r="W196" s="22">
        <v>4.0203998878394</v>
      </c>
      <c r="X196" s="22">
        <v>0.515591314799319</v>
      </c>
      <c r="Y196" s="22">
        <v>0.104977987301226</v>
      </c>
      <c r="Z196" s="22">
        <v>0.016293335015763</v>
      </c>
      <c r="AA196" s="22">
        <v>0.127645348586476</v>
      </c>
      <c r="AB196" s="22">
        <v>0.642667343116931</v>
      </c>
      <c r="AC196" s="22">
        <v>0.105848960272716</v>
      </c>
      <c r="AD196" s="22">
        <v>0.128294823359137</v>
      </c>
      <c r="AE196" s="22">
        <v>0.645540068944053</v>
      </c>
      <c r="AF196" s="22">
        <v>0.129932257012426</v>
      </c>
      <c r="AG196" s="22">
        <v>0.161043462870173</v>
      </c>
      <c r="AH196" s="22">
        <v>0.443897429749744</v>
      </c>
      <c r="AI196" s="22">
        <v>10.0</v>
      </c>
      <c r="AJ196" s="22">
        <v>3.24390177489623</v>
      </c>
      <c r="AK196" s="22">
        <v>16.1636152581391</v>
      </c>
      <c r="AL196" s="22">
        <v>4.0203998878394</v>
      </c>
      <c r="AM196" s="22">
        <v>0.515497790293573</v>
      </c>
      <c r="AN196" s="22">
        <v>2.83145968729516</v>
      </c>
      <c r="AO196" s="22">
        <v>11.7778451194945</v>
      </c>
      <c r="AP196" s="22">
        <v>3.43188652485692</v>
      </c>
      <c r="AQ196" s="22">
        <v>0.645540068944053</v>
      </c>
      <c r="AR196" s="22">
        <v>3.47568787508241</v>
      </c>
      <c r="AS196" s="22">
        <v>18.5581112430249</v>
      </c>
      <c r="AT196" s="22">
        <v>4.30791263177712</v>
      </c>
      <c r="AU196" s="22">
        <v>0.443897429749744</v>
      </c>
      <c r="AV196" s="23">
        <f t="shared" ref="AV196:AW196" si="395">(AC196-AC$289)/AC$290</f>
        <v>0.2831624279</v>
      </c>
      <c r="AW196" s="24">
        <f t="shared" si="395"/>
        <v>0.2576102547</v>
      </c>
      <c r="AX196" s="24">
        <f t="shared" si="5"/>
        <v>0.4672635226</v>
      </c>
      <c r="AY196" s="25">
        <f t="shared" si="6"/>
        <v>0.4083476439</v>
      </c>
      <c r="AZ196" s="23">
        <f t="shared" si="7"/>
        <v>0.4134266389</v>
      </c>
      <c r="BA196" s="25">
        <f t="shared" si="8"/>
        <v>0.3500190624</v>
      </c>
      <c r="BB196" s="23">
        <f t="shared" si="9"/>
        <v>0.04641461596</v>
      </c>
      <c r="BC196" s="24">
        <f t="shared" si="10"/>
        <v>0.2906049896</v>
      </c>
      <c r="BD196" s="25">
        <f t="shared" si="11"/>
        <v>0.2421835141</v>
      </c>
      <c r="BE196" s="26">
        <f t="shared" ref="BE196:BF196" si="396">((S196-S$289)/S$290)</f>
        <v>0.9123970705</v>
      </c>
      <c r="BF196" s="26">
        <f t="shared" si="396"/>
        <v>-0.9017279067</v>
      </c>
    </row>
    <row r="197">
      <c r="A197" s="16" t="s">
        <v>67</v>
      </c>
      <c r="B197" s="20">
        <f t="shared" si="3"/>
        <v>-0.2539175723</v>
      </c>
      <c r="C197" s="16" t="s">
        <v>68</v>
      </c>
      <c r="D197" s="16" t="s">
        <v>69</v>
      </c>
      <c r="E197" s="16">
        <v>158.0</v>
      </c>
      <c r="F197" s="21" t="s">
        <v>102</v>
      </c>
      <c r="G197" s="16" t="s">
        <v>71</v>
      </c>
      <c r="H197" s="21" t="s">
        <v>103</v>
      </c>
      <c r="I197" s="21" t="s">
        <v>73</v>
      </c>
      <c r="J197" s="21" t="s">
        <v>74</v>
      </c>
      <c r="K197" s="21" t="s">
        <v>75</v>
      </c>
      <c r="L197" s="16" t="s">
        <v>84</v>
      </c>
      <c r="M197" s="21" t="s">
        <v>77</v>
      </c>
      <c r="N197" s="16" t="s">
        <v>91</v>
      </c>
      <c r="O197" s="16" t="s">
        <v>86</v>
      </c>
      <c r="P197" s="16" t="s">
        <v>80</v>
      </c>
      <c r="Q197" s="21" t="s">
        <v>89</v>
      </c>
      <c r="R197" s="21" t="s">
        <v>94</v>
      </c>
      <c r="S197" s="22">
        <v>655.007526397705</v>
      </c>
      <c r="T197" s="22">
        <v>410.868080615997</v>
      </c>
      <c r="U197" s="22">
        <v>3.13014489174671</v>
      </c>
      <c r="V197" s="22">
        <v>14.7079047523855</v>
      </c>
      <c r="W197" s="22">
        <v>3.83508862379808</v>
      </c>
      <c r="X197" s="22">
        <v>0.55635450062218</v>
      </c>
      <c r="Y197" s="22">
        <v>0.109337546999968</v>
      </c>
      <c r="Z197" s="22">
        <v>0.0169226815919363</v>
      </c>
      <c r="AA197" s="22">
        <v>0.130087207641398</v>
      </c>
      <c r="AB197" s="22">
        <v>0.606121283388439</v>
      </c>
      <c r="AC197" s="22">
        <v>0.109670540565122</v>
      </c>
      <c r="AD197" s="22">
        <v>0.130274966478368</v>
      </c>
      <c r="AE197" s="22">
        <v>0.607979129519757</v>
      </c>
      <c r="AF197" s="22">
        <v>0.118012058970436</v>
      </c>
      <c r="AG197" s="22">
        <v>0.146875483953418</v>
      </c>
      <c r="AH197" s="22">
        <v>0.503216110879896</v>
      </c>
      <c r="AI197" s="22">
        <v>10.0</v>
      </c>
      <c r="AJ197" s="22">
        <v>3.13014489174672</v>
      </c>
      <c r="AK197" s="22">
        <v>14.7079047523855</v>
      </c>
      <c r="AL197" s="22">
        <v>3.83508862379808</v>
      </c>
      <c r="AM197" s="22">
        <v>0.556333568010833</v>
      </c>
      <c r="AN197" s="22">
        <v>3.03421828896847</v>
      </c>
      <c r="AO197" s="22">
        <v>12.9907915901872</v>
      </c>
      <c r="AP197" s="22">
        <v>3.60427407256819</v>
      </c>
      <c r="AQ197" s="22">
        <v>0.607979129519756</v>
      </c>
      <c r="AR197" s="22">
        <v>3.26500029818218</v>
      </c>
      <c r="AS197" s="22">
        <v>16.5124796935054</v>
      </c>
      <c r="AT197" s="22">
        <v>4.06355505604458</v>
      </c>
      <c r="AU197" s="22">
        <v>0.503216110879896</v>
      </c>
      <c r="AV197" s="23">
        <f t="shared" ref="AV197:AW197" si="397">(AC197-AC$289)/AC$290</f>
        <v>0.4323986657</v>
      </c>
      <c r="AW197" s="24">
        <f t="shared" si="397"/>
        <v>0.3214600288</v>
      </c>
      <c r="AX197" s="24">
        <f t="shared" si="5"/>
        <v>0.1071529392</v>
      </c>
      <c r="AY197" s="25">
        <f t="shared" si="6"/>
        <v>0.05240299451</v>
      </c>
      <c r="AZ197" s="23">
        <f t="shared" si="7"/>
        <v>0.2035176529</v>
      </c>
      <c r="BA197" s="25">
        <f t="shared" si="8"/>
        <v>0.06796683839</v>
      </c>
      <c r="BB197" s="23">
        <f t="shared" si="9"/>
        <v>0.2139151865</v>
      </c>
      <c r="BC197" s="24">
        <f t="shared" si="10"/>
        <v>-0.009117698621</v>
      </c>
      <c r="BD197" s="25">
        <f t="shared" si="11"/>
        <v>-0.00002414462001</v>
      </c>
      <c r="BE197" s="26">
        <f t="shared" ref="BE197:BF197" si="398">((S197-S$289)/S$290)</f>
        <v>0.1861506913</v>
      </c>
      <c r="BF197" s="26">
        <f t="shared" si="398"/>
        <v>1.217270141</v>
      </c>
    </row>
    <row r="198">
      <c r="A198" s="16" t="s">
        <v>82</v>
      </c>
      <c r="B198" s="20">
        <f t="shared" si="3"/>
        <v>-0.2547694285</v>
      </c>
      <c r="C198" s="16" t="s">
        <v>68</v>
      </c>
      <c r="D198" s="16" t="s">
        <v>69</v>
      </c>
      <c r="E198" s="16">
        <v>49.0</v>
      </c>
      <c r="F198" s="21" t="s">
        <v>70</v>
      </c>
      <c r="G198" s="16" t="s">
        <v>71</v>
      </c>
      <c r="H198" s="21" t="s">
        <v>72</v>
      </c>
      <c r="I198" s="21" t="s">
        <v>73</v>
      </c>
      <c r="J198" s="21" t="s">
        <v>83</v>
      </c>
      <c r="K198" s="21" t="s">
        <v>99</v>
      </c>
      <c r="L198" s="16" t="s">
        <v>76</v>
      </c>
      <c r="M198" s="21" t="s">
        <v>85</v>
      </c>
      <c r="N198" s="16" t="s">
        <v>91</v>
      </c>
      <c r="O198" s="16" t="s">
        <v>92</v>
      </c>
      <c r="P198" s="16" t="s">
        <v>80</v>
      </c>
      <c r="Q198" s="21" t="s">
        <v>81</v>
      </c>
      <c r="S198" s="22">
        <v>210.135826349258</v>
      </c>
      <c r="T198" s="22">
        <v>124.445644855499</v>
      </c>
      <c r="U198" s="22">
        <v>3.18800207406858</v>
      </c>
      <c r="V198" s="22">
        <v>17.5225679500895</v>
      </c>
      <c r="W198" s="22">
        <v>4.18599664955546</v>
      </c>
      <c r="X198" s="22">
        <v>0.483315594143325</v>
      </c>
      <c r="Y198" s="22">
        <v>0.11178345021983</v>
      </c>
      <c r="Z198" s="22">
        <v>0.0199348113367868</v>
      </c>
      <c r="AA198" s="22">
        <v>0.141190691395668</v>
      </c>
      <c r="AB198" s="22">
        <v>0.574199752934183</v>
      </c>
      <c r="AC198" s="22">
        <v>0.112304846460541</v>
      </c>
      <c r="AD198" s="22">
        <v>0.141512688011239</v>
      </c>
      <c r="AE198" s="22">
        <v>0.575657712294392</v>
      </c>
      <c r="AF198" s="22">
        <v>0.128530705745192</v>
      </c>
      <c r="AG198" s="22">
        <v>0.168444250209404</v>
      </c>
      <c r="AH198" s="22">
        <v>0.403538313231456</v>
      </c>
      <c r="AI198" s="22">
        <v>10.0</v>
      </c>
      <c r="AJ198" s="22">
        <v>3.18800207406859</v>
      </c>
      <c r="AK198" s="22">
        <v>17.5225679500895</v>
      </c>
      <c r="AL198" s="22">
        <v>4.18599664955546</v>
      </c>
      <c r="AM198" s="22">
        <v>0.483184522780089</v>
      </c>
      <c r="AN198" s="22">
        <v>3.00415464281947</v>
      </c>
      <c r="AO198" s="22">
        <v>14.3297407562272</v>
      </c>
      <c r="AP198" s="22">
        <v>3.78546440430064</v>
      </c>
      <c r="AQ198" s="22">
        <v>0.575657712294392</v>
      </c>
      <c r="AR198" s="22">
        <v>3.43819637868389</v>
      </c>
      <c r="AS198" s="22">
        <v>20.3029878557585</v>
      </c>
      <c r="AT198" s="22">
        <v>4.50588369310156</v>
      </c>
      <c r="AU198" s="22">
        <v>0.403538313231456</v>
      </c>
      <c r="AV198" s="23">
        <f t="shared" ref="AV198:AW198" si="399">(AC198-AC$289)/AC$290</f>
        <v>0.5352707425</v>
      </c>
      <c r="AW198" s="24">
        <f t="shared" si="399"/>
        <v>0.6838206959</v>
      </c>
      <c r="AX198" s="24">
        <f t="shared" si="5"/>
        <v>0.403182456</v>
      </c>
      <c r="AY198" s="25">
        <f t="shared" si="6"/>
        <v>0.6967231517</v>
      </c>
      <c r="AZ198" s="23">
        <f t="shared" si="7"/>
        <v>0.3102781595</v>
      </c>
      <c r="BA198" s="25">
        <f t="shared" si="8"/>
        <v>0.6020649118</v>
      </c>
      <c r="BB198" s="23">
        <f t="shared" si="9"/>
        <v>0.358050448</v>
      </c>
      <c r="BC198" s="24">
        <f t="shared" si="10"/>
        <v>0.4945296667</v>
      </c>
      <c r="BD198" s="25">
        <f t="shared" si="11"/>
        <v>0.4338419398</v>
      </c>
      <c r="BE198" s="26">
        <f t="shared" ref="BE198:BF198" si="400">((S198-S$289)/S$290)</f>
        <v>-0.6679792821</v>
      </c>
      <c r="BF198" s="26">
        <f t="shared" si="400"/>
        <v>-1.047319177</v>
      </c>
    </row>
    <row r="199">
      <c r="A199" s="16" t="s">
        <v>67</v>
      </c>
      <c r="B199" s="20">
        <f t="shared" si="3"/>
        <v>-0.2581804656</v>
      </c>
      <c r="C199" s="16" t="s">
        <v>68</v>
      </c>
      <c r="D199" s="16" t="s">
        <v>69</v>
      </c>
      <c r="E199" s="16">
        <v>17.0</v>
      </c>
      <c r="F199" s="21" t="s">
        <v>70</v>
      </c>
      <c r="G199" s="16" t="s">
        <v>71</v>
      </c>
      <c r="H199" s="21" t="s">
        <v>72</v>
      </c>
      <c r="I199" s="21" t="s">
        <v>88</v>
      </c>
      <c r="J199" s="21" t="s">
        <v>83</v>
      </c>
      <c r="K199" s="21" t="s">
        <v>99</v>
      </c>
      <c r="L199" s="16" t="s">
        <v>90</v>
      </c>
      <c r="M199" s="21" t="s">
        <v>77</v>
      </c>
      <c r="N199" s="16" t="s">
        <v>78</v>
      </c>
      <c r="O199" s="16" t="s">
        <v>79</v>
      </c>
      <c r="P199" s="16" t="s">
        <v>80</v>
      </c>
      <c r="Q199" s="21" t="s">
        <v>96</v>
      </c>
      <c r="R199" s="21" t="s">
        <v>104</v>
      </c>
      <c r="S199" s="22">
        <v>563.661160707473</v>
      </c>
      <c r="T199" s="22">
        <v>136.945527553558</v>
      </c>
      <c r="U199" s="22">
        <v>3.37257121601024</v>
      </c>
      <c r="V199" s="22">
        <v>17.2204109540737</v>
      </c>
      <c r="W199" s="22">
        <v>4.14974830008684</v>
      </c>
      <c r="X199" s="22">
        <v>0.486156151155355</v>
      </c>
      <c r="Y199" s="22">
        <v>0.110151733344797</v>
      </c>
      <c r="Z199" s="22">
        <v>0.0177645932829927</v>
      </c>
      <c r="AA199" s="22">
        <v>0.133283882307624</v>
      </c>
      <c r="AB199" s="22">
        <v>0.616248887174407</v>
      </c>
      <c r="AC199" s="22">
        <v>0.110681630490541</v>
      </c>
      <c r="AD199" s="22">
        <v>0.133680305914626</v>
      </c>
      <c r="AE199" s="22">
        <v>0.617343121848701</v>
      </c>
      <c r="AF199" s="22">
        <v>0.129492142434919</v>
      </c>
      <c r="AG199" s="22">
        <v>0.160520630489196</v>
      </c>
      <c r="AH199" s="22">
        <v>0.451320762844601</v>
      </c>
      <c r="AI199" s="22">
        <v>10.0</v>
      </c>
      <c r="AJ199" s="22">
        <v>3.37257121601025</v>
      </c>
      <c r="AK199" s="22">
        <v>17.2204109540736</v>
      </c>
      <c r="AL199" s="22">
        <v>4.14974830008684</v>
      </c>
      <c r="AM199" s="22">
        <v>0.486118471075396</v>
      </c>
      <c r="AN199" s="22">
        <v>2.96073361562197</v>
      </c>
      <c r="AO199" s="22">
        <v>12.7874054090475</v>
      </c>
      <c r="AP199" s="22">
        <v>3.57594818321624</v>
      </c>
      <c r="AQ199" s="22">
        <v>0.617343121848701</v>
      </c>
      <c r="AR199" s="22">
        <v>3.46391481013409</v>
      </c>
      <c r="AS199" s="22">
        <v>18.4378079270012</v>
      </c>
      <c r="AT199" s="22">
        <v>4.293926865586</v>
      </c>
      <c r="AU199" s="22">
        <v>0.451320762844601</v>
      </c>
      <c r="AV199" s="23">
        <f t="shared" ref="AV199:AW199" si="401">(AC199-AC$289)/AC$290</f>
        <v>0.4718826606</v>
      </c>
      <c r="AW199" s="24">
        <f t="shared" si="401"/>
        <v>0.4312653008</v>
      </c>
      <c r="AX199" s="24">
        <f t="shared" si="5"/>
        <v>0.4471408113</v>
      </c>
      <c r="AY199" s="25">
        <f t="shared" si="6"/>
        <v>0.3879752096</v>
      </c>
      <c r="AZ199" s="23">
        <f t="shared" si="7"/>
        <v>0.6508529041</v>
      </c>
      <c r="BA199" s="25">
        <f t="shared" si="8"/>
        <v>0.5468932651</v>
      </c>
      <c r="BB199" s="23">
        <f t="shared" si="9"/>
        <v>0.1721570707</v>
      </c>
      <c r="BC199" s="24">
        <f t="shared" si="10"/>
        <v>0.2530967155</v>
      </c>
      <c r="BD199" s="25">
        <f t="shared" si="11"/>
        <v>0.4164399265</v>
      </c>
      <c r="BE199" s="26">
        <f t="shared" ref="BE199:BF199" si="402">((S199-S$289)/S$290)</f>
        <v>0.01077053363</v>
      </c>
      <c r="BF199" s="26">
        <f t="shared" si="402"/>
        <v>-0.9484892761</v>
      </c>
    </row>
    <row r="200">
      <c r="A200" s="16" t="s">
        <v>67</v>
      </c>
      <c r="B200" s="20">
        <f t="shared" si="3"/>
        <v>-0.2614892457</v>
      </c>
      <c r="C200" s="16" t="s">
        <v>68</v>
      </c>
      <c r="D200" s="16" t="s">
        <v>69</v>
      </c>
      <c r="E200" s="16">
        <v>30.0</v>
      </c>
      <c r="F200" s="21" t="s">
        <v>70</v>
      </c>
      <c r="G200" s="16" t="s">
        <v>71</v>
      </c>
      <c r="H200" s="21" t="s">
        <v>72</v>
      </c>
      <c r="I200" s="21" t="s">
        <v>73</v>
      </c>
      <c r="J200" s="21" t="s">
        <v>74</v>
      </c>
      <c r="K200" s="21" t="s">
        <v>99</v>
      </c>
      <c r="L200" s="16" t="s">
        <v>90</v>
      </c>
      <c r="M200" s="21" t="s">
        <v>85</v>
      </c>
      <c r="N200" s="16" t="s">
        <v>91</v>
      </c>
      <c r="O200" s="16" t="s">
        <v>79</v>
      </c>
      <c r="P200" s="16" t="s">
        <v>80</v>
      </c>
      <c r="Q200" s="21" t="s">
        <v>94</v>
      </c>
      <c r="S200" s="22">
        <v>245.992111682891</v>
      </c>
      <c r="T200" s="22">
        <v>125.859360218048</v>
      </c>
      <c r="U200" s="22">
        <v>3.38151347556718</v>
      </c>
      <c r="V200" s="22">
        <v>17.7034867047317</v>
      </c>
      <c r="W200" s="22">
        <v>4.20755115295485</v>
      </c>
      <c r="X200" s="22">
        <v>0.477968512706367</v>
      </c>
      <c r="Y200" s="22">
        <v>0.112919060932099</v>
      </c>
      <c r="Z200" s="22">
        <v>0.0189588157817059</v>
      </c>
      <c r="AA200" s="22">
        <v>0.137691015617236</v>
      </c>
      <c r="AB200" s="22">
        <v>0.595046659457029</v>
      </c>
      <c r="AC200" s="22">
        <v>0.113409546070309</v>
      </c>
      <c r="AD200" s="22">
        <v>0.13802233955158</v>
      </c>
      <c r="AE200" s="22">
        <v>0.596332000928896</v>
      </c>
      <c r="AF200" s="22">
        <v>0.129684222910405</v>
      </c>
      <c r="AG200" s="22">
        <v>0.16415353739533</v>
      </c>
      <c r="AH200" s="22">
        <v>0.433538155654553</v>
      </c>
      <c r="AI200" s="22">
        <v>10.0</v>
      </c>
      <c r="AJ200" s="22">
        <v>3.38151347556718</v>
      </c>
      <c r="AK200" s="22">
        <v>17.7034867047317</v>
      </c>
      <c r="AL200" s="22">
        <v>4.20755115295485</v>
      </c>
      <c r="AM200" s="22">
        <v>0.477848454871278</v>
      </c>
      <c r="AN200" s="22">
        <v>3.03370535738078</v>
      </c>
      <c r="AO200" s="22">
        <v>13.6315845624297</v>
      </c>
      <c r="AP200" s="22">
        <v>3.69209758300478</v>
      </c>
      <c r="AQ200" s="22">
        <v>0.596332000928896</v>
      </c>
      <c r="AR200" s="22">
        <v>3.46905296285335</v>
      </c>
      <c r="AS200" s="22">
        <v>19.2818217860807</v>
      </c>
      <c r="AT200" s="22">
        <v>4.39110712532509</v>
      </c>
      <c r="AU200" s="22">
        <v>0.433538155654553</v>
      </c>
      <c r="AV200" s="23">
        <f t="shared" ref="AV200:AW200" si="403">(AC200-AC$289)/AC$290</f>
        <v>0.5784102819</v>
      </c>
      <c r="AW200" s="24">
        <f t="shared" si="403"/>
        <v>0.5712743054</v>
      </c>
      <c r="AX200" s="24">
        <f t="shared" si="5"/>
        <v>0.4559230243</v>
      </c>
      <c r="AY200" s="25">
        <f t="shared" si="6"/>
        <v>0.5295333069</v>
      </c>
      <c r="AZ200" s="23">
        <f t="shared" si="7"/>
        <v>0.6673535376</v>
      </c>
      <c r="BA200" s="25">
        <f t="shared" si="8"/>
        <v>0.6348718523</v>
      </c>
      <c r="BB200" s="23">
        <f t="shared" si="9"/>
        <v>0.2658548002</v>
      </c>
      <c r="BC200" s="24">
        <f t="shared" si="10"/>
        <v>0.3429478506</v>
      </c>
      <c r="BD200" s="25">
        <f t="shared" si="11"/>
        <v>0.4654915516</v>
      </c>
      <c r="BE200" s="26">
        <f t="shared" ref="BE200:BF200" si="404">((S200-S$289)/S$290)</f>
        <v>-0.5991371237</v>
      </c>
      <c r="BF200" s="26">
        <f t="shared" si="404"/>
        <v>-1.036141684</v>
      </c>
    </row>
    <row r="201">
      <c r="A201" s="16" t="s">
        <v>82</v>
      </c>
      <c r="B201" s="20">
        <f t="shared" si="3"/>
        <v>-0.2660146758</v>
      </c>
      <c r="C201" s="16" t="s">
        <v>68</v>
      </c>
      <c r="D201" s="16" t="s">
        <v>69</v>
      </c>
      <c r="E201" s="16">
        <v>126.0</v>
      </c>
      <c r="F201" s="21" t="s">
        <v>70</v>
      </c>
      <c r="G201" s="16" t="s">
        <v>100</v>
      </c>
      <c r="H201" s="21" t="s">
        <v>101</v>
      </c>
      <c r="I201" s="21" t="s">
        <v>73</v>
      </c>
      <c r="J201" s="21" t="s">
        <v>83</v>
      </c>
      <c r="K201" s="21" t="s">
        <v>99</v>
      </c>
      <c r="L201" s="16" t="s">
        <v>84</v>
      </c>
      <c r="M201" s="21" t="s">
        <v>77</v>
      </c>
      <c r="N201" s="16" t="s">
        <v>78</v>
      </c>
      <c r="O201" s="16" t="s">
        <v>86</v>
      </c>
      <c r="P201" s="16" t="s">
        <v>80</v>
      </c>
      <c r="Q201" s="21" t="s">
        <v>87</v>
      </c>
      <c r="R201" s="21" t="s">
        <v>98</v>
      </c>
      <c r="S201" s="22">
        <v>589.868916511535</v>
      </c>
      <c r="T201" s="22">
        <v>142.441571474075</v>
      </c>
      <c r="U201" s="22">
        <v>3.29828422896435</v>
      </c>
      <c r="V201" s="22">
        <v>17.2916196477727</v>
      </c>
      <c r="W201" s="22">
        <v>4.15831932970193</v>
      </c>
      <c r="X201" s="22">
        <v>0.48863167015288</v>
      </c>
      <c r="Y201" s="22">
        <v>0.104354755844987</v>
      </c>
      <c r="Z201" s="22">
        <v>0.0163383140334369</v>
      </c>
      <c r="AA201" s="22">
        <v>0.127821414612094</v>
      </c>
      <c r="AB201" s="22">
        <v>0.646151658469485</v>
      </c>
      <c r="AC201" s="22">
        <v>0.105075270191949</v>
      </c>
      <c r="AD201" s="22">
        <v>0.128274810850082</v>
      </c>
      <c r="AE201" s="22">
        <v>0.649528578909085</v>
      </c>
      <c r="AF201" s="22">
        <v>0.132788093540308</v>
      </c>
      <c r="AG201" s="22">
        <v>0.167794484750632</v>
      </c>
      <c r="AH201" s="22">
        <v>0.405279477532198</v>
      </c>
      <c r="AI201" s="22">
        <v>10.0</v>
      </c>
      <c r="AJ201" s="22">
        <v>3.29828422896436</v>
      </c>
      <c r="AK201" s="22">
        <v>17.2916196477727</v>
      </c>
      <c r="AL201" s="22">
        <v>4.15831932970193</v>
      </c>
      <c r="AM201" s="22">
        <v>0.488404888577235</v>
      </c>
      <c r="AN201" s="22">
        <v>2.81076347763465</v>
      </c>
      <c r="AO201" s="22">
        <v>11.7741709907595</v>
      </c>
      <c r="AP201" s="22">
        <v>3.43135119023971</v>
      </c>
      <c r="AQ201" s="22">
        <v>0.649528578909085</v>
      </c>
      <c r="AR201" s="22">
        <v>3.55208150220326</v>
      </c>
      <c r="AS201" s="22">
        <v>20.146654396978</v>
      </c>
      <c r="AT201" s="22">
        <v>4.48850246707942</v>
      </c>
      <c r="AU201" s="22">
        <v>0.405279477532198</v>
      </c>
      <c r="AV201" s="23">
        <f t="shared" ref="AV201:AW201" si="405">(AC201-AC$289)/AC$290</f>
        <v>0.2529491161</v>
      </c>
      <c r="AW201" s="24">
        <f t="shared" si="405"/>
        <v>0.2569649507</v>
      </c>
      <c r="AX201" s="24">
        <f t="shared" si="5"/>
        <v>0.5978367345</v>
      </c>
      <c r="AY201" s="25">
        <f t="shared" si="6"/>
        <v>0.6714047044</v>
      </c>
      <c r="AZ201" s="23">
        <f t="shared" si="7"/>
        <v>0.5137754307</v>
      </c>
      <c r="BA201" s="25">
        <f t="shared" si="8"/>
        <v>0.5599387644</v>
      </c>
      <c r="BB201" s="23">
        <f t="shared" si="9"/>
        <v>0.02862811474</v>
      </c>
      <c r="BC201" s="24">
        <f t="shared" si="10"/>
        <v>0.4857319923</v>
      </c>
      <c r="BD201" s="25">
        <f t="shared" si="11"/>
        <v>0.4028785873</v>
      </c>
      <c r="BE201" s="26">
        <f t="shared" ref="BE201:BF201" si="406">((S201-S$289)/S$290)</f>
        <v>0.06108802914</v>
      </c>
      <c r="BF201" s="26">
        <f t="shared" si="406"/>
        <v>-0.9050349904</v>
      </c>
    </row>
    <row r="202">
      <c r="A202" s="16" t="s">
        <v>82</v>
      </c>
      <c r="B202" s="20">
        <f t="shared" si="3"/>
        <v>-0.2708217626</v>
      </c>
      <c r="C202" s="16" t="s">
        <v>68</v>
      </c>
      <c r="D202" s="16" t="s">
        <v>69</v>
      </c>
      <c r="E202" s="16">
        <v>122.0</v>
      </c>
      <c r="F202" s="21" t="s">
        <v>70</v>
      </c>
      <c r="G202" s="16" t="s">
        <v>100</v>
      </c>
      <c r="H202" s="21" t="s">
        <v>101</v>
      </c>
      <c r="I202" s="21" t="s">
        <v>88</v>
      </c>
      <c r="J202" s="21" t="s">
        <v>83</v>
      </c>
      <c r="K202" s="21" t="s">
        <v>99</v>
      </c>
      <c r="L202" s="16" t="s">
        <v>76</v>
      </c>
      <c r="M202" s="21" t="s">
        <v>77</v>
      </c>
      <c r="N202" s="16" t="s">
        <v>95</v>
      </c>
      <c r="O202" s="16" t="s">
        <v>86</v>
      </c>
      <c r="P202" s="16" t="s">
        <v>80</v>
      </c>
      <c r="Q202" s="21" t="s">
        <v>104</v>
      </c>
      <c r="R202" s="21" t="s">
        <v>94</v>
      </c>
      <c r="S202" s="22">
        <v>550.926292181015</v>
      </c>
      <c r="T202" s="22">
        <v>135.914237499237</v>
      </c>
      <c r="U202" s="22">
        <v>3.24207345955959</v>
      </c>
      <c r="V202" s="22">
        <v>17.7321104293215</v>
      </c>
      <c r="W202" s="22">
        <v>4.21095124993409</v>
      </c>
      <c r="X202" s="22">
        <v>0.468541541267948</v>
      </c>
      <c r="Y202" s="22">
        <v>0.110463829180064</v>
      </c>
      <c r="Z202" s="22">
        <v>0.020342372010688</v>
      </c>
      <c r="AA202" s="22">
        <v>0.142626687582261</v>
      </c>
      <c r="AB202" s="22">
        <v>0.553867036377113</v>
      </c>
      <c r="AC202" s="22">
        <v>0.111622319280924</v>
      </c>
      <c r="AD202" s="22">
        <v>0.143469425744571</v>
      </c>
      <c r="AE202" s="22">
        <v>0.556730752600419</v>
      </c>
      <c r="AF202" s="22">
        <v>0.121775984873034</v>
      </c>
      <c r="AG202" s="22">
        <v>0.159509188607821</v>
      </c>
      <c r="AH202" s="22">
        <v>0.454443024416654</v>
      </c>
      <c r="AI202" s="22">
        <v>10.0</v>
      </c>
      <c r="AJ202" s="22">
        <v>3.24207345955959</v>
      </c>
      <c r="AK202" s="22">
        <v>17.7321104293215</v>
      </c>
      <c r="AL202" s="22">
        <v>4.21095124993409</v>
      </c>
      <c r="AM202" s="22">
        <v>0.468482356913403</v>
      </c>
      <c r="AN202" s="22">
        <v>2.98589704076472</v>
      </c>
      <c r="AO202" s="22">
        <v>14.7287636336055</v>
      </c>
      <c r="AP202" s="22">
        <v>3.83780713866728</v>
      </c>
      <c r="AQ202" s="22">
        <v>0.556730752600419</v>
      </c>
      <c r="AR202" s="22">
        <v>3.25750759535368</v>
      </c>
      <c r="AS202" s="22">
        <v>18.2061863834359</v>
      </c>
      <c r="AT202" s="22">
        <v>4.26687079525921</v>
      </c>
      <c r="AU202" s="22">
        <v>0.454443024416654</v>
      </c>
      <c r="AV202" s="23">
        <f t="shared" ref="AV202:AW202" si="407">(AC202-AC$289)/AC$290</f>
        <v>0.5086174261</v>
      </c>
      <c r="AW202" s="24">
        <f t="shared" si="407"/>
        <v>0.7469157627</v>
      </c>
      <c r="AX202" s="24">
        <f t="shared" si="5"/>
        <v>0.09434629147</v>
      </c>
      <c r="AY202" s="25">
        <f t="shared" si="6"/>
        <v>0.3485638534</v>
      </c>
      <c r="AZ202" s="23">
        <f t="shared" si="7"/>
        <v>0.4100529545</v>
      </c>
      <c r="BA202" s="25">
        <f t="shared" si="8"/>
        <v>0.6400469555</v>
      </c>
      <c r="BB202" s="23">
        <f t="shared" si="9"/>
        <v>0.4424539958</v>
      </c>
      <c r="BC202" s="24">
        <f t="shared" si="10"/>
        <v>0.2373206967</v>
      </c>
      <c r="BD202" s="25">
        <f t="shared" si="11"/>
        <v>0.5210443238</v>
      </c>
      <c r="BE202" s="26">
        <f t="shared" ref="BE202:BF202" si="408">((S202-S$289)/S$290)</f>
        <v>-0.01367973577</v>
      </c>
      <c r="BF202" s="26">
        <f t="shared" si="408"/>
        <v>-0.9566431361</v>
      </c>
    </row>
    <row r="203">
      <c r="A203" s="16" t="s">
        <v>67</v>
      </c>
      <c r="B203" s="20">
        <f t="shared" si="3"/>
        <v>-0.2846733379</v>
      </c>
      <c r="C203" s="16" t="s">
        <v>68</v>
      </c>
      <c r="D203" s="16" t="s">
        <v>69</v>
      </c>
      <c r="E203" s="16">
        <v>71.0</v>
      </c>
      <c r="F203" s="21" t="s">
        <v>70</v>
      </c>
      <c r="G203" s="16" t="s">
        <v>100</v>
      </c>
      <c r="H203" s="21" t="s">
        <v>101</v>
      </c>
      <c r="I203" s="21" t="s">
        <v>88</v>
      </c>
      <c r="J203" s="21" t="s">
        <v>74</v>
      </c>
      <c r="K203" s="21" t="s">
        <v>99</v>
      </c>
      <c r="L203" s="16" t="s">
        <v>90</v>
      </c>
      <c r="M203" s="21" t="s">
        <v>77</v>
      </c>
      <c r="N203" s="16" t="s">
        <v>95</v>
      </c>
      <c r="O203" s="16" t="s">
        <v>79</v>
      </c>
      <c r="P203" s="16" t="s">
        <v>80</v>
      </c>
      <c r="Q203" s="21" t="s">
        <v>93</v>
      </c>
      <c r="R203" s="21" t="s">
        <v>104</v>
      </c>
      <c r="S203" s="22">
        <v>602.188107013702</v>
      </c>
      <c r="T203" s="22">
        <v>138.881551027297</v>
      </c>
      <c r="U203" s="22">
        <v>3.2741022659331</v>
      </c>
      <c r="V203" s="22">
        <v>16.4116054994888</v>
      </c>
      <c r="W203" s="22">
        <v>4.05112397977263</v>
      </c>
      <c r="X203" s="22">
        <v>0.508137560232459</v>
      </c>
      <c r="Y203" s="22">
        <v>0.110094559402077</v>
      </c>
      <c r="Z203" s="22">
        <v>0.0176754373309737</v>
      </c>
      <c r="AA203" s="22">
        <v>0.132949002745314</v>
      </c>
      <c r="AB203" s="22">
        <v>0.612356158089392</v>
      </c>
      <c r="AC203" s="22">
        <v>0.111007563889548</v>
      </c>
      <c r="AD203" s="22">
        <v>0.133644442708339</v>
      </c>
      <c r="AE203" s="22">
        <v>0.615363325560597</v>
      </c>
      <c r="AF203" s="22">
        <v>0.134204679229831</v>
      </c>
      <c r="AG203" s="22">
        <v>0.166021603613008</v>
      </c>
      <c r="AH203" s="22">
        <v>0.408985807299872</v>
      </c>
      <c r="AI203" s="22">
        <v>10.0</v>
      </c>
      <c r="AJ203" s="22">
        <v>3.27410226593311</v>
      </c>
      <c r="AK203" s="22">
        <v>16.4116054994888</v>
      </c>
      <c r="AL203" s="22">
        <v>4.05112397977263</v>
      </c>
      <c r="AM203" s="22">
        <v>0.508064315912952</v>
      </c>
      <c r="AN203" s="22">
        <v>2.96945233404543</v>
      </c>
      <c r="AO203" s="22">
        <v>12.7805452236283</v>
      </c>
      <c r="AP203" s="22">
        <v>3.57498884244809</v>
      </c>
      <c r="AQ203" s="22">
        <v>0.615363325560597</v>
      </c>
      <c r="AR203" s="22">
        <v>3.58997516939799</v>
      </c>
      <c r="AS203" s="22">
        <v>19.7231728840952</v>
      </c>
      <c r="AT203" s="22">
        <v>4.44107789664798</v>
      </c>
      <c r="AU203" s="22">
        <v>0.408985807299873</v>
      </c>
      <c r="AV203" s="23">
        <f t="shared" ref="AV203:AW203" si="409">(AC203-AC$289)/AC$290</f>
        <v>0.4846106607</v>
      </c>
      <c r="AW203" s="24">
        <f t="shared" si="409"/>
        <v>0.4301088907</v>
      </c>
      <c r="AX203" s="24">
        <f t="shared" si="5"/>
        <v>0.6626051978</v>
      </c>
      <c r="AY203" s="25">
        <f t="shared" si="6"/>
        <v>0.6023234736</v>
      </c>
      <c r="AZ203" s="23">
        <f t="shared" si="7"/>
        <v>0.4691538553</v>
      </c>
      <c r="BA203" s="25">
        <f t="shared" si="8"/>
        <v>0.3967825364</v>
      </c>
      <c r="BB203" s="23">
        <f t="shared" si="9"/>
        <v>0.1809858437</v>
      </c>
      <c r="BC203" s="24">
        <f t="shared" si="10"/>
        <v>0.4670048207</v>
      </c>
      <c r="BD203" s="25">
        <f t="shared" si="11"/>
        <v>0.2862733913</v>
      </c>
      <c r="BE203" s="26">
        <f t="shared" ref="BE203:BF203" si="410">((S203-S$289)/S$290)</f>
        <v>0.08474021887</v>
      </c>
      <c r="BF203" s="26">
        <f t="shared" si="410"/>
        <v>-0.9331821719</v>
      </c>
    </row>
    <row r="204">
      <c r="A204" s="16" t="s">
        <v>82</v>
      </c>
      <c r="B204" s="20">
        <f t="shared" si="3"/>
        <v>-0.288574813</v>
      </c>
      <c r="C204" s="16" t="s">
        <v>68</v>
      </c>
      <c r="D204" s="16" t="s">
        <v>69</v>
      </c>
      <c r="E204" s="16">
        <v>112.0</v>
      </c>
      <c r="F204" s="21" t="s">
        <v>70</v>
      </c>
      <c r="G204" s="16" t="s">
        <v>100</v>
      </c>
      <c r="H204" s="21" t="s">
        <v>101</v>
      </c>
      <c r="I204" s="21" t="s">
        <v>88</v>
      </c>
      <c r="J204" s="21" t="s">
        <v>97</v>
      </c>
      <c r="K204" s="21" t="s">
        <v>75</v>
      </c>
      <c r="L204" s="16" t="s">
        <v>76</v>
      </c>
      <c r="M204" s="21" t="s">
        <v>77</v>
      </c>
      <c r="N204" s="16" t="s">
        <v>78</v>
      </c>
      <c r="O204" s="16" t="s">
        <v>79</v>
      </c>
      <c r="P204" s="16" t="s">
        <v>80</v>
      </c>
      <c r="Q204" s="21" t="s">
        <v>94</v>
      </c>
      <c r="R204" s="21" t="s">
        <v>81</v>
      </c>
      <c r="S204" s="22">
        <v>165.235996723175</v>
      </c>
      <c r="T204" s="22">
        <v>133.2075715065</v>
      </c>
      <c r="U204" s="22">
        <v>3.14172867351266</v>
      </c>
      <c r="V204" s="22">
        <v>17.4778680199963</v>
      </c>
      <c r="W204" s="22">
        <v>4.1806540182125</v>
      </c>
      <c r="X204" s="22">
        <v>0.476151103892586</v>
      </c>
      <c r="Y204" s="22">
        <v>0.119213684039856</v>
      </c>
      <c r="Z204" s="22">
        <v>0.0251956926850413</v>
      </c>
      <c r="AA204" s="22">
        <v>0.158731511317196</v>
      </c>
      <c r="AB204" s="22">
        <v>0.447427810178525</v>
      </c>
      <c r="AC204" s="22">
        <v>0.121324478322739</v>
      </c>
      <c r="AD204" s="22">
        <v>0.160830607041823</v>
      </c>
      <c r="AE204" s="22">
        <v>0.442960124988918</v>
      </c>
      <c r="AF204" s="22">
        <v>0.119920362913489</v>
      </c>
      <c r="AG204" s="22">
        <v>0.157770213991967</v>
      </c>
      <c r="AH204" s="22">
        <v>0.466273544117049</v>
      </c>
      <c r="AI204" s="22">
        <v>10.0</v>
      </c>
      <c r="AJ204" s="22">
        <v>3.14172867351267</v>
      </c>
      <c r="AK204" s="22">
        <v>17.4778680199963</v>
      </c>
      <c r="AL204" s="22">
        <v>4.1806540182125</v>
      </c>
      <c r="AM204" s="22">
        <v>0.476103239194495</v>
      </c>
      <c r="AN204" s="22">
        <v>3.24542979513327</v>
      </c>
      <c r="AO204" s="22">
        <v>18.5090860727713</v>
      </c>
      <c r="AP204" s="22">
        <v>4.30221873836876</v>
      </c>
      <c r="AQ204" s="22">
        <v>0.442960124988918</v>
      </c>
      <c r="AR204" s="22">
        <v>3.20786970793583</v>
      </c>
      <c r="AS204" s="22">
        <v>17.8113813377338</v>
      </c>
      <c r="AT204" s="22">
        <v>4.22035322428512</v>
      </c>
      <c r="AU204" s="22">
        <v>0.466273544117049</v>
      </c>
      <c r="AV204" s="23">
        <f t="shared" ref="AV204:AW204" si="411">(AC204-AC$289)/AC$290</f>
        <v>0.8874956921</v>
      </c>
      <c r="AW204" s="24">
        <f t="shared" si="411"/>
        <v>1.306727573</v>
      </c>
      <c r="AX204" s="24">
        <f t="shared" si="5"/>
        <v>0.0095044187</v>
      </c>
      <c r="AY204" s="25">
        <f t="shared" si="6"/>
        <v>0.2808038077</v>
      </c>
      <c r="AZ204" s="23">
        <f t="shared" si="7"/>
        <v>0.2248925343</v>
      </c>
      <c r="BA204" s="25">
        <f t="shared" si="8"/>
        <v>0.5939331824</v>
      </c>
      <c r="BB204" s="23">
        <f t="shared" si="9"/>
        <v>0.9498067225</v>
      </c>
      <c r="BC204" s="24">
        <f t="shared" si="10"/>
        <v>0.1775439939</v>
      </c>
      <c r="BD204" s="25">
        <f t="shared" si="11"/>
        <v>0.4758428814</v>
      </c>
      <c r="BE204" s="26">
        <f t="shared" ref="BE204:BF204" si="412">((S204-S$289)/S$290)</f>
        <v>-0.7541845639</v>
      </c>
      <c r="BF204" s="26">
        <f t="shared" si="412"/>
        <v>-0.9780432994</v>
      </c>
    </row>
    <row r="205">
      <c r="A205" s="16" t="s">
        <v>67</v>
      </c>
      <c r="B205" s="20">
        <f t="shared" si="3"/>
        <v>-0.2890924961</v>
      </c>
      <c r="C205" s="16" t="s">
        <v>68</v>
      </c>
      <c r="D205" s="16" t="s">
        <v>69</v>
      </c>
      <c r="E205" s="16">
        <v>216.0</v>
      </c>
      <c r="F205" s="21" t="s">
        <v>102</v>
      </c>
      <c r="G205" s="16" t="s">
        <v>100</v>
      </c>
      <c r="H205" s="21" t="s">
        <v>105</v>
      </c>
      <c r="I205" s="21" t="s">
        <v>73</v>
      </c>
      <c r="J205" s="21" t="s">
        <v>83</v>
      </c>
      <c r="K205" s="21" t="s">
        <v>75</v>
      </c>
      <c r="L205" s="16" t="s">
        <v>84</v>
      </c>
      <c r="M205" s="21" t="s">
        <v>77</v>
      </c>
      <c r="N205" s="16" t="s">
        <v>78</v>
      </c>
      <c r="O205" s="16" t="s">
        <v>79</v>
      </c>
      <c r="P205" s="16" t="s">
        <v>80</v>
      </c>
      <c r="Q205" s="21" t="s">
        <v>98</v>
      </c>
      <c r="R205" s="21" t="s">
        <v>98</v>
      </c>
      <c r="S205" s="22">
        <v>722.995995283126</v>
      </c>
      <c r="T205" s="22">
        <v>429.079706907272</v>
      </c>
      <c r="U205" s="22">
        <v>3.31850998070956</v>
      </c>
      <c r="V205" s="22">
        <v>16.5950639514021</v>
      </c>
      <c r="W205" s="22">
        <v>4.07370395971554</v>
      </c>
      <c r="X205" s="22">
        <v>0.498317633838986</v>
      </c>
      <c r="Y205" s="22">
        <v>0.0951701539854563</v>
      </c>
      <c r="Z205" s="22">
        <v>0.012932941585478</v>
      </c>
      <c r="AA205" s="22">
        <v>0.113723091698555</v>
      </c>
      <c r="AB205" s="22">
        <v>0.695036474004603</v>
      </c>
      <c r="AC205" s="22">
        <v>0.0956944667595642</v>
      </c>
      <c r="AD205" s="22">
        <v>0.114032903055682</v>
      </c>
      <c r="AE205" s="22">
        <v>0.698194272817841</v>
      </c>
      <c r="AF205" s="22">
        <v>0.122672632021647</v>
      </c>
      <c r="AG205" s="22">
        <v>0.151037724576667</v>
      </c>
      <c r="AH205" s="22">
        <v>0.475422187373416</v>
      </c>
      <c r="AI205" s="22">
        <v>10.0</v>
      </c>
      <c r="AJ205" s="22">
        <v>3.31850998070957</v>
      </c>
      <c r="AK205" s="22">
        <v>16.5950639514021</v>
      </c>
      <c r="AL205" s="22">
        <v>4.07370395971554</v>
      </c>
      <c r="AM205" s="22">
        <v>0.498186977528654</v>
      </c>
      <c r="AN205" s="22">
        <v>2.64754691368138</v>
      </c>
      <c r="AO205" s="22">
        <v>9.95345911382711</v>
      </c>
      <c r="AP205" s="22">
        <v>3.15491031787388</v>
      </c>
      <c r="AQ205" s="22">
        <v>0.698194272817841</v>
      </c>
      <c r="AR205" s="22">
        <v>3.39394281926578</v>
      </c>
      <c r="AS205" s="22">
        <v>17.4616204395391</v>
      </c>
      <c r="AT205" s="22">
        <v>4.17871037995446</v>
      </c>
      <c r="AU205" s="22">
        <v>0.475422187373416</v>
      </c>
      <c r="AV205" s="23">
        <f t="shared" ref="AV205:AW205" si="413">(AC205-AC$289)/AC$290</f>
        <v>-0.1133799167</v>
      </c>
      <c r="AW205" s="24">
        <f t="shared" si="413"/>
        <v>-0.2022657923</v>
      </c>
      <c r="AX205" s="24">
        <f t="shared" si="5"/>
        <v>0.327543563</v>
      </c>
      <c r="AY205" s="25">
        <f t="shared" si="6"/>
        <v>0.2201445563</v>
      </c>
      <c r="AZ205" s="23">
        <f t="shared" si="7"/>
        <v>0.5510968386</v>
      </c>
      <c r="BA205" s="25">
        <f t="shared" si="8"/>
        <v>0.4311502991</v>
      </c>
      <c r="BB205" s="23">
        <f t="shared" si="9"/>
        <v>-0.1883933874</v>
      </c>
      <c r="BC205" s="24">
        <f t="shared" si="10"/>
        <v>0.1313181525</v>
      </c>
      <c r="BD205" s="25">
        <f t="shared" si="11"/>
        <v>0.3448584639</v>
      </c>
      <c r="BE205" s="26">
        <f t="shared" ref="BE205:BF205" si="414">((S205-S$289)/S$290)</f>
        <v>0.316684931</v>
      </c>
      <c r="BF205" s="26">
        <f t="shared" si="414"/>
        <v>1.361259749</v>
      </c>
    </row>
    <row r="206">
      <c r="A206" s="16" t="s">
        <v>82</v>
      </c>
      <c r="B206" s="20">
        <f t="shared" si="3"/>
        <v>-0.2919528939</v>
      </c>
      <c r="C206" s="16" t="s">
        <v>68</v>
      </c>
      <c r="D206" s="16" t="s">
        <v>69</v>
      </c>
      <c r="E206" s="16">
        <v>198.0</v>
      </c>
      <c r="F206" s="21" t="s">
        <v>102</v>
      </c>
      <c r="G206" s="16" t="s">
        <v>71</v>
      </c>
      <c r="H206" s="21" t="s">
        <v>103</v>
      </c>
      <c r="I206" s="21" t="s">
        <v>88</v>
      </c>
      <c r="J206" s="21" t="s">
        <v>97</v>
      </c>
      <c r="K206" s="21" t="s">
        <v>75</v>
      </c>
      <c r="L206" s="16" t="s">
        <v>90</v>
      </c>
      <c r="M206" s="21" t="s">
        <v>85</v>
      </c>
      <c r="N206" s="16" t="s">
        <v>78</v>
      </c>
      <c r="O206" s="16" t="s">
        <v>86</v>
      </c>
      <c r="P206" s="16" t="s">
        <v>80</v>
      </c>
      <c r="Q206" s="21" t="s">
        <v>104</v>
      </c>
      <c r="S206" s="22">
        <v>206.931772947311</v>
      </c>
      <c r="T206" s="22">
        <v>320.809987068176</v>
      </c>
      <c r="U206" s="22">
        <v>2.92113718569379</v>
      </c>
      <c r="V206" s="22">
        <v>14.838261469431</v>
      </c>
      <c r="W206" s="22">
        <v>3.85204640021781</v>
      </c>
      <c r="X206" s="22">
        <v>0.552293078889905</v>
      </c>
      <c r="Y206" s="22">
        <v>0.111903904324557</v>
      </c>
      <c r="Z206" s="22">
        <v>0.0224014540383197</v>
      </c>
      <c r="AA206" s="22">
        <v>0.149671152993219</v>
      </c>
      <c r="AB206" s="22">
        <v>0.475989851792613</v>
      </c>
      <c r="AC206" s="22">
        <v>0.113006450728716</v>
      </c>
      <c r="AD206" s="22">
        <v>0.15072713107465</v>
      </c>
      <c r="AE206" s="22">
        <v>0.472770566802783</v>
      </c>
      <c r="AF206" s="22">
        <v>0.116736313798122</v>
      </c>
      <c r="AG206" s="22">
        <v>0.160007047966705</v>
      </c>
      <c r="AH206" s="22">
        <v>0.411224631339266</v>
      </c>
      <c r="AI206" s="22">
        <v>10.0</v>
      </c>
      <c r="AJ206" s="22">
        <v>2.92113718569378</v>
      </c>
      <c r="AK206" s="22">
        <v>14.838261469431</v>
      </c>
      <c r="AL206" s="22">
        <v>3.85204640021781</v>
      </c>
      <c r="AM206" s="22">
        <v>0.552258368543139</v>
      </c>
      <c r="AN206" s="22">
        <v>3.12651180349447</v>
      </c>
      <c r="AO206" s="22">
        <v>17.3898782379224</v>
      </c>
      <c r="AP206" s="22">
        <v>4.17011729306532</v>
      </c>
      <c r="AQ206" s="22">
        <v>0.472770566802783</v>
      </c>
      <c r="AR206" s="22">
        <v>3.22970468174805</v>
      </c>
      <c r="AS206" s="22">
        <v>19.5971041604274</v>
      </c>
      <c r="AT206" s="22">
        <v>4.42686166041219</v>
      </c>
      <c r="AU206" s="22">
        <v>0.411224631339266</v>
      </c>
      <c r="AV206" s="23">
        <f t="shared" ref="AV206:AW206" si="415">(AC206-AC$289)/AC$290</f>
        <v>0.5626690368</v>
      </c>
      <c r="AW206" s="24">
        <f t="shared" si="415"/>
        <v>0.9809406882</v>
      </c>
      <c r="AX206" s="24">
        <f t="shared" si="5"/>
        <v>0.04682510591</v>
      </c>
      <c r="AY206" s="25">
        <f t="shared" si="6"/>
        <v>0.5816153241</v>
      </c>
      <c r="AZ206" s="23">
        <f t="shared" si="7"/>
        <v>-0.1821521581</v>
      </c>
      <c r="BA206" s="25">
        <f t="shared" si="8"/>
        <v>0.09377735012</v>
      </c>
      <c r="BB206" s="23">
        <f t="shared" si="9"/>
        <v>0.8168689929</v>
      </c>
      <c r="BC206" s="24">
        <f t="shared" si="10"/>
        <v>0.4556925941</v>
      </c>
      <c r="BD206" s="25">
        <f t="shared" si="11"/>
        <v>0.02414692734</v>
      </c>
      <c r="BE206" s="26">
        <f t="shared" ref="BE206:BF206" si="416">((S206-S$289)/S$290)</f>
        <v>-0.674130894</v>
      </c>
      <c r="BF206" s="26">
        <f t="shared" si="416"/>
        <v>0.5052288651</v>
      </c>
    </row>
    <row r="207">
      <c r="A207" s="16" t="s">
        <v>67</v>
      </c>
      <c r="B207" s="20">
        <f t="shared" si="3"/>
        <v>-0.3303897879</v>
      </c>
      <c r="C207" s="16" t="s">
        <v>68</v>
      </c>
      <c r="D207" s="16" t="s">
        <v>69</v>
      </c>
      <c r="E207" s="16">
        <v>142.0</v>
      </c>
      <c r="F207" s="21" t="s">
        <v>102</v>
      </c>
      <c r="G207" s="16" t="s">
        <v>71</v>
      </c>
      <c r="H207" s="21" t="s">
        <v>103</v>
      </c>
      <c r="I207" s="21" t="s">
        <v>73</v>
      </c>
      <c r="J207" s="21" t="s">
        <v>83</v>
      </c>
      <c r="K207" s="21" t="s">
        <v>99</v>
      </c>
      <c r="L207" s="16" t="s">
        <v>84</v>
      </c>
      <c r="M207" s="21" t="s">
        <v>85</v>
      </c>
      <c r="N207" s="16" t="s">
        <v>78</v>
      </c>
      <c r="O207" s="16" t="s">
        <v>79</v>
      </c>
      <c r="P207" s="16" t="s">
        <v>80</v>
      </c>
      <c r="Q207" s="21" t="s">
        <v>87</v>
      </c>
      <c r="S207" s="22">
        <v>1125.56483936309</v>
      </c>
      <c r="T207" s="22">
        <v>330.618532419204</v>
      </c>
      <c r="U207" s="22">
        <v>3.31592031582298</v>
      </c>
      <c r="V207" s="22">
        <v>16.3659868596497</v>
      </c>
      <c r="W207" s="22">
        <v>4.04548969343017</v>
      </c>
      <c r="X207" s="22">
        <v>0.506374963341443</v>
      </c>
      <c r="Y207" s="22">
        <v>0.0945975703812457</v>
      </c>
      <c r="Z207" s="22">
        <v>0.0126144226068764</v>
      </c>
      <c r="AA207" s="22">
        <v>0.11231394662675</v>
      </c>
      <c r="AB207" s="22">
        <v>0.70639685204738</v>
      </c>
      <c r="AC207" s="22">
        <v>0.0950166214617293</v>
      </c>
      <c r="AD207" s="22">
        <v>0.112639222724377</v>
      </c>
      <c r="AE207" s="22">
        <v>0.706933256630616</v>
      </c>
      <c r="AF207" s="22">
        <v>0.127405007566103</v>
      </c>
      <c r="AG207" s="22">
        <v>0.156798779262735</v>
      </c>
      <c r="AH207" s="22">
        <v>0.433820375211246</v>
      </c>
      <c r="AI207" s="22">
        <v>10.0</v>
      </c>
      <c r="AJ207" s="22">
        <v>3.31592031582298</v>
      </c>
      <c r="AK207" s="22">
        <v>16.3659868596497</v>
      </c>
      <c r="AL207" s="22">
        <v>4.04548969343017</v>
      </c>
      <c r="AM207" s="22">
        <v>0.506317241085974</v>
      </c>
      <c r="AN207" s="22">
        <v>2.62879319377453</v>
      </c>
      <c r="AO207" s="22">
        <v>9.71164872029036</v>
      </c>
      <c r="AP207" s="22">
        <v>3.11635182870778</v>
      </c>
      <c r="AQ207" s="22">
        <v>0.706933256630616</v>
      </c>
      <c r="AR207" s="22">
        <v>3.52487187599571</v>
      </c>
      <c r="AS207" s="22">
        <v>18.8191077890221</v>
      </c>
      <c r="AT207" s="22">
        <v>4.33809955960235</v>
      </c>
      <c r="AU207" s="22">
        <v>0.433820375211246</v>
      </c>
      <c r="AV207" s="23">
        <f t="shared" ref="AV207:AW207" si="417">(AC207-AC$289)/AC$290</f>
        <v>-0.1398504013</v>
      </c>
      <c r="AW207" s="24">
        <f t="shared" si="417"/>
        <v>-0.2472050563</v>
      </c>
      <c r="AX207" s="24">
        <f t="shared" si="5"/>
        <v>0.5513296053</v>
      </c>
      <c r="AY207" s="25">
        <f t="shared" si="6"/>
        <v>0.4523195789</v>
      </c>
      <c r="AZ207" s="23">
        <f t="shared" si="7"/>
        <v>0.54631828</v>
      </c>
      <c r="BA207" s="25">
        <f t="shared" si="8"/>
        <v>0.3882068947</v>
      </c>
      <c r="BB207" s="23">
        <f t="shared" si="9"/>
        <v>-0.2273643183</v>
      </c>
      <c r="BC207" s="24">
        <f t="shared" si="10"/>
        <v>0.3415218647</v>
      </c>
      <c r="BD207" s="25">
        <f t="shared" si="11"/>
        <v>0.2966357482</v>
      </c>
      <c r="BE207" s="26">
        <f t="shared" ref="BE207:BF207" si="418">((S207-S$289)/S$290)</f>
        <v>1.089595674</v>
      </c>
      <c r="BF207" s="26">
        <f t="shared" si="418"/>
        <v>0.5827797977</v>
      </c>
    </row>
    <row r="208">
      <c r="A208" s="16" t="s">
        <v>67</v>
      </c>
      <c r="B208" s="20">
        <f t="shared" si="3"/>
        <v>-0.3319072751</v>
      </c>
      <c r="C208" s="16" t="s">
        <v>68</v>
      </c>
      <c r="D208" s="16" t="s">
        <v>69</v>
      </c>
      <c r="E208" s="16">
        <v>76.0</v>
      </c>
      <c r="F208" s="21" t="s">
        <v>70</v>
      </c>
      <c r="G208" s="16" t="s">
        <v>100</v>
      </c>
      <c r="H208" s="21" t="s">
        <v>101</v>
      </c>
      <c r="I208" s="21" t="s">
        <v>73</v>
      </c>
      <c r="J208" s="21" t="s">
        <v>97</v>
      </c>
      <c r="K208" s="21" t="s">
        <v>99</v>
      </c>
      <c r="L208" s="16" t="s">
        <v>76</v>
      </c>
      <c r="M208" s="21" t="s">
        <v>77</v>
      </c>
      <c r="N208" s="16" t="s">
        <v>78</v>
      </c>
      <c r="O208" s="16" t="s">
        <v>86</v>
      </c>
      <c r="P208" s="16" t="s">
        <v>80</v>
      </c>
      <c r="Q208" s="21" t="s">
        <v>94</v>
      </c>
      <c r="R208" s="21" t="s">
        <v>104</v>
      </c>
      <c r="S208" s="22">
        <v>356.39575767517</v>
      </c>
      <c r="T208" s="22">
        <v>132.202314376831</v>
      </c>
      <c r="U208" s="22">
        <v>3.31529825919802</v>
      </c>
      <c r="V208" s="22">
        <v>17.0114508628418</v>
      </c>
      <c r="W208" s="22">
        <v>4.12449401294774</v>
      </c>
      <c r="X208" s="22">
        <v>0.496785321051413</v>
      </c>
      <c r="Y208" s="22">
        <v>0.123511924716238</v>
      </c>
      <c r="Z208" s="22">
        <v>0.0222897874763474</v>
      </c>
      <c r="AA208" s="22">
        <v>0.14929764725657</v>
      </c>
      <c r="AB208" s="22">
        <v>0.517257146886041</v>
      </c>
      <c r="AC208" s="22">
        <v>0.124392284414632</v>
      </c>
      <c r="AD208" s="22">
        <v>0.149899111903257</v>
      </c>
      <c r="AE208" s="22">
        <v>0.521405213551674</v>
      </c>
      <c r="AF208" s="22">
        <v>0.128357849454745</v>
      </c>
      <c r="AG208" s="22">
        <v>0.161082420980543</v>
      </c>
      <c r="AH208" s="22">
        <v>0.451907501735478</v>
      </c>
      <c r="AI208" s="22">
        <v>10.0</v>
      </c>
      <c r="AJ208" s="22">
        <v>3.31529825919803</v>
      </c>
      <c r="AK208" s="22">
        <v>17.0114508628418</v>
      </c>
      <c r="AL208" s="22">
        <v>4.12449401294774</v>
      </c>
      <c r="AM208" s="22">
        <v>0.496694047352618</v>
      </c>
      <c r="AN208" s="22">
        <v>3.32749360809143</v>
      </c>
      <c r="AO208" s="22">
        <v>16.0785060116694</v>
      </c>
      <c r="AP208" s="22">
        <v>4.00980124341213</v>
      </c>
      <c r="AQ208" s="22">
        <v>0.521405213551674</v>
      </c>
      <c r="AR208" s="22">
        <v>3.43357247291443</v>
      </c>
      <c r="AS208" s="22">
        <v>18.5670911343226</v>
      </c>
      <c r="AT208" s="22">
        <v>4.30895476122952</v>
      </c>
      <c r="AU208" s="22">
        <v>0.451907501735478</v>
      </c>
      <c r="AV208" s="23">
        <f t="shared" ref="AV208:AW208" si="419">(AC208-AC$289)/AC$290</f>
        <v>1.007296352</v>
      </c>
      <c r="AW208" s="24">
        <f t="shared" si="419"/>
        <v>0.9542411853</v>
      </c>
      <c r="AX208" s="24">
        <f t="shared" si="5"/>
        <v>0.3952792022</v>
      </c>
      <c r="AY208" s="25">
        <f t="shared" si="6"/>
        <v>0.4098656668</v>
      </c>
      <c r="AZ208" s="23">
        <f t="shared" si="7"/>
        <v>0.545170435</v>
      </c>
      <c r="BA208" s="25">
        <f t="shared" si="8"/>
        <v>0.5084550844</v>
      </c>
      <c r="BB208" s="23">
        <f t="shared" si="9"/>
        <v>0.5999859435</v>
      </c>
      <c r="BC208" s="24">
        <f t="shared" si="10"/>
        <v>0.2501320684</v>
      </c>
      <c r="BD208" s="25">
        <f t="shared" si="11"/>
        <v>0.3537134226</v>
      </c>
      <c r="BE208" s="26">
        <f t="shared" ref="BE208:BF208" si="420">((S208-S$289)/S$290)</f>
        <v>-0.3871680027</v>
      </c>
      <c r="BF208" s="26">
        <f t="shared" si="420"/>
        <v>-0.9859913309</v>
      </c>
    </row>
    <row r="209">
      <c r="A209" s="16" t="s">
        <v>67</v>
      </c>
      <c r="B209" s="20">
        <f t="shared" si="3"/>
        <v>-0.332458582</v>
      </c>
      <c r="C209" s="16" t="s">
        <v>68</v>
      </c>
      <c r="D209" s="16" t="s">
        <v>69</v>
      </c>
      <c r="E209" s="16">
        <v>100.0</v>
      </c>
      <c r="F209" s="21" t="s">
        <v>70</v>
      </c>
      <c r="G209" s="16" t="s">
        <v>100</v>
      </c>
      <c r="H209" s="21" t="s">
        <v>101</v>
      </c>
      <c r="I209" s="21" t="s">
        <v>88</v>
      </c>
      <c r="J209" s="21" t="s">
        <v>74</v>
      </c>
      <c r="K209" s="21" t="s">
        <v>99</v>
      </c>
      <c r="L209" s="16" t="s">
        <v>84</v>
      </c>
      <c r="M209" s="21" t="s">
        <v>77</v>
      </c>
      <c r="N209" s="16" t="s">
        <v>95</v>
      </c>
      <c r="O209" s="16" t="s">
        <v>79</v>
      </c>
      <c r="P209" s="16" t="s">
        <v>80</v>
      </c>
      <c r="Q209" s="21" t="s">
        <v>89</v>
      </c>
      <c r="R209" s="21" t="s">
        <v>89</v>
      </c>
      <c r="S209" s="22">
        <v>1473.26121687889</v>
      </c>
      <c r="T209" s="22">
        <v>143.797894001007</v>
      </c>
      <c r="U209" s="22">
        <v>3.1970869665202</v>
      </c>
      <c r="V209" s="22">
        <v>15.7069931450989</v>
      </c>
      <c r="W209" s="22">
        <v>3.96320490829063</v>
      </c>
      <c r="X209" s="22">
        <v>0.529308054169778</v>
      </c>
      <c r="Y209" s="22">
        <v>0.100111859445777</v>
      </c>
      <c r="Z209" s="22">
        <v>0.0146260915170979</v>
      </c>
      <c r="AA209" s="22">
        <v>0.120938379008063</v>
      </c>
      <c r="AB209" s="22">
        <v>0.679232021156918</v>
      </c>
      <c r="AC209" s="22">
        <v>0.10094450556026</v>
      </c>
      <c r="AD209" s="22">
        <v>0.121574457779012</v>
      </c>
      <c r="AE209" s="22">
        <v>0.681702252690451</v>
      </c>
      <c r="AF209" s="22">
        <v>0.136491678360961</v>
      </c>
      <c r="AG209" s="22">
        <v>0.168534387581046</v>
      </c>
      <c r="AH209" s="22">
        <v>0.390960085442118</v>
      </c>
      <c r="AI209" s="22">
        <v>10.0</v>
      </c>
      <c r="AJ209" s="22">
        <v>3.19708696652021</v>
      </c>
      <c r="AK209" s="22">
        <v>15.7069931450989</v>
      </c>
      <c r="AL209" s="22">
        <v>3.96320490829063</v>
      </c>
      <c r="AM209" s="22">
        <v>0.529184977178163</v>
      </c>
      <c r="AN209" s="22">
        <v>2.70026552373695</v>
      </c>
      <c r="AO209" s="22">
        <v>10.5762633269377</v>
      </c>
      <c r="AP209" s="22">
        <v>3.25211674558858</v>
      </c>
      <c r="AQ209" s="22">
        <v>0.681702252690451</v>
      </c>
      <c r="AR209" s="22">
        <v>3.65115239615571</v>
      </c>
      <c r="AS209" s="22">
        <v>20.3247226149686</v>
      </c>
      <c r="AT209" s="22">
        <v>4.50829486779299</v>
      </c>
      <c r="AU209" s="22">
        <v>0.390960085442119</v>
      </c>
      <c r="AV209" s="23">
        <f t="shared" ref="AV209:AW209" si="421">(AC209-AC$289)/AC$290</f>
        <v>0.09163894438</v>
      </c>
      <c r="AW209" s="24">
        <f t="shared" si="421"/>
        <v>0.04091186546</v>
      </c>
      <c r="AX209" s="24">
        <f t="shared" si="5"/>
        <v>0.7671702944</v>
      </c>
      <c r="AY209" s="25">
        <f t="shared" si="6"/>
        <v>0.7002354011</v>
      </c>
      <c r="AZ209" s="23">
        <f t="shared" si="7"/>
        <v>0.3270419852</v>
      </c>
      <c r="BA209" s="25">
        <f t="shared" si="8"/>
        <v>0.2629656862</v>
      </c>
      <c r="BB209" s="23">
        <f t="shared" si="9"/>
        <v>-0.1148482945</v>
      </c>
      <c r="BC209" s="24">
        <f t="shared" si="10"/>
        <v>0.5580843543</v>
      </c>
      <c r="BD209" s="25">
        <f t="shared" si="11"/>
        <v>0.1610012353</v>
      </c>
      <c r="BE209" s="26">
        <f t="shared" ref="BE209:BF209" si="422">((S209-S$289)/S$290)</f>
        <v>1.757154203</v>
      </c>
      <c r="BF209" s="26">
        <f t="shared" si="422"/>
        <v>-0.8943112722</v>
      </c>
    </row>
    <row r="210">
      <c r="A210" s="16" t="s">
        <v>82</v>
      </c>
      <c r="B210" s="20">
        <f t="shared" si="3"/>
        <v>-0.3337733425</v>
      </c>
      <c r="C210" s="16" t="s">
        <v>68</v>
      </c>
      <c r="D210" s="16" t="s">
        <v>69</v>
      </c>
      <c r="E210" s="16">
        <v>262.0</v>
      </c>
      <c r="F210" s="21" t="s">
        <v>102</v>
      </c>
      <c r="G210" s="16" t="s">
        <v>100</v>
      </c>
      <c r="H210" s="21" t="s">
        <v>105</v>
      </c>
      <c r="I210" s="21" t="s">
        <v>88</v>
      </c>
      <c r="J210" s="21" t="s">
        <v>74</v>
      </c>
      <c r="K210" s="21" t="s">
        <v>75</v>
      </c>
      <c r="L210" s="16" t="s">
        <v>84</v>
      </c>
      <c r="M210" s="21" t="s">
        <v>77</v>
      </c>
      <c r="N210" s="16" t="s">
        <v>78</v>
      </c>
      <c r="O210" s="16" t="s">
        <v>92</v>
      </c>
      <c r="P210" s="16" t="s">
        <v>80</v>
      </c>
      <c r="Q210" s="21" t="s">
        <v>98</v>
      </c>
      <c r="R210" s="21" t="s">
        <v>89</v>
      </c>
      <c r="S210" s="22">
        <v>1191.60983586311</v>
      </c>
      <c r="T210" s="22">
        <v>338.608299493789</v>
      </c>
      <c r="U210" s="22">
        <v>3.13347060595469</v>
      </c>
      <c r="V210" s="22">
        <v>15.5385313043923</v>
      </c>
      <c r="W210" s="22">
        <v>3.94189438016701</v>
      </c>
      <c r="X210" s="22">
        <v>0.530212499536694</v>
      </c>
      <c r="Y210" s="22">
        <v>0.10435380776329</v>
      </c>
      <c r="Z210" s="22">
        <v>0.0162553710683219</v>
      </c>
      <c r="AA210" s="22">
        <v>0.127496553162514</v>
      </c>
      <c r="AB210" s="22">
        <v>0.614578390083695</v>
      </c>
      <c r="AC210" s="22">
        <v>0.105416363354537</v>
      </c>
      <c r="AD210" s="22">
        <v>0.128411085094866</v>
      </c>
      <c r="AE210" s="22">
        <v>0.615414722767555</v>
      </c>
      <c r="AF210" s="22">
        <v>0.119399712645252</v>
      </c>
      <c r="AG210" s="22">
        <v>0.150754441758358</v>
      </c>
      <c r="AH210" s="22">
        <v>0.477015394129624</v>
      </c>
      <c r="AI210" s="22">
        <v>10.0</v>
      </c>
      <c r="AJ210" s="22">
        <v>3.13347060595467</v>
      </c>
      <c r="AK210" s="22">
        <v>15.5385313043923</v>
      </c>
      <c r="AL210" s="22">
        <v>3.94189438016701</v>
      </c>
      <c r="AM210" s="22">
        <v>0.530058627700805</v>
      </c>
      <c r="AN210" s="22">
        <v>2.91651938614223</v>
      </c>
      <c r="AO210" s="22">
        <v>12.6217248082928</v>
      </c>
      <c r="AP210" s="22">
        <v>3.55270668762463</v>
      </c>
      <c r="AQ210" s="22">
        <v>0.615414722767555</v>
      </c>
      <c r="AR210" s="22">
        <v>3.30339204985206</v>
      </c>
      <c r="AS210" s="22">
        <v>17.396180653258</v>
      </c>
      <c r="AT210" s="22">
        <v>4.1708728886479</v>
      </c>
      <c r="AU210" s="22">
        <v>0.477015394129624</v>
      </c>
      <c r="AV210" s="23">
        <f t="shared" ref="AV210:AW210" si="423">(AC210-AC$289)/AC$290</f>
        <v>0.2662691189</v>
      </c>
      <c r="AW210" s="24">
        <f t="shared" si="423"/>
        <v>0.2613591178</v>
      </c>
      <c r="AX210" s="24">
        <f t="shared" si="5"/>
        <v>0.1727727365</v>
      </c>
      <c r="AY210" s="25">
        <f t="shared" si="6"/>
        <v>0.2087280365</v>
      </c>
      <c r="AZ210" s="23">
        <f t="shared" si="7"/>
        <v>0.2096544007</v>
      </c>
      <c r="BA210" s="25">
        <f t="shared" si="8"/>
        <v>0.2305300872</v>
      </c>
      <c r="BB210" s="23">
        <f t="shared" si="9"/>
        <v>0.1807566412</v>
      </c>
      <c r="BC210" s="24">
        <f t="shared" si="10"/>
        <v>0.1232680711</v>
      </c>
      <c r="BD210" s="25">
        <f t="shared" si="11"/>
        <v>0.155819386</v>
      </c>
      <c r="BE210" s="26">
        <f t="shared" ref="BE210:BF210" si="424">((S210-S$289)/S$290)</f>
        <v>1.21639855</v>
      </c>
      <c r="BF210" s="26">
        <f t="shared" si="424"/>
        <v>0.6459506213</v>
      </c>
    </row>
    <row r="211">
      <c r="A211" s="16" t="s">
        <v>82</v>
      </c>
      <c r="B211" s="20">
        <f t="shared" si="3"/>
        <v>-0.3467953165</v>
      </c>
      <c r="C211" s="16" t="s">
        <v>68</v>
      </c>
      <c r="D211" s="16" t="s">
        <v>69</v>
      </c>
      <c r="E211" s="16">
        <v>283.0</v>
      </c>
      <c r="F211" s="21" t="s">
        <v>102</v>
      </c>
      <c r="G211" s="16" t="s">
        <v>100</v>
      </c>
      <c r="H211" s="21" t="s">
        <v>105</v>
      </c>
      <c r="I211" s="21" t="s">
        <v>88</v>
      </c>
      <c r="J211" s="21" t="s">
        <v>74</v>
      </c>
      <c r="K211" s="21" t="s">
        <v>75</v>
      </c>
      <c r="L211" s="16" t="s">
        <v>90</v>
      </c>
      <c r="M211" s="21" t="s">
        <v>85</v>
      </c>
      <c r="N211" s="16" t="s">
        <v>78</v>
      </c>
      <c r="O211" s="16" t="s">
        <v>92</v>
      </c>
      <c r="P211" s="16" t="s">
        <v>80</v>
      </c>
      <c r="Q211" s="21" t="s">
        <v>104</v>
      </c>
      <c r="S211" s="22">
        <v>386.972200632095</v>
      </c>
      <c r="T211" s="22">
        <v>319.100753307342</v>
      </c>
      <c r="U211" s="22">
        <v>3.35526680290148</v>
      </c>
      <c r="V211" s="22">
        <v>17.6381787354779</v>
      </c>
      <c r="W211" s="22">
        <v>4.19978317719831</v>
      </c>
      <c r="X211" s="22">
        <v>0.466660735869183</v>
      </c>
      <c r="Y211" s="22">
        <v>0.121407123144932</v>
      </c>
      <c r="Z211" s="22">
        <v>0.0219441913383925</v>
      </c>
      <c r="AA211" s="22">
        <v>0.148135719319793</v>
      </c>
      <c r="AB211" s="22">
        <v>0.479694095052868</v>
      </c>
      <c r="AC211" s="22">
        <v>0.122592897908818</v>
      </c>
      <c r="AD211" s="22">
        <v>0.149129006158939</v>
      </c>
      <c r="AE211" s="22">
        <v>0.481305228866331</v>
      </c>
      <c r="AF211" s="22">
        <v>0.110328096970943</v>
      </c>
      <c r="AG211" s="22">
        <v>0.139354459805551</v>
      </c>
      <c r="AH211" s="22">
        <v>0.553120516803858</v>
      </c>
      <c r="AI211" s="22">
        <v>10.0</v>
      </c>
      <c r="AJ211" s="22">
        <v>3.35526680290149</v>
      </c>
      <c r="AK211" s="22">
        <v>17.6381787354779</v>
      </c>
      <c r="AL211" s="22">
        <v>4.19978317719831</v>
      </c>
      <c r="AM211" s="22">
        <v>0.466557697285975</v>
      </c>
      <c r="AN211" s="22">
        <v>3.39173684214416</v>
      </c>
      <c r="AO211" s="22">
        <v>17.023071470291</v>
      </c>
      <c r="AP211" s="22">
        <v>4.12590250373067</v>
      </c>
      <c r="AQ211" s="22">
        <v>0.481305228866331</v>
      </c>
      <c r="AR211" s="22">
        <v>3.05241068286277</v>
      </c>
      <c r="AS211" s="22">
        <v>14.8646750452183</v>
      </c>
      <c r="AT211" s="22">
        <v>3.85547338795358</v>
      </c>
      <c r="AU211" s="22">
        <v>0.553120516803857</v>
      </c>
      <c r="AV211" s="23">
        <f t="shared" ref="AV211:AW211" si="425">(AC211-AC$289)/AC$290</f>
        <v>0.9370286478</v>
      </c>
      <c r="AW211" s="24">
        <f t="shared" si="425"/>
        <v>0.9294091025</v>
      </c>
      <c r="AX211" s="24">
        <f t="shared" si="5"/>
        <v>-0.2562086387</v>
      </c>
      <c r="AY211" s="25">
        <f t="shared" si="6"/>
        <v>-0.2507001778</v>
      </c>
      <c r="AZ211" s="23">
        <f t="shared" si="7"/>
        <v>0.6189220731</v>
      </c>
      <c r="BA211" s="25">
        <f t="shared" si="8"/>
        <v>0.6230486378</v>
      </c>
      <c r="BB211" s="23">
        <f t="shared" si="9"/>
        <v>0.7788092215</v>
      </c>
      <c r="BC211" s="24">
        <f t="shared" si="10"/>
        <v>-0.2612723725</v>
      </c>
      <c r="BD211" s="25">
        <f t="shared" si="11"/>
        <v>0.5324599826</v>
      </c>
      <c r="BE211" s="26">
        <f t="shared" ref="BE211:BF211" si="426">((S211-S$289)/S$290)</f>
        <v>-0.3284628605</v>
      </c>
      <c r="BF211" s="26">
        <f t="shared" si="426"/>
        <v>0.4917148661</v>
      </c>
    </row>
    <row r="212">
      <c r="A212" s="16" t="s">
        <v>82</v>
      </c>
      <c r="B212" s="20">
        <f t="shared" si="3"/>
        <v>-0.3502144046</v>
      </c>
      <c r="C212" s="16" t="s">
        <v>68</v>
      </c>
      <c r="D212" s="16" t="s">
        <v>69</v>
      </c>
      <c r="E212" s="16">
        <v>256.0</v>
      </c>
      <c r="F212" s="21" t="s">
        <v>102</v>
      </c>
      <c r="G212" s="16" t="s">
        <v>100</v>
      </c>
      <c r="H212" s="21" t="s">
        <v>105</v>
      </c>
      <c r="I212" s="21" t="s">
        <v>88</v>
      </c>
      <c r="J212" s="21" t="s">
        <v>83</v>
      </c>
      <c r="K212" s="21" t="s">
        <v>75</v>
      </c>
      <c r="L212" s="16" t="s">
        <v>76</v>
      </c>
      <c r="M212" s="21" t="s">
        <v>77</v>
      </c>
      <c r="N212" s="16" t="s">
        <v>78</v>
      </c>
      <c r="O212" s="16" t="s">
        <v>86</v>
      </c>
      <c r="P212" s="16" t="s">
        <v>80</v>
      </c>
      <c r="Q212" s="21" t="s">
        <v>94</v>
      </c>
      <c r="R212" s="21" t="s">
        <v>104</v>
      </c>
      <c r="S212" s="22">
        <v>407.166261434555</v>
      </c>
      <c r="T212" s="22">
        <v>420.941806554794</v>
      </c>
      <c r="U212" s="22">
        <v>3.19760083157295</v>
      </c>
      <c r="V212" s="22">
        <v>16.0943159325208</v>
      </c>
      <c r="W212" s="22">
        <v>4.01177216857099</v>
      </c>
      <c r="X212" s="22">
        <v>0.513380719168973</v>
      </c>
      <c r="Y212" s="22">
        <v>0.110506892432965</v>
      </c>
      <c r="Z212" s="22">
        <v>0.0184430774869377</v>
      </c>
      <c r="AA212" s="22">
        <v>0.135805292558639</v>
      </c>
      <c r="AB212" s="22">
        <v>0.562706960859276</v>
      </c>
      <c r="AC212" s="22">
        <v>0.111637954198107</v>
      </c>
      <c r="AD212" s="22">
        <v>0.136765162534868</v>
      </c>
      <c r="AE212" s="22">
        <v>0.563746831095053</v>
      </c>
      <c r="AF212" s="22">
        <v>0.119429834839695</v>
      </c>
      <c r="AG212" s="22">
        <v>0.150321722440353</v>
      </c>
      <c r="AH212" s="22">
        <v>0.480013392069938</v>
      </c>
      <c r="AI212" s="22">
        <v>10.0</v>
      </c>
      <c r="AJ212" s="22">
        <v>3.19760083157294</v>
      </c>
      <c r="AK212" s="22">
        <v>16.0943159325208</v>
      </c>
      <c r="AL212" s="22">
        <v>4.01177216857099</v>
      </c>
      <c r="AM212" s="22">
        <v>0.513249690888889</v>
      </c>
      <c r="AN212" s="22">
        <v>3.0886500661477</v>
      </c>
      <c r="AO212" s="22">
        <v>14.3174161119431</v>
      </c>
      <c r="AP212" s="22">
        <v>3.78383616346468</v>
      </c>
      <c r="AQ212" s="22">
        <v>0.563746831095053</v>
      </c>
      <c r="AR212" s="22">
        <v>3.30422543056499</v>
      </c>
      <c r="AS212" s="22">
        <v>17.2964574239653</v>
      </c>
      <c r="AT212" s="22">
        <v>4.15890098751645</v>
      </c>
      <c r="AU212" s="22">
        <v>0.480013392069937</v>
      </c>
      <c r="AV212" s="23">
        <f t="shared" ref="AV212:AW212" si="427">(AC212-AC$289)/AC$290</f>
        <v>0.5092279841</v>
      </c>
      <c r="AW212" s="24">
        <f t="shared" si="427"/>
        <v>0.5307365949</v>
      </c>
      <c r="AX212" s="24">
        <f t="shared" si="5"/>
        <v>0.1741971642</v>
      </c>
      <c r="AY212" s="25">
        <f t="shared" si="6"/>
        <v>0.1912891086</v>
      </c>
      <c r="AZ212" s="23">
        <f t="shared" si="7"/>
        <v>0.3279901906</v>
      </c>
      <c r="BA212" s="25">
        <f t="shared" si="8"/>
        <v>0.3368872789</v>
      </c>
      <c r="BB212" s="23">
        <f t="shared" si="9"/>
        <v>0.4111662493</v>
      </c>
      <c r="BC212" s="24">
        <f t="shared" si="10"/>
        <v>0.1081199257</v>
      </c>
      <c r="BD212" s="25">
        <f t="shared" si="11"/>
        <v>0.2555175786</v>
      </c>
      <c r="BE212" s="26">
        <f t="shared" ref="BE212:BF212" si="428">((S212-S$289)/S$290)</f>
        <v>-0.2896913392</v>
      </c>
      <c r="BF212" s="26">
        <f t="shared" si="428"/>
        <v>1.296917715</v>
      </c>
    </row>
    <row r="213">
      <c r="A213" s="16" t="s">
        <v>82</v>
      </c>
      <c r="B213" s="20">
        <f t="shared" si="3"/>
        <v>-0.3573243701</v>
      </c>
      <c r="C213" s="16" t="s">
        <v>68</v>
      </c>
      <c r="D213" s="16" t="s">
        <v>69</v>
      </c>
      <c r="E213" s="16">
        <v>135.0</v>
      </c>
      <c r="F213" s="21" t="s">
        <v>70</v>
      </c>
      <c r="G213" s="16" t="s">
        <v>100</v>
      </c>
      <c r="H213" s="21" t="s">
        <v>101</v>
      </c>
      <c r="I213" s="21" t="s">
        <v>88</v>
      </c>
      <c r="J213" s="21" t="s">
        <v>83</v>
      </c>
      <c r="K213" s="21" t="s">
        <v>99</v>
      </c>
      <c r="L213" s="16" t="s">
        <v>84</v>
      </c>
      <c r="M213" s="21" t="s">
        <v>77</v>
      </c>
      <c r="N213" s="16" t="s">
        <v>95</v>
      </c>
      <c r="O213" s="16" t="s">
        <v>79</v>
      </c>
      <c r="P213" s="16" t="s">
        <v>80</v>
      </c>
      <c r="Q213" s="21" t="s">
        <v>87</v>
      </c>
      <c r="R213" s="21" t="s">
        <v>94</v>
      </c>
      <c r="S213" s="22">
        <v>851.36106133461</v>
      </c>
      <c r="T213" s="22">
        <v>139.51435637474</v>
      </c>
      <c r="U213" s="22">
        <v>3.38385052296427</v>
      </c>
      <c r="V213" s="22">
        <v>17.3864901245681</v>
      </c>
      <c r="W213" s="22">
        <v>4.16971103609927</v>
      </c>
      <c r="X213" s="22">
        <v>0.478911576749078</v>
      </c>
      <c r="Y213" s="22">
        <v>0.116350817679856</v>
      </c>
      <c r="Z213" s="22">
        <v>0.0198634604996243</v>
      </c>
      <c r="AA213" s="22">
        <v>0.140937789466219</v>
      </c>
      <c r="AB213" s="22">
        <v>0.564370148385471</v>
      </c>
      <c r="AC213" s="22">
        <v>0.117169191922327</v>
      </c>
      <c r="AD213" s="22">
        <v>0.141478825740633</v>
      </c>
      <c r="AE213" s="22">
        <v>0.568945904709072</v>
      </c>
      <c r="AF213" s="22">
        <v>0.127396912375084</v>
      </c>
      <c r="AG213" s="22">
        <v>0.157516373475163</v>
      </c>
      <c r="AH213" s="22">
        <v>0.467989614676</v>
      </c>
      <c r="AI213" s="22">
        <v>10.0</v>
      </c>
      <c r="AJ213" s="22">
        <v>3.38385052296427</v>
      </c>
      <c r="AK213" s="22">
        <v>17.3864901245681</v>
      </c>
      <c r="AL213" s="22">
        <v>4.16971103609927</v>
      </c>
      <c r="AM213" s="22">
        <v>0.47884227941206</v>
      </c>
      <c r="AN213" s="22">
        <v>3.13427588392227</v>
      </c>
      <c r="AO213" s="22">
        <v>14.3228837102579</v>
      </c>
      <c r="AP213" s="22">
        <v>3.78455858856194</v>
      </c>
      <c r="AQ213" s="22">
        <v>0.568945904709072</v>
      </c>
      <c r="AR213" s="22">
        <v>3.40786740603351</v>
      </c>
      <c r="AS213" s="22">
        <v>17.7541130745795</v>
      </c>
      <c r="AT213" s="22">
        <v>4.21356299046062</v>
      </c>
      <c r="AU213" s="22">
        <v>0.467989614676</v>
      </c>
      <c r="AV213" s="23">
        <f t="shared" ref="AV213:AW213" si="429">(AC213-AC$289)/AC$290</f>
        <v>0.7252279227</v>
      </c>
      <c r="AW213" s="24">
        <f t="shared" si="429"/>
        <v>0.682728806</v>
      </c>
      <c r="AX213" s="24">
        <f t="shared" si="5"/>
        <v>0.3513436899</v>
      </c>
      <c r="AY213" s="25">
        <f t="shared" si="6"/>
        <v>0.2709127807</v>
      </c>
      <c r="AZ213" s="23">
        <f t="shared" si="7"/>
        <v>0.6716659557</v>
      </c>
      <c r="BA213" s="25">
        <f t="shared" si="8"/>
        <v>0.5772774628</v>
      </c>
      <c r="BB213" s="23">
        <f t="shared" si="9"/>
        <v>0.3879813181</v>
      </c>
      <c r="BC213" s="24">
        <f t="shared" si="10"/>
        <v>0.168873112</v>
      </c>
      <c r="BD213" s="25">
        <f t="shared" si="11"/>
        <v>0.4595969188</v>
      </c>
      <c r="BE213" s="26">
        <f t="shared" ref="BE213:BF213" si="430">((S213-S$289)/S$290)</f>
        <v>0.563139022</v>
      </c>
      <c r="BF213" s="26">
        <f t="shared" si="430"/>
        <v>-0.9281789178</v>
      </c>
    </row>
    <row r="214">
      <c r="A214" s="16" t="s">
        <v>67</v>
      </c>
      <c r="B214" s="20">
        <f t="shared" si="3"/>
        <v>-0.357777794</v>
      </c>
      <c r="C214" s="16" t="s">
        <v>68</v>
      </c>
      <c r="D214" s="16" t="s">
        <v>69</v>
      </c>
      <c r="E214" s="16">
        <v>159.0</v>
      </c>
      <c r="F214" s="21" t="s">
        <v>102</v>
      </c>
      <c r="G214" s="16" t="s">
        <v>71</v>
      </c>
      <c r="H214" s="21" t="s">
        <v>103</v>
      </c>
      <c r="I214" s="21" t="s">
        <v>88</v>
      </c>
      <c r="J214" s="21" t="s">
        <v>83</v>
      </c>
      <c r="K214" s="21" t="s">
        <v>75</v>
      </c>
      <c r="L214" s="16" t="s">
        <v>84</v>
      </c>
      <c r="M214" s="21" t="s">
        <v>77</v>
      </c>
      <c r="N214" s="16" t="s">
        <v>95</v>
      </c>
      <c r="O214" s="16" t="s">
        <v>79</v>
      </c>
      <c r="P214" s="16" t="s">
        <v>80</v>
      </c>
      <c r="Q214" s="21" t="s">
        <v>87</v>
      </c>
      <c r="R214" s="21" t="s">
        <v>98</v>
      </c>
      <c r="S214" s="22">
        <v>1504.57956480979</v>
      </c>
      <c r="T214" s="22">
        <v>460.881643772125</v>
      </c>
      <c r="U214" s="22">
        <v>3.14055525775925</v>
      </c>
      <c r="V214" s="22">
        <v>14.5314284417125</v>
      </c>
      <c r="W214" s="22">
        <v>3.81201107575943</v>
      </c>
      <c r="X214" s="22">
        <v>0.561632123800286</v>
      </c>
      <c r="Y214" s="22">
        <v>0.0996910955986294</v>
      </c>
      <c r="Z214" s="22">
        <v>0.0141206647791113</v>
      </c>
      <c r="AA214" s="22">
        <v>0.118830403429052</v>
      </c>
      <c r="AB214" s="22">
        <v>0.66969234983445</v>
      </c>
      <c r="AC214" s="22">
        <v>0.0998740735634384</v>
      </c>
      <c r="AD214" s="22">
        <v>0.118867316783293</v>
      </c>
      <c r="AE214" s="22">
        <v>0.672099785902752</v>
      </c>
      <c r="AF214" s="22">
        <v>0.121081346171502</v>
      </c>
      <c r="AG214" s="22">
        <v>0.14764317635033</v>
      </c>
      <c r="AH214" s="22">
        <v>0.498699466005226</v>
      </c>
      <c r="AI214" s="22">
        <v>10.0</v>
      </c>
      <c r="AJ214" s="22">
        <v>3.14055525775926</v>
      </c>
      <c r="AK214" s="22">
        <v>14.5314284417125</v>
      </c>
      <c r="AL214" s="22">
        <v>3.81201107575943</v>
      </c>
      <c r="AM214" s="22">
        <v>0.561516995013534</v>
      </c>
      <c r="AN214" s="22">
        <v>2.76318270192195</v>
      </c>
      <c r="AO214" s="22">
        <v>10.8153005851</v>
      </c>
      <c r="AP214" s="22">
        <v>3.28866243100444</v>
      </c>
      <c r="AQ214" s="22">
        <v>0.672099785902752</v>
      </c>
      <c r="AR214" s="22">
        <v>3.34991724407846</v>
      </c>
      <c r="AS214" s="22">
        <v>16.6855464805191</v>
      </c>
      <c r="AT214" s="22">
        <v>4.08479454569249</v>
      </c>
      <c r="AU214" s="22">
        <v>0.498699466005226</v>
      </c>
      <c r="AV214" s="23">
        <f t="shared" ref="AV214:AW214" si="431">(AC214-AC$289)/AC$290</f>
        <v>0.04983758686</v>
      </c>
      <c r="AW214" s="24">
        <f t="shared" si="431"/>
        <v>-0.04637997696</v>
      </c>
      <c r="AX214" s="24">
        <f t="shared" si="5"/>
        <v>0.2522943442</v>
      </c>
      <c r="AY214" s="25">
        <f t="shared" si="6"/>
        <v>0.08334160025</v>
      </c>
      <c r="AZ214" s="23">
        <f t="shared" si="7"/>
        <v>0.2227272982</v>
      </c>
      <c r="BA214" s="25">
        <f t="shared" si="8"/>
        <v>0.0328417542</v>
      </c>
      <c r="BB214" s="23">
        <f t="shared" si="9"/>
        <v>-0.0720267173</v>
      </c>
      <c r="BC214" s="24">
        <f t="shared" si="10"/>
        <v>0.01370379568</v>
      </c>
      <c r="BD214" s="25">
        <f t="shared" si="11"/>
        <v>-0.03076840342</v>
      </c>
      <c r="BE214" s="26">
        <f t="shared" ref="BE214:BF214" si="432">((S214-S$289)/S$290)</f>
        <v>1.817283763</v>
      </c>
      <c r="BF214" s="26">
        <f t="shared" si="432"/>
        <v>1.612700689</v>
      </c>
    </row>
    <row r="215">
      <c r="A215" s="16" t="s">
        <v>67</v>
      </c>
      <c r="B215" s="20">
        <f t="shared" si="3"/>
        <v>-0.3789402667</v>
      </c>
      <c r="C215" s="16" t="s">
        <v>68</v>
      </c>
      <c r="D215" s="16" t="s">
        <v>69</v>
      </c>
      <c r="E215" s="16">
        <v>230.0</v>
      </c>
      <c r="F215" s="21" t="s">
        <v>102</v>
      </c>
      <c r="G215" s="16" t="s">
        <v>100</v>
      </c>
      <c r="H215" s="21" t="s">
        <v>105</v>
      </c>
      <c r="I215" s="21" t="s">
        <v>73</v>
      </c>
      <c r="J215" s="21" t="s">
        <v>83</v>
      </c>
      <c r="K215" s="21" t="s">
        <v>99</v>
      </c>
      <c r="L215" s="16" t="s">
        <v>90</v>
      </c>
      <c r="M215" s="21" t="s">
        <v>85</v>
      </c>
      <c r="N215" s="16" t="s">
        <v>78</v>
      </c>
      <c r="O215" s="16" t="s">
        <v>92</v>
      </c>
      <c r="P215" s="16" t="s">
        <v>80</v>
      </c>
      <c r="Q215" s="21" t="s">
        <v>93</v>
      </c>
      <c r="S215" s="22">
        <v>501.812036037445</v>
      </c>
      <c r="T215" s="22">
        <v>427.113684415817</v>
      </c>
      <c r="U215" s="22">
        <v>3.33068179798596</v>
      </c>
      <c r="V215" s="22">
        <v>16.8580006760356</v>
      </c>
      <c r="W215" s="22">
        <v>4.10584956812054</v>
      </c>
      <c r="X215" s="22">
        <v>0.490395881148185</v>
      </c>
      <c r="Y215" s="22">
        <v>0.0931983864701903</v>
      </c>
      <c r="Z215" s="22">
        <v>0.0124562115928356</v>
      </c>
      <c r="AA215" s="22">
        <v>0.11160739936418</v>
      </c>
      <c r="AB215" s="22">
        <v>0.706277942818413</v>
      </c>
      <c r="AC215" s="22">
        <v>0.0938774839186919</v>
      </c>
      <c r="AD215" s="22">
        <v>0.112110433728914</v>
      </c>
      <c r="AE215" s="22">
        <v>0.708284718075524</v>
      </c>
      <c r="AF215" s="22">
        <v>0.133115637827149</v>
      </c>
      <c r="AG215" s="22">
        <v>0.163964719080462</v>
      </c>
      <c r="AH215" s="22">
        <v>0.381784530769086</v>
      </c>
      <c r="AI215" s="22">
        <v>10.0</v>
      </c>
      <c r="AJ215" s="22">
        <v>3.33068179798597</v>
      </c>
      <c r="AK215" s="22">
        <v>16.8580006760356</v>
      </c>
      <c r="AL215" s="22">
        <v>4.10584956812054</v>
      </c>
      <c r="AM215" s="22">
        <v>0.490236114977387</v>
      </c>
      <c r="AN215" s="22">
        <v>2.59727705508383</v>
      </c>
      <c r="AO215" s="22">
        <v>9.62067936424984</v>
      </c>
      <c r="AP215" s="22">
        <v>3.10172199983329</v>
      </c>
      <c r="AQ215" s="22">
        <v>0.708284718075524</v>
      </c>
      <c r="AR215" s="22">
        <v>3.68286597988468</v>
      </c>
      <c r="AS215" s="22">
        <v>20.5785368990552</v>
      </c>
      <c r="AT215" s="22">
        <v>4.53635722789279</v>
      </c>
      <c r="AU215" s="22">
        <v>0.381784530769086</v>
      </c>
      <c r="AV215" s="23">
        <f t="shared" ref="AV215:AW215" si="433">(AC215-AC$289)/AC$290</f>
        <v>-0.1843347738</v>
      </c>
      <c r="AW215" s="24">
        <f t="shared" si="433"/>
        <v>-0.2642558732</v>
      </c>
      <c r="AX215" s="24">
        <f t="shared" si="5"/>
        <v>0.82137566</v>
      </c>
      <c r="AY215" s="25">
        <f t="shared" si="6"/>
        <v>0.7411125742</v>
      </c>
      <c r="AZ215" s="23">
        <f t="shared" si="7"/>
        <v>0.5735567879</v>
      </c>
      <c r="BA215" s="25">
        <f t="shared" si="8"/>
        <v>0.4800773862</v>
      </c>
      <c r="BB215" s="23">
        <f t="shared" si="9"/>
        <v>-0.2333910728</v>
      </c>
      <c r="BC215" s="24">
        <f t="shared" si="10"/>
        <v>0.6044461725</v>
      </c>
      <c r="BD215" s="25">
        <f t="shared" si="11"/>
        <v>0.3920171055</v>
      </c>
      <c r="BE215" s="26">
        <f t="shared" ref="BE215:BF215" si="434">((S215-S$289)/S$290)</f>
        <v>-0.1079764921</v>
      </c>
      <c r="BF215" s="26">
        <f t="shared" si="434"/>
        <v>1.345715459</v>
      </c>
    </row>
    <row r="216">
      <c r="A216" s="16" t="s">
        <v>67</v>
      </c>
      <c r="B216" s="20">
        <f t="shared" si="3"/>
        <v>-0.3795485889</v>
      </c>
      <c r="C216" s="16" t="s">
        <v>68</v>
      </c>
      <c r="D216" s="16" t="s">
        <v>69</v>
      </c>
      <c r="E216" s="16">
        <v>223.0</v>
      </c>
      <c r="F216" s="21" t="s">
        <v>102</v>
      </c>
      <c r="G216" s="16" t="s">
        <v>100</v>
      </c>
      <c r="H216" s="21" t="s">
        <v>105</v>
      </c>
      <c r="I216" s="21" t="s">
        <v>73</v>
      </c>
      <c r="J216" s="21" t="s">
        <v>83</v>
      </c>
      <c r="K216" s="21" t="s">
        <v>99</v>
      </c>
      <c r="L216" s="16" t="s">
        <v>84</v>
      </c>
      <c r="M216" s="21" t="s">
        <v>85</v>
      </c>
      <c r="N216" s="16" t="s">
        <v>78</v>
      </c>
      <c r="O216" s="16" t="s">
        <v>92</v>
      </c>
      <c r="P216" s="16" t="s">
        <v>80</v>
      </c>
      <c r="Q216" s="21" t="s">
        <v>94</v>
      </c>
      <c r="S216" s="22">
        <v>836.075496435165</v>
      </c>
      <c r="T216" s="22">
        <v>318.020809888839</v>
      </c>
      <c r="U216" s="22">
        <v>3.33883718180962</v>
      </c>
      <c r="V216" s="22">
        <v>17.0643729427412</v>
      </c>
      <c r="W216" s="22">
        <v>4.13090461554624</v>
      </c>
      <c r="X216" s="22">
        <v>0.484162702520052</v>
      </c>
      <c r="Y216" s="22">
        <v>0.099366979774883</v>
      </c>
      <c r="Z216" s="22">
        <v>0.0142964113541444</v>
      </c>
      <c r="AA216" s="22">
        <v>0.119567601607393</v>
      </c>
      <c r="AB216" s="22">
        <v>0.662885354671664</v>
      </c>
      <c r="AC216" s="22">
        <v>0.100185009684776</v>
      </c>
      <c r="AD216" s="22">
        <v>0.120213749606637</v>
      </c>
      <c r="AE216" s="22">
        <v>0.664590466673043</v>
      </c>
      <c r="AF216" s="22">
        <v>0.128546076988906</v>
      </c>
      <c r="AG216" s="22">
        <v>0.159482219599512</v>
      </c>
      <c r="AH216" s="22">
        <v>0.415124281033392</v>
      </c>
      <c r="AI216" s="22">
        <v>10.0</v>
      </c>
      <c r="AJ216" s="22">
        <v>3.33883718180962</v>
      </c>
      <c r="AK216" s="22">
        <v>17.0643729427413</v>
      </c>
      <c r="AL216" s="22">
        <v>4.13090461554624</v>
      </c>
      <c r="AM216" s="22">
        <v>0.48399568763025</v>
      </c>
      <c r="AN216" s="22">
        <v>2.77178526794549</v>
      </c>
      <c r="AO216" s="22">
        <v>11.061702200047</v>
      </c>
      <c r="AP216" s="22">
        <v>3.32591373911697</v>
      </c>
      <c r="AQ216" s="22">
        <v>0.664590466673043</v>
      </c>
      <c r="AR216" s="22">
        <v>3.55644146335992</v>
      </c>
      <c r="AS216" s="22">
        <v>19.4687567088687</v>
      </c>
      <c r="AT216" s="22">
        <v>4.41234140891984</v>
      </c>
      <c r="AU216" s="22">
        <v>0.415124281033392</v>
      </c>
      <c r="AV216" s="23">
        <f t="shared" ref="AV216:AW216" si="435">(AC216-AC$289)/AC$290</f>
        <v>0.0619799294</v>
      </c>
      <c r="AW216" s="24">
        <f t="shared" si="435"/>
        <v>-0.002964210276</v>
      </c>
      <c r="AX216" s="24">
        <f t="shared" si="5"/>
        <v>0.60528885</v>
      </c>
      <c r="AY216" s="25">
        <f t="shared" si="6"/>
        <v>0.5604643292</v>
      </c>
      <c r="AZ216" s="23">
        <f t="shared" si="7"/>
        <v>0.5886054451</v>
      </c>
      <c r="BA216" s="25">
        <f t="shared" si="8"/>
        <v>0.5182123149</v>
      </c>
      <c r="BB216" s="23">
        <f t="shared" si="9"/>
        <v>-0.03853939578</v>
      </c>
      <c r="BC216" s="24">
        <f t="shared" si="10"/>
        <v>0.4359886245</v>
      </c>
      <c r="BD216" s="25">
        <f t="shared" si="11"/>
        <v>0.4290307093</v>
      </c>
      <c r="BE216" s="26">
        <f t="shared" ref="BE216:BF216" si="436">((S216-S$289)/S$290)</f>
        <v>0.5337915514</v>
      </c>
      <c r="BF216" s="26">
        <f t="shared" si="436"/>
        <v>0.4831763299</v>
      </c>
    </row>
    <row r="217">
      <c r="A217" s="16" t="s">
        <v>82</v>
      </c>
      <c r="B217" s="20">
        <f t="shared" si="3"/>
        <v>-0.3797610603</v>
      </c>
      <c r="C217" s="16" t="s">
        <v>68</v>
      </c>
      <c r="D217" s="16" t="s">
        <v>69</v>
      </c>
      <c r="E217" s="16">
        <v>195.0</v>
      </c>
      <c r="F217" s="21" t="s">
        <v>102</v>
      </c>
      <c r="G217" s="16" t="s">
        <v>71</v>
      </c>
      <c r="H217" s="21" t="s">
        <v>103</v>
      </c>
      <c r="I217" s="21" t="s">
        <v>73</v>
      </c>
      <c r="J217" s="21" t="s">
        <v>97</v>
      </c>
      <c r="K217" s="21" t="s">
        <v>99</v>
      </c>
      <c r="L217" s="16" t="s">
        <v>90</v>
      </c>
      <c r="M217" s="21" t="s">
        <v>77</v>
      </c>
      <c r="N217" s="16" t="s">
        <v>95</v>
      </c>
      <c r="O217" s="16" t="s">
        <v>86</v>
      </c>
      <c r="P217" s="16" t="s">
        <v>80</v>
      </c>
      <c r="Q217" s="21" t="s">
        <v>104</v>
      </c>
      <c r="R217" s="21" t="s">
        <v>94</v>
      </c>
      <c r="S217" s="22">
        <v>452.842597484588</v>
      </c>
      <c r="T217" s="22">
        <v>338.917469263076</v>
      </c>
      <c r="U217" s="22">
        <v>3.33344722290727</v>
      </c>
      <c r="V217" s="22">
        <v>16.8988281460221</v>
      </c>
      <c r="W217" s="22">
        <v>4.11081842776133</v>
      </c>
      <c r="X217" s="22">
        <v>0.490270306415354</v>
      </c>
      <c r="Y217" s="22">
        <v>0.110380550953497</v>
      </c>
      <c r="Z217" s="22">
        <v>0.0178047488024729</v>
      </c>
      <c r="AA217" s="22">
        <v>0.133434436344119</v>
      </c>
      <c r="AB217" s="22">
        <v>0.585590996922679</v>
      </c>
      <c r="AC217" s="22">
        <v>0.110836162859319</v>
      </c>
      <c r="AD217" s="22">
        <v>0.133746139592611</v>
      </c>
      <c r="AE217" s="22">
        <v>0.586810040560234</v>
      </c>
      <c r="AF217" s="22">
        <v>0.124430492741321</v>
      </c>
      <c r="AG217" s="22">
        <v>0.154820828269255</v>
      </c>
      <c r="AH217" s="22">
        <v>0.448014518505189</v>
      </c>
      <c r="AI217" s="22">
        <v>10.0</v>
      </c>
      <c r="AJ217" s="22">
        <v>3.33344722290728</v>
      </c>
      <c r="AK217" s="22">
        <v>16.8988281460221</v>
      </c>
      <c r="AL217" s="22">
        <v>4.11081842776133</v>
      </c>
      <c r="AM217" s="22">
        <v>0.490243993650576</v>
      </c>
      <c r="AN217" s="22">
        <v>3.06646717244123</v>
      </c>
      <c r="AO217" s="22">
        <v>13.692293075275</v>
      </c>
      <c r="AP217" s="22">
        <v>3.70030986206223</v>
      </c>
      <c r="AQ217" s="22">
        <v>0.586810040560234</v>
      </c>
      <c r="AR217" s="22">
        <v>3.44257696584342</v>
      </c>
      <c r="AS217" s="22">
        <v>18.347312088636</v>
      </c>
      <c r="AT217" s="22">
        <v>4.28337624878273</v>
      </c>
      <c r="AU217" s="22">
        <v>0.448014518505189</v>
      </c>
      <c r="AV217" s="23">
        <f t="shared" ref="AV217:AW217" si="437">(AC217-AC$289)/AC$290</f>
        <v>0.4779172922</v>
      </c>
      <c r="AW217" s="24">
        <f t="shared" si="437"/>
        <v>0.4333881098</v>
      </c>
      <c r="AX217" s="24">
        <f t="shared" si="5"/>
        <v>0.4106698258</v>
      </c>
      <c r="AY217" s="25">
        <f t="shared" si="6"/>
        <v>0.3726066024</v>
      </c>
      <c r="AZ217" s="23">
        <f t="shared" si="7"/>
        <v>0.5786596663</v>
      </c>
      <c r="BA217" s="25">
        <f t="shared" si="8"/>
        <v>0.4876402179</v>
      </c>
      <c r="BB217" s="23">
        <f t="shared" si="9"/>
        <v>0.3083173642</v>
      </c>
      <c r="BC217" s="24">
        <f t="shared" si="10"/>
        <v>0.269802354</v>
      </c>
      <c r="BD217" s="25">
        <f t="shared" si="11"/>
        <v>0.391970375</v>
      </c>
      <c r="BE217" s="26">
        <f t="shared" ref="BE217:BF217" si="438">((S217-S$289)/S$290)</f>
        <v>-0.2019952064</v>
      </c>
      <c r="BF217" s="26">
        <f t="shared" si="438"/>
        <v>0.6483950617</v>
      </c>
    </row>
    <row r="218">
      <c r="A218" s="16" t="s">
        <v>82</v>
      </c>
      <c r="B218" s="20">
        <f t="shared" si="3"/>
        <v>-0.3888359853</v>
      </c>
      <c r="C218" s="16" t="s">
        <v>68</v>
      </c>
      <c r="D218" s="16" t="s">
        <v>69</v>
      </c>
      <c r="E218" s="16">
        <v>120.0</v>
      </c>
      <c r="F218" s="21" t="s">
        <v>70</v>
      </c>
      <c r="G218" s="16" t="s">
        <v>100</v>
      </c>
      <c r="H218" s="21" t="s">
        <v>101</v>
      </c>
      <c r="I218" s="21" t="s">
        <v>88</v>
      </c>
      <c r="J218" s="21" t="s">
        <v>74</v>
      </c>
      <c r="K218" s="21" t="s">
        <v>99</v>
      </c>
      <c r="L218" s="16" t="s">
        <v>76</v>
      </c>
      <c r="M218" s="21" t="s">
        <v>77</v>
      </c>
      <c r="N218" s="16" t="s">
        <v>78</v>
      </c>
      <c r="O218" s="16" t="s">
        <v>79</v>
      </c>
      <c r="P218" s="16" t="s">
        <v>80</v>
      </c>
      <c r="Q218" s="21" t="s">
        <v>94</v>
      </c>
      <c r="R218" s="21" t="s">
        <v>104</v>
      </c>
      <c r="S218" s="22">
        <v>450.924336194992</v>
      </c>
      <c r="T218" s="22">
        <v>134.378276824951</v>
      </c>
      <c r="U218" s="22">
        <v>3.45523194900118</v>
      </c>
      <c r="V218" s="22">
        <v>18.1923213723669</v>
      </c>
      <c r="W218" s="22">
        <v>4.26524575755804</v>
      </c>
      <c r="X218" s="22">
        <v>0.454742656526731</v>
      </c>
      <c r="Y218" s="22">
        <v>0.118920374989863</v>
      </c>
      <c r="Z218" s="22">
        <v>0.0207609223513754</v>
      </c>
      <c r="AA218" s="22">
        <v>0.14408650995626</v>
      </c>
      <c r="AB218" s="22">
        <v>0.544687718261303</v>
      </c>
      <c r="AC218" s="22">
        <v>0.119843415157224</v>
      </c>
      <c r="AD218" s="22">
        <v>0.144747171194779</v>
      </c>
      <c r="AE218" s="22">
        <v>0.548800040004013</v>
      </c>
      <c r="AF218" s="22">
        <v>0.130122045570765</v>
      </c>
      <c r="AG218" s="22">
        <v>0.161749994741197</v>
      </c>
      <c r="AH218" s="22">
        <v>0.439007245951146</v>
      </c>
      <c r="AI218" s="22">
        <v>10.0</v>
      </c>
      <c r="AJ218" s="22">
        <v>3.45523194900119</v>
      </c>
      <c r="AK218" s="22">
        <v>18.1923213723669</v>
      </c>
      <c r="AL218" s="22">
        <v>4.26524575755804</v>
      </c>
      <c r="AM218" s="22">
        <v>0.454687595328473</v>
      </c>
      <c r="AN218" s="22">
        <v>3.20581135545575</v>
      </c>
      <c r="AO218" s="22">
        <v>14.9922820075143</v>
      </c>
      <c r="AP218" s="22">
        <v>3.87198682946034</v>
      </c>
      <c r="AQ218" s="22">
        <v>0.548800040004013</v>
      </c>
      <c r="AR218" s="22">
        <v>3.48076471901797</v>
      </c>
      <c r="AS218" s="22">
        <v>18.7213051928251</v>
      </c>
      <c r="AT218" s="22">
        <v>4.32681235932703</v>
      </c>
      <c r="AU218" s="22">
        <v>0.439007245951147</v>
      </c>
      <c r="AV218" s="23">
        <f t="shared" ref="AV218:AW218" si="439">(AC218-AC$289)/AC$290</f>
        <v>0.8296588084</v>
      </c>
      <c r="AW218" s="24">
        <f t="shared" si="439"/>
        <v>0.788116703</v>
      </c>
      <c r="AX218" s="24">
        <f t="shared" si="5"/>
        <v>0.4759409456</v>
      </c>
      <c r="AY218" s="25">
        <f t="shared" si="6"/>
        <v>0.4358780238</v>
      </c>
      <c r="AZ218" s="23">
        <f t="shared" si="7"/>
        <v>0.8033819657</v>
      </c>
      <c r="BA218" s="25">
        <f t="shared" si="8"/>
        <v>0.7226856807</v>
      </c>
      <c r="BB218" s="23">
        <f t="shared" si="9"/>
        <v>0.4778204937</v>
      </c>
      <c r="BC218" s="24">
        <f t="shared" si="10"/>
        <v>0.3153138841</v>
      </c>
      <c r="BD218" s="25">
        <f t="shared" si="11"/>
        <v>0.6028646562</v>
      </c>
      <c r="BE218" s="26">
        <f t="shared" ref="BE218:BF218" si="440">((S218-S$289)/S$290)</f>
        <v>-0.2056781659</v>
      </c>
      <c r="BF218" s="26">
        <f t="shared" si="440"/>
        <v>-0.9687871573</v>
      </c>
    </row>
    <row r="219">
      <c r="A219" s="16" t="s">
        <v>82</v>
      </c>
      <c r="B219" s="20">
        <f t="shared" si="3"/>
        <v>-0.4035474716</v>
      </c>
      <c r="C219" s="16" t="s">
        <v>68</v>
      </c>
      <c r="D219" s="16" t="s">
        <v>69</v>
      </c>
      <c r="E219" s="16">
        <v>254.0</v>
      </c>
      <c r="F219" s="21" t="s">
        <v>102</v>
      </c>
      <c r="G219" s="16" t="s">
        <v>100</v>
      </c>
      <c r="H219" s="21" t="s">
        <v>105</v>
      </c>
      <c r="I219" s="21" t="s">
        <v>88</v>
      </c>
      <c r="J219" s="21" t="s">
        <v>83</v>
      </c>
      <c r="K219" s="21" t="s">
        <v>75</v>
      </c>
      <c r="L219" s="16" t="s">
        <v>90</v>
      </c>
      <c r="M219" s="21" t="s">
        <v>77</v>
      </c>
      <c r="N219" s="16" t="s">
        <v>78</v>
      </c>
      <c r="O219" s="16" t="s">
        <v>86</v>
      </c>
      <c r="P219" s="16" t="s">
        <v>80</v>
      </c>
      <c r="Q219" s="21" t="s">
        <v>104</v>
      </c>
      <c r="R219" s="21" t="s">
        <v>104</v>
      </c>
      <c r="S219" s="22">
        <v>338.586037874221</v>
      </c>
      <c r="T219" s="22">
        <v>423.917425870895</v>
      </c>
      <c r="U219" s="22">
        <v>3.31091146450058</v>
      </c>
      <c r="V219" s="22">
        <v>17.1005251054195</v>
      </c>
      <c r="W219" s="22">
        <v>4.13527811705809</v>
      </c>
      <c r="X219" s="22">
        <v>0.482925329612666</v>
      </c>
      <c r="Y219" s="22">
        <v>0.112123852746797</v>
      </c>
      <c r="Z219" s="22">
        <v>0.0190721796252176</v>
      </c>
      <c r="AA219" s="22">
        <v>0.138102062349617</v>
      </c>
      <c r="AB219" s="22">
        <v>0.547790687467637</v>
      </c>
      <c r="AC219" s="22">
        <v>0.113245179962864</v>
      </c>
      <c r="AD219" s="22">
        <v>0.139032916338798</v>
      </c>
      <c r="AE219" s="22">
        <v>0.549159536170614</v>
      </c>
      <c r="AF219" s="22">
        <v>0.11922836387412</v>
      </c>
      <c r="AG219" s="22">
        <v>0.149334696249628</v>
      </c>
      <c r="AH219" s="22">
        <v>0.486819532936614</v>
      </c>
      <c r="AI219" s="22">
        <v>10.0</v>
      </c>
      <c r="AJ219" s="22">
        <v>3.31091146450058</v>
      </c>
      <c r="AK219" s="22">
        <v>17.1005251054195</v>
      </c>
      <c r="AL219" s="22">
        <v>4.13527811705809</v>
      </c>
      <c r="AM219" s="22">
        <v>0.482818287156517</v>
      </c>
      <c r="AN219" s="22">
        <v>3.13311664563926</v>
      </c>
      <c r="AO219" s="22">
        <v>14.7961573252278</v>
      </c>
      <c r="AP219" s="22">
        <v>3.84657735204009</v>
      </c>
      <c r="AQ219" s="22">
        <v>0.549159536170614</v>
      </c>
      <c r="AR219" s="22">
        <v>3.2986514005174</v>
      </c>
      <c r="AS219" s="22">
        <v>17.0700628900933</v>
      </c>
      <c r="AT219" s="22">
        <v>4.13159326290638</v>
      </c>
      <c r="AU219" s="22">
        <v>0.486819532936614</v>
      </c>
      <c r="AV219" s="23">
        <f t="shared" ref="AV219:AW219" si="441">(AC219-AC$289)/AC$290</f>
        <v>0.5719916337</v>
      </c>
      <c r="AW219" s="24">
        <f t="shared" si="441"/>
        <v>0.6038603841</v>
      </c>
      <c r="AX219" s="24">
        <f t="shared" si="5"/>
        <v>0.1646699427</v>
      </c>
      <c r="AY219" s="25">
        <f t="shared" si="6"/>
        <v>0.1515111789</v>
      </c>
      <c r="AZ219" s="23">
        <f t="shared" si="7"/>
        <v>0.5370757369</v>
      </c>
      <c r="BA219" s="25">
        <f t="shared" si="8"/>
        <v>0.5248689843</v>
      </c>
      <c r="BB219" s="23">
        <f t="shared" si="9"/>
        <v>0.4762173439</v>
      </c>
      <c r="BC219" s="24">
        <f t="shared" si="10"/>
        <v>0.07373017199</v>
      </c>
      <c r="BD219" s="25">
        <f t="shared" si="11"/>
        <v>0.4360141789</v>
      </c>
      <c r="BE219" s="26">
        <f t="shared" ref="BE219:BF219" si="442">((S219-S$289)/S$290)</f>
        <v>-0.4213617163</v>
      </c>
      <c r="BF219" s="26">
        <f t="shared" si="442"/>
        <v>1.320444349</v>
      </c>
    </row>
    <row r="220">
      <c r="A220" s="16" t="s">
        <v>82</v>
      </c>
      <c r="B220" s="20">
        <f t="shared" si="3"/>
        <v>-0.4117895561</v>
      </c>
      <c r="C220" s="16" t="s">
        <v>68</v>
      </c>
      <c r="D220" s="16" t="s">
        <v>69</v>
      </c>
      <c r="E220" s="16">
        <v>207.0</v>
      </c>
      <c r="F220" s="21" t="s">
        <v>102</v>
      </c>
      <c r="G220" s="16" t="s">
        <v>71</v>
      </c>
      <c r="H220" s="21" t="s">
        <v>103</v>
      </c>
      <c r="I220" s="21" t="s">
        <v>88</v>
      </c>
      <c r="J220" s="21" t="s">
        <v>97</v>
      </c>
      <c r="K220" s="21" t="s">
        <v>99</v>
      </c>
      <c r="L220" s="16" t="s">
        <v>90</v>
      </c>
      <c r="M220" s="21" t="s">
        <v>77</v>
      </c>
      <c r="N220" s="16" t="s">
        <v>95</v>
      </c>
      <c r="O220" s="16" t="s">
        <v>79</v>
      </c>
      <c r="P220" s="16" t="s">
        <v>80</v>
      </c>
      <c r="Q220" s="21" t="s">
        <v>93</v>
      </c>
      <c r="R220" s="21" t="s">
        <v>93</v>
      </c>
      <c r="S220" s="22">
        <v>837.430370807647</v>
      </c>
      <c r="T220" s="22">
        <v>335.531238555908</v>
      </c>
      <c r="U220" s="22">
        <v>3.28446402186557</v>
      </c>
      <c r="V220" s="22">
        <v>16.235496832033</v>
      </c>
      <c r="W220" s="22">
        <v>4.02932957600058</v>
      </c>
      <c r="X220" s="22">
        <v>0.51015963155635</v>
      </c>
      <c r="Y220" s="22">
        <v>0.115538650760988</v>
      </c>
      <c r="Z220" s="22">
        <v>0.0191775778197251</v>
      </c>
      <c r="AA220" s="22">
        <v>0.138483131896</v>
      </c>
      <c r="AB220" s="22">
        <v>0.551402092989914</v>
      </c>
      <c r="AC220" s="22">
        <v>0.116073818512883</v>
      </c>
      <c r="AD220" s="22">
        <v>0.138893630522084</v>
      </c>
      <c r="AE220" s="22">
        <v>0.552305827344853</v>
      </c>
      <c r="AF220" s="22">
        <v>0.120389972767856</v>
      </c>
      <c r="AG220" s="22">
        <v>0.150112023990171</v>
      </c>
      <c r="AH220" s="22">
        <v>0.481794081549133</v>
      </c>
      <c r="AI220" s="22">
        <v>10.0</v>
      </c>
      <c r="AJ220" s="22">
        <v>3.28446402186557</v>
      </c>
      <c r="AK220" s="22">
        <v>16.235496832033</v>
      </c>
      <c r="AL220" s="22">
        <v>4.02932957600058</v>
      </c>
      <c r="AM220" s="22">
        <v>0.510097065342662</v>
      </c>
      <c r="AN220" s="22">
        <v>3.21137564552319</v>
      </c>
      <c r="AO220" s="22">
        <v>14.766526032298</v>
      </c>
      <c r="AP220" s="22">
        <v>3.84272377777768</v>
      </c>
      <c r="AQ220" s="22">
        <v>0.552305827344853</v>
      </c>
      <c r="AR220" s="22">
        <v>3.33078924657746</v>
      </c>
      <c r="AS220" s="22">
        <v>17.2482340481253</v>
      </c>
      <c r="AT220" s="22">
        <v>4.15309933039474</v>
      </c>
      <c r="AU220" s="22">
        <v>0.481794081549133</v>
      </c>
      <c r="AV220" s="23">
        <f t="shared" ref="AV220:AW220" si="443">(AC220-AC$289)/AC$290</f>
        <v>0.68245258</v>
      </c>
      <c r="AW220" s="24">
        <f t="shared" si="443"/>
        <v>0.5993691088</v>
      </c>
      <c r="AX220" s="24">
        <f t="shared" si="5"/>
        <v>0.2196004643</v>
      </c>
      <c r="AY220" s="25">
        <f t="shared" si="6"/>
        <v>0.1828380966</v>
      </c>
      <c r="AZ220" s="23">
        <f t="shared" si="7"/>
        <v>0.4882738032</v>
      </c>
      <c r="BA220" s="25">
        <f t="shared" si="8"/>
        <v>0.3636104565</v>
      </c>
      <c r="BB220" s="23">
        <f t="shared" si="9"/>
        <v>0.4621866627</v>
      </c>
      <c r="BC220" s="24">
        <f t="shared" si="10"/>
        <v>0.09912254031</v>
      </c>
      <c r="BD220" s="25">
        <f t="shared" si="11"/>
        <v>0.2742166237</v>
      </c>
      <c r="BE220" s="26">
        <f t="shared" ref="BE220:BF220" si="444">((S220-S$289)/S$290)</f>
        <v>0.536392838</v>
      </c>
      <c r="BF220" s="26">
        <f t="shared" si="444"/>
        <v>0.6216219429</v>
      </c>
    </row>
    <row r="221">
      <c r="A221" s="16" t="s">
        <v>82</v>
      </c>
      <c r="B221" s="20">
        <f t="shared" si="3"/>
        <v>-0.4469322165</v>
      </c>
      <c r="C221" s="16" t="s">
        <v>68</v>
      </c>
      <c r="D221" s="16" t="s">
        <v>69</v>
      </c>
      <c r="E221" s="16">
        <v>210.0</v>
      </c>
      <c r="F221" s="21" t="s">
        <v>102</v>
      </c>
      <c r="G221" s="16" t="s">
        <v>71</v>
      </c>
      <c r="H221" s="21" t="s">
        <v>103</v>
      </c>
      <c r="I221" s="21" t="s">
        <v>88</v>
      </c>
      <c r="J221" s="21" t="s">
        <v>74</v>
      </c>
      <c r="K221" s="21" t="s">
        <v>99</v>
      </c>
      <c r="L221" s="16" t="s">
        <v>76</v>
      </c>
      <c r="M221" s="21" t="s">
        <v>85</v>
      </c>
      <c r="N221" s="16" t="s">
        <v>78</v>
      </c>
      <c r="O221" s="16" t="s">
        <v>92</v>
      </c>
      <c r="P221" s="16" t="s">
        <v>80</v>
      </c>
      <c r="Q221" s="21" t="s">
        <v>104</v>
      </c>
      <c r="S221" s="22">
        <v>638.481827020645</v>
      </c>
      <c r="T221" s="22">
        <v>318.402979850769</v>
      </c>
      <c r="U221" s="22">
        <v>3.36391382992062</v>
      </c>
      <c r="V221" s="22">
        <v>16.9535486712982</v>
      </c>
      <c r="W221" s="22">
        <v>4.11746872135032</v>
      </c>
      <c r="X221" s="22">
        <v>0.488573366612539</v>
      </c>
      <c r="Y221" s="22">
        <v>0.1080355584836</v>
      </c>
      <c r="Z221" s="22">
        <v>0.0167474179577567</v>
      </c>
      <c r="AA221" s="22">
        <v>0.129411815371536</v>
      </c>
      <c r="AB221" s="22">
        <v>0.60824788644865</v>
      </c>
      <c r="AC221" s="22">
        <v>0.108489746016576</v>
      </c>
      <c r="AD221" s="22">
        <v>0.129736761407517</v>
      </c>
      <c r="AE221" s="22">
        <v>0.609390423596022</v>
      </c>
      <c r="AF221" s="22">
        <v>0.130750210739951</v>
      </c>
      <c r="AG221" s="22">
        <v>0.161236271772883</v>
      </c>
      <c r="AH221" s="22">
        <v>0.402143572800123</v>
      </c>
      <c r="AI221" s="22">
        <v>10.0</v>
      </c>
      <c r="AJ221" s="22">
        <v>3.36391382992064</v>
      </c>
      <c r="AK221" s="22">
        <v>16.9535486712982</v>
      </c>
      <c r="AL221" s="22">
        <v>4.11746872135032</v>
      </c>
      <c r="AM221" s="22">
        <v>0.488429991835058</v>
      </c>
      <c r="AN221" s="22">
        <v>3.00154963979202</v>
      </c>
      <c r="AO221" s="22">
        <v>12.883675577518</v>
      </c>
      <c r="AP221" s="22">
        <v>3.58938373227466</v>
      </c>
      <c r="AQ221" s="22">
        <v>0.609390423596022</v>
      </c>
      <c r="AR221" s="22">
        <v>3.61742249713889</v>
      </c>
      <c r="AS221" s="22">
        <v>19.8993628138138</v>
      </c>
      <c r="AT221" s="22">
        <v>4.46087018571644</v>
      </c>
      <c r="AU221" s="22">
        <v>0.402143572800123</v>
      </c>
      <c r="AV221" s="23">
        <f t="shared" ref="AV221:AW221" si="445">(AC221-AC$289)/AC$290</f>
        <v>0.3862875487</v>
      </c>
      <c r="AW221" s="24">
        <f t="shared" si="445"/>
        <v>0.3041055902</v>
      </c>
      <c r="AX221" s="24">
        <f t="shared" si="5"/>
        <v>0.7095186103</v>
      </c>
      <c r="AY221" s="25">
        <f t="shared" si="6"/>
        <v>0.6311540076</v>
      </c>
      <c r="AZ221" s="23">
        <f t="shared" si="7"/>
        <v>0.6348779311</v>
      </c>
      <c r="BA221" s="25">
        <f t="shared" si="8"/>
        <v>0.4977622691</v>
      </c>
      <c r="BB221" s="23">
        <f t="shared" si="9"/>
        <v>0.2076216122</v>
      </c>
      <c r="BC221" s="24">
        <f t="shared" si="10"/>
        <v>0.5015769467</v>
      </c>
      <c r="BD221" s="25">
        <f t="shared" si="11"/>
        <v>0.4027296934</v>
      </c>
      <c r="BE221" s="26">
        <f t="shared" ref="BE221:BF221" si="446">((S221-S$289)/S$290)</f>
        <v>0.1544222285</v>
      </c>
      <c r="BF221" s="26">
        <f t="shared" si="446"/>
        <v>0.4861979438</v>
      </c>
    </row>
    <row r="222">
      <c r="A222" s="16" t="s">
        <v>82</v>
      </c>
      <c r="B222" s="20">
        <f t="shared" si="3"/>
        <v>-0.4479922511</v>
      </c>
      <c r="C222" s="16" t="s">
        <v>68</v>
      </c>
      <c r="D222" s="16" t="s">
        <v>69</v>
      </c>
      <c r="E222" s="16">
        <v>272.0</v>
      </c>
      <c r="F222" s="21" t="s">
        <v>102</v>
      </c>
      <c r="G222" s="16" t="s">
        <v>100</v>
      </c>
      <c r="H222" s="21" t="s">
        <v>105</v>
      </c>
      <c r="I222" s="21" t="s">
        <v>73</v>
      </c>
      <c r="J222" s="21" t="s">
        <v>97</v>
      </c>
      <c r="K222" s="21" t="s">
        <v>99</v>
      </c>
      <c r="L222" s="16" t="s">
        <v>76</v>
      </c>
      <c r="M222" s="21" t="s">
        <v>85</v>
      </c>
      <c r="N222" s="16" t="s">
        <v>78</v>
      </c>
      <c r="O222" s="16" t="s">
        <v>86</v>
      </c>
      <c r="P222" s="16" t="s">
        <v>80</v>
      </c>
      <c r="Q222" s="21" t="s">
        <v>94</v>
      </c>
      <c r="S222" s="22">
        <v>413.544684648513</v>
      </c>
      <c r="T222" s="22">
        <v>428.711946487426</v>
      </c>
      <c r="U222" s="22">
        <v>3.32849610601909</v>
      </c>
      <c r="V222" s="22">
        <v>17.350237202295</v>
      </c>
      <c r="W222" s="22">
        <v>4.16536159322273</v>
      </c>
      <c r="X222" s="22">
        <v>0.475465022495148</v>
      </c>
      <c r="Y222" s="22">
        <v>0.103460870966043</v>
      </c>
      <c r="Z222" s="22">
        <v>0.015902088390685</v>
      </c>
      <c r="AA222" s="22">
        <v>0.126103482865006</v>
      </c>
      <c r="AB222" s="22">
        <v>0.625022898753428</v>
      </c>
      <c r="AC222" s="22">
        <v>0.104394516278057</v>
      </c>
      <c r="AD222" s="22">
        <v>0.12685399015632</v>
      </c>
      <c r="AE222" s="22">
        <v>0.626513094400939</v>
      </c>
      <c r="AF222" s="22">
        <v>0.127902936411843</v>
      </c>
      <c r="AG222" s="22">
        <v>0.160597407727595</v>
      </c>
      <c r="AH222" s="22">
        <v>0.406916132258885</v>
      </c>
      <c r="AI222" s="22">
        <v>10.0</v>
      </c>
      <c r="AJ222" s="22">
        <v>3.32849610601909</v>
      </c>
      <c r="AK222" s="22">
        <v>17.350237202295</v>
      </c>
      <c r="AL222" s="22">
        <v>4.16536159322273</v>
      </c>
      <c r="AM222" s="22">
        <v>0.475351526419224</v>
      </c>
      <c r="AN222" s="22">
        <v>2.88824828369293</v>
      </c>
      <c r="AO222" s="22">
        <v>12.3174821072441</v>
      </c>
      <c r="AP222" s="22">
        <v>3.50962706099154</v>
      </c>
      <c r="AQ222" s="22">
        <v>0.626513094400939</v>
      </c>
      <c r="AR222" s="22">
        <v>3.53864790739451</v>
      </c>
      <c r="AS222" s="22">
        <v>19.7419813382026</v>
      </c>
      <c r="AT222" s="22">
        <v>4.44319494713012</v>
      </c>
      <c r="AU222" s="22">
        <v>0.406916132258885</v>
      </c>
      <c r="AV222" s="23">
        <f t="shared" ref="AV222:AW222" si="447">(AC222-AC$289)/AC$290</f>
        <v>0.2263650474</v>
      </c>
      <c r="AW222" s="24">
        <f t="shared" si="447"/>
        <v>0.2111505449</v>
      </c>
      <c r="AX222" s="24">
        <f t="shared" si="5"/>
        <v>0.5748758189</v>
      </c>
      <c r="AY222" s="25">
        <f t="shared" si="6"/>
        <v>0.6054072855</v>
      </c>
      <c r="AZ222" s="23">
        <f t="shared" si="7"/>
        <v>0.5695236571</v>
      </c>
      <c r="BA222" s="25">
        <f t="shared" si="8"/>
        <v>0.5706574117</v>
      </c>
      <c r="BB222" s="23">
        <f t="shared" si="9"/>
        <v>0.1312641735</v>
      </c>
      <c r="BC222" s="24">
        <f t="shared" si="10"/>
        <v>0.477462379</v>
      </c>
      <c r="BD222" s="25">
        <f t="shared" si="11"/>
        <v>0.4803014861</v>
      </c>
      <c r="BE222" s="26">
        <f t="shared" ref="BE222:BF222" si="448">((S222-S$289)/S$290)</f>
        <v>-0.2774451063</v>
      </c>
      <c r="BF222" s="26">
        <f t="shared" si="448"/>
        <v>1.358352064</v>
      </c>
    </row>
    <row r="223">
      <c r="A223" s="16" t="s">
        <v>82</v>
      </c>
      <c r="B223" s="20">
        <f t="shared" si="3"/>
        <v>-0.4618821424</v>
      </c>
      <c r="C223" s="16" t="s">
        <v>68</v>
      </c>
      <c r="D223" s="16" t="s">
        <v>69</v>
      </c>
      <c r="E223" s="16">
        <v>275.0</v>
      </c>
      <c r="F223" s="21" t="s">
        <v>102</v>
      </c>
      <c r="G223" s="16" t="s">
        <v>100</v>
      </c>
      <c r="H223" s="21" t="s">
        <v>105</v>
      </c>
      <c r="I223" s="21" t="s">
        <v>73</v>
      </c>
      <c r="J223" s="21" t="s">
        <v>74</v>
      </c>
      <c r="K223" s="21" t="s">
        <v>75</v>
      </c>
      <c r="L223" s="16" t="s">
        <v>76</v>
      </c>
      <c r="M223" s="21" t="s">
        <v>77</v>
      </c>
      <c r="N223" s="16" t="s">
        <v>78</v>
      </c>
      <c r="O223" s="16" t="s">
        <v>86</v>
      </c>
      <c r="P223" s="16" t="s">
        <v>80</v>
      </c>
      <c r="Q223" s="21" t="s">
        <v>94</v>
      </c>
      <c r="R223" s="21" t="s">
        <v>104</v>
      </c>
      <c r="S223" s="22">
        <v>247.257472515106</v>
      </c>
      <c r="T223" s="22">
        <v>325.050370216369</v>
      </c>
      <c r="U223" s="22">
        <v>3.38434538653079</v>
      </c>
      <c r="V223" s="22">
        <v>17.9934048550627</v>
      </c>
      <c r="W223" s="22">
        <v>4.24186337062649</v>
      </c>
      <c r="X223" s="22">
        <v>0.4559762958956</v>
      </c>
      <c r="Y223" s="22">
        <v>0.116001433912097</v>
      </c>
      <c r="Z223" s="22">
        <v>0.0199158935024023</v>
      </c>
      <c r="AA223" s="22">
        <v>0.141123681578969</v>
      </c>
      <c r="AB223" s="22">
        <v>0.530375895870332</v>
      </c>
      <c r="AC223" s="22">
        <v>0.117086530307985</v>
      </c>
      <c r="AD223" s="22">
        <v>0.142020209705242</v>
      </c>
      <c r="AE223" s="22">
        <v>0.531868985855971</v>
      </c>
      <c r="AF223" s="22">
        <v>0.124183145791422</v>
      </c>
      <c r="AG223" s="22">
        <v>0.157048189935512</v>
      </c>
      <c r="AH223" s="22">
        <v>0.432840880049533</v>
      </c>
      <c r="AI223" s="22">
        <v>10.0</v>
      </c>
      <c r="AJ223" s="22">
        <v>3.3843453865308</v>
      </c>
      <c r="AK223" s="22">
        <v>17.9934048550627</v>
      </c>
      <c r="AL223" s="22">
        <v>4.24186337062649</v>
      </c>
      <c r="AM223" s="22">
        <v>0.455902978059524</v>
      </c>
      <c r="AN223" s="22">
        <v>3.23939400518772</v>
      </c>
      <c r="AO223" s="22">
        <v>15.4388154018849</v>
      </c>
      <c r="AP223" s="22">
        <v>3.92922580184506</v>
      </c>
      <c r="AQ223" s="22">
        <v>0.531868985855971</v>
      </c>
      <c r="AR223" s="22">
        <v>3.43573370022947</v>
      </c>
      <c r="AS223" s="22">
        <v>18.8790243182623</v>
      </c>
      <c r="AT223" s="22">
        <v>4.34499992154917</v>
      </c>
      <c r="AU223" s="22">
        <v>0.432840880049533</v>
      </c>
      <c r="AV223" s="23">
        <f t="shared" ref="AV223:AW223" si="449">(AC223-AC$289)/AC$290</f>
        <v>0.7219999104</v>
      </c>
      <c r="AW223" s="24">
        <f t="shared" si="449"/>
        <v>0.7001857481</v>
      </c>
      <c r="AX223" s="24">
        <f t="shared" si="5"/>
        <v>0.3989732065</v>
      </c>
      <c r="AY223" s="25">
        <f t="shared" si="6"/>
        <v>0.4623710246</v>
      </c>
      <c r="AZ223" s="23">
        <f t="shared" si="7"/>
        <v>0.6725790988</v>
      </c>
      <c r="BA223" s="25">
        <f t="shared" si="8"/>
        <v>0.6870966178</v>
      </c>
      <c r="BB223" s="23">
        <f t="shared" si="9"/>
        <v>0.5533234303</v>
      </c>
      <c r="BC223" s="24">
        <f t="shared" si="10"/>
        <v>0.3464710125</v>
      </c>
      <c r="BD223" s="25">
        <f t="shared" si="11"/>
        <v>0.5956559039</v>
      </c>
      <c r="BE223" s="26">
        <f t="shared" ref="BE223:BF223" si="450">((S223-S$289)/S$290)</f>
        <v>-0.5967076983</v>
      </c>
      <c r="BF223" s="26">
        <f t="shared" si="450"/>
        <v>0.5387553113</v>
      </c>
    </row>
    <row r="224">
      <c r="A224" s="16" t="s">
        <v>82</v>
      </c>
      <c r="B224" s="20">
        <f t="shared" si="3"/>
        <v>-0.4800696328</v>
      </c>
      <c r="C224" s="16" t="s">
        <v>68</v>
      </c>
      <c r="D224" s="16" t="s">
        <v>69</v>
      </c>
      <c r="E224" s="16">
        <v>116.0</v>
      </c>
      <c r="F224" s="21" t="s">
        <v>70</v>
      </c>
      <c r="G224" s="16" t="s">
        <v>100</v>
      </c>
      <c r="H224" s="21" t="s">
        <v>101</v>
      </c>
      <c r="I224" s="21" t="s">
        <v>73</v>
      </c>
      <c r="J224" s="21" t="s">
        <v>74</v>
      </c>
      <c r="K224" s="21" t="s">
        <v>99</v>
      </c>
      <c r="L224" s="16" t="s">
        <v>84</v>
      </c>
      <c r="M224" s="21" t="s">
        <v>77</v>
      </c>
      <c r="N224" s="16" t="s">
        <v>78</v>
      </c>
      <c r="O224" s="16" t="s">
        <v>92</v>
      </c>
      <c r="P224" s="16" t="s">
        <v>80</v>
      </c>
      <c r="Q224" s="21" t="s">
        <v>87</v>
      </c>
      <c r="R224" s="21" t="s">
        <v>94</v>
      </c>
      <c r="S224" s="22">
        <v>634.524022340774</v>
      </c>
      <c r="T224" s="22">
        <v>134.94527387619</v>
      </c>
      <c r="U224" s="22">
        <v>3.45232164288927</v>
      </c>
      <c r="V224" s="22">
        <v>18.4951552056278</v>
      </c>
      <c r="W224" s="22">
        <v>4.30059940073797</v>
      </c>
      <c r="X224" s="22">
        <v>0.452973460831129</v>
      </c>
      <c r="Y224" s="22">
        <v>0.115609156672634</v>
      </c>
      <c r="Z224" s="22">
        <v>0.0197404767328025</v>
      </c>
      <c r="AA224" s="22">
        <v>0.140500806875983</v>
      </c>
      <c r="AB224" s="22">
        <v>0.572469047991821</v>
      </c>
      <c r="AC224" s="22">
        <v>0.116536451494611</v>
      </c>
      <c r="AD224" s="22">
        <v>0.141181984076998</v>
      </c>
      <c r="AE224" s="22">
        <v>0.575450429886097</v>
      </c>
      <c r="AF224" s="22">
        <v>0.136948825709484</v>
      </c>
      <c r="AG224" s="22">
        <v>0.170880536714504</v>
      </c>
      <c r="AH224" s="22">
        <v>0.383202278999936</v>
      </c>
      <c r="AI224" s="22">
        <v>10.0</v>
      </c>
      <c r="AJ224" s="22">
        <v>3.45232164288928</v>
      </c>
      <c r="AK224" s="22">
        <v>18.4951552056278</v>
      </c>
      <c r="AL224" s="22">
        <v>4.30059940073797</v>
      </c>
      <c r="AM224" s="22">
        <v>0.452796719975086</v>
      </c>
      <c r="AN224" s="22">
        <v>3.11735007748086</v>
      </c>
      <c r="AO224" s="22">
        <v>14.2628440773144</v>
      </c>
      <c r="AP224" s="22">
        <v>3.7766180740597</v>
      </c>
      <c r="AQ224" s="22">
        <v>0.575450429886097</v>
      </c>
      <c r="AR224" s="22">
        <v>3.66338108772872</v>
      </c>
      <c r="AS224" s="22">
        <v>20.8945379356818</v>
      </c>
      <c r="AT224" s="22">
        <v>4.571054357113</v>
      </c>
      <c r="AU224" s="22">
        <v>0.383202278999937</v>
      </c>
      <c r="AV224" s="23">
        <f t="shared" ref="AV224:AW224" si="451">(AC224-AC$289)/AC$290</f>
        <v>0.700518825</v>
      </c>
      <c r="AW224" s="24">
        <f t="shared" si="451"/>
        <v>0.6731571377</v>
      </c>
      <c r="AX224" s="24">
        <f t="shared" si="5"/>
        <v>0.78807177</v>
      </c>
      <c r="AY224" s="25">
        <f t="shared" si="6"/>
        <v>0.7916543159</v>
      </c>
      <c r="AZ224" s="23">
        <f t="shared" si="7"/>
        <v>0.7980117464</v>
      </c>
      <c r="BA224" s="25">
        <f t="shared" si="8"/>
        <v>0.7764955435</v>
      </c>
      <c r="BB224" s="23">
        <f t="shared" si="9"/>
        <v>0.3589748104</v>
      </c>
      <c r="BC224" s="24">
        <f t="shared" si="10"/>
        <v>0.5972826399</v>
      </c>
      <c r="BD224" s="25">
        <f t="shared" si="11"/>
        <v>0.6140799316</v>
      </c>
      <c r="BE224" s="26">
        <f t="shared" ref="BE224:BF224" si="452">((S224-S$289)/S$290)</f>
        <v>0.1468234543</v>
      </c>
      <c r="BF224" s="26">
        <f t="shared" si="452"/>
        <v>-0.9643042143</v>
      </c>
    </row>
    <row r="225">
      <c r="A225" s="16" t="s">
        <v>82</v>
      </c>
      <c r="B225" s="20">
        <f t="shared" si="3"/>
        <v>-0.5037899208</v>
      </c>
      <c r="C225" s="16" t="s">
        <v>68</v>
      </c>
      <c r="D225" s="16" t="s">
        <v>69</v>
      </c>
      <c r="E225" s="16">
        <v>42.0</v>
      </c>
      <c r="F225" s="21" t="s">
        <v>70</v>
      </c>
      <c r="G225" s="16" t="s">
        <v>71</v>
      </c>
      <c r="H225" s="21" t="s">
        <v>72</v>
      </c>
      <c r="I225" s="21" t="s">
        <v>73</v>
      </c>
      <c r="J225" s="21" t="s">
        <v>74</v>
      </c>
      <c r="K225" s="21" t="s">
        <v>99</v>
      </c>
      <c r="L225" s="16" t="s">
        <v>84</v>
      </c>
      <c r="M225" s="21" t="s">
        <v>85</v>
      </c>
      <c r="N225" s="16" t="s">
        <v>91</v>
      </c>
      <c r="O225" s="16" t="s">
        <v>79</v>
      </c>
      <c r="P225" s="16" t="s">
        <v>80</v>
      </c>
      <c r="Q225" s="21" t="s">
        <v>89</v>
      </c>
      <c r="S225" s="22">
        <v>238.266576766967</v>
      </c>
      <c r="T225" s="22">
        <v>126.4573097229</v>
      </c>
      <c r="U225" s="22">
        <v>3.37689752662277</v>
      </c>
      <c r="V225" s="22">
        <v>19.096123499579</v>
      </c>
      <c r="W225" s="22">
        <v>4.3699111546551</v>
      </c>
      <c r="X225" s="22">
        <v>0.436907401030051</v>
      </c>
      <c r="Y225" s="22">
        <v>0.114014475051471</v>
      </c>
      <c r="Z225" s="22">
        <v>0.0205484761546149</v>
      </c>
      <c r="AA225" s="22">
        <v>0.14334739674865</v>
      </c>
      <c r="AB225" s="22">
        <v>0.561092097856224</v>
      </c>
      <c r="AC225" s="22">
        <v>0.114669287794501</v>
      </c>
      <c r="AD225" s="22">
        <v>0.14384176292402</v>
      </c>
      <c r="AE225" s="22">
        <v>0.561574761524124</v>
      </c>
      <c r="AF225" s="22">
        <v>0.139924345889433</v>
      </c>
      <c r="AG225" s="22">
        <v>0.181762651215226</v>
      </c>
      <c r="AH225" s="22">
        <v>0.305488457824464</v>
      </c>
      <c r="AI225" s="22">
        <v>10.0</v>
      </c>
      <c r="AJ225" s="22">
        <v>3.37689752662278</v>
      </c>
      <c r="AK225" s="22">
        <v>19.096123499579</v>
      </c>
      <c r="AL225" s="22">
        <v>4.3699111546551</v>
      </c>
      <c r="AM225" s="22">
        <v>0.436773639138042</v>
      </c>
      <c r="AN225" s="22">
        <v>3.06740344850291</v>
      </c>
      <c r="AO225" s="22">
        <v>14.8053121038574</v>
      </c>
      <c r="AP225" s="22">
        <v>3.84776715821753</v>
      </c>
      <c r="AQ225" s="22">
        <v>0.561574761524124</v>
      </c>
      <c r="AR225" s="22">
        <v>3.74297625254235</v>
      </c>
      <c r="AS225" s="22">
        <v>23.6405115689279</v>
      </c>
      <c r="AT225" s="22">
        <v>4.86215092000731</v>
      </c>
      <c r="AU225" s="22">
        <v>0.305488457824464</v>
      </c>
      <c r="AV225" s="23">
        <f t="shared" ref="AV225:AW225" si="453">(AC225-AC$289)/AC$290</f>
        <v>0.627604359</v>
      </c>
      <c r="AW225" s="24">
        <f t="shared" si="453"/>
        <v>0.7589217862</v>
      </c>
      <c r="AX225" s="24">
        <f t="shared" si="5"/>
        <v>0.9241171015</v>
      </c>
      <c r="AY225" s="25">
        <f t="shared" si="6"/>
        <v>1.215681538</v>
      </c>
      <c r="AZ225" s="23">
        <f t="shared" si="7"/>
        <v>0.6588359944</v>
      </c>
      <c r="BA225" s="25">
        <f t="shared" si="8"/>
        <v>0.8819912048</v>
      </c>
      <c r="BB225" s="23">
        <f t="shared" si="9"/>
        <v>0.4208524525</v>
      </c>
      <c r="BC225" s="24">
        <f t="shared" si="10"/>
        <v>0.9899514409</v>
      </c>
      <c r="BD225" s="25">
        <f t="shared" si="11"/>
        <v>0.7091170072</v>
      </c>
      <c r="BE225" s="26">
        <f t="shared" ref="BE225:BF225" si="454">((S225-S$289)/S$290)</f>
        <v>-0.6139697393</v>
      </c>
      <c r="BF225" s="26">
        <f t="shared" si="454"/>
        <v>-1.031414016</v>
      </c>
    </row>
    <row r="226">
      <c r="A226" s="16" t="s">
        <v>82</v>
      </c>
      <c r="B226" s="20">
        <f t="shared" si="3"/>
        <v>-0.5089472876</v>
      </c>
      <c r="C226" s="16" t="s">
        <v>68</v>
      </c>
      <c r="D226" s="16" t="s">
        <v>69</v>
      </c>
      <c r="E226" s="16">
        <v>43.0</v>
      </c>
      <c r="F226" s="21" t="s">
        <v>70</v>
      </c>
      <c r="G226" s="16" t="s">
        <v>71</v>
      </c>
      <c r="H226" s="21" t="s">
        <v>72</v>
      </c>
      <c r="I226" s="21" t="s">
        <v>88</v>
      </c>
      <c r="J226" s="21" t="s">
        <v>74</v>
      </c>
      <c r="K226" s="21" t="s">
        <v>99</v>
      </c>
      <c r="L226" s="16" t="s">
        <v>90</v>
      </c>
      <c r="M226" s="21" t="s">
        <v>77</v>
      </c>
      <c r="N226" s="16" t="s">
        <v>78</v>
      </c>
      <c r="O226" s="16" t="s">
        <v>79</v>
      </c>
      <c r="P226" s="16" t="s">
        <v>80</v>
      </c>
      <c r="Q226" s="21" t="s">
        <v>104</v>
      </c>
      <c r="R226" s="21" t="s">
        <v>96</v>
      </c>
      <c r="S226" s="22">
        <v>340.312278032302</v>
      </c>
      <c r="T226" s="22">
        <v>130.082066059112</v>
      </c>
      <c r="U226" s="22">
        <v>3.47042417734824</v>
      </c>
      <c r="V226" s="22">
        <v>19.3690194100161</v>
      </c>
      <c r="W226" s="22">
        <v>4.40102481361059</v>
      </c>
      <c r="X226" s="22">
        <v>0.422054162824534</v>
      </c>
      <c r="Y226" s="22">
        <v>0.121846223503421</v>
      </c>
      <c r="Z226" s="22">
        <v>0.0233700503402713</v>
      </c>
      <c r="AA226" s="22">
        <v>0.152872660538996</v>
      </c>
      <c r="AB226" s="22">
        <v>0.495159687474792</v>
      </c>
      <c r="AC226" s="22">
        <v>0.122397810750799</v>
      </c>
      <c r="AD226" s="22">
        <v>0.153206527128597</v>
      </c>
      <c r="AE226" s="22">
        <v>0.497392229243351</v>
      </c>
      <c r="AF226" s="22">
        <v>0.131709398881742</v>
      </c>
      <c r="AG226" s="22">
        <v>0.168252257150358</v>
      </c>
      <c r="AH226" s="22">
        <v>0.397192550585344</v>
      </c>
      <c r="AI226" s="22">
        <v>10.0</v>
      </c>
      <c r="AJ226" s="22">
        <v>3.47042417734824</v>
      </c>
      <c r="AK226" s="22">
        <v>19.3690194100161</v>
      </c>
      <c r="AL226" s="22">
        <v>4.40102481361059</v>
      </c>
      <c r="AM226" s="22">
        <v>0.422000942095122</v>
      </c>
      <c r="AN226" s="22">
        <v>3.27414143758388</v>
      </c>
      <c r="AO226" s="22">
        <v>16.7958547026606</v>
      </c>
      <c r="AP226" s="22">
        <v>4.09827460068998</v>
      </c>
      <c r="AQ226" s="22">
        <v>0.497392229243351</v>
      </c>
      <c r="AR226" s="22">
        <v>3.52322642008661</v>
      </c>
      <c r="AS226" s="22">
        <v>20.2567314682714</v>
      </c>
      <c r="AT226" s="22">
        <v>4.50074787877208</v>
      </c>
      <c r="AU226" s="22">
        <v>0.397192550585344</v>
      </c>
      <c r="AV226" s="23">
        <f t="shared" ref="AV226:AW226" si="455">(AC226-AC$289)/AC$290</f>
        <v>0.9294103142</v>
      </c>
      <c r="AW226" s="24">
        <f t="shared" si="455"/>
        <v>1.060888888</v>
      </c>
      <c r="AX226" s="24">
        <f t="shared" si="5"/>
        <v>0.5485171657</v>
      </c>
      <c r="AY226" s="25">
        <f t="shared" si="6"/>
        <v>0.6892420428</v>
      </c>
      <c r="AZ226" s="23">
        <f t="shared" si="7"/>
        <v>0.8314153045</v>
      </c>
      <c r="BA226" s="25">
        <f t="shared" si="8"/>
        <v>0.9293476176</v>
      </c>
      <c r="BB226" s="23">
        <f t="shared" si="9"/>
        <v>0.7070702879</v>
      </c>
      <c r="BC226" s="24">
        <f t="shared" si="10"/>
        <v>0.5265932427</v>
      </c>
      <c r="BD226" s="25">
        <f t="shared" si="11"/>
        <v>0.7967377301</v>
      </c>
      <c r="BE226" s="26">
        <f t="shared" ref="BE226:BF226" si="456">((S226-S$289)/S$290)</f>
        <v>-0.4180474271</v>
      </c>
      <c r="BF226" s="26">
        <f t="shared" si="456"/>
        <v>-1.002755003</v>
      </c>
    </row>
    <row r="227">
      <c r="A227" s="16" t="s">
        <v>67</v>
      </c>
      <c r="B227" s="20">
        <f t="shared" si="3"/>
        <v>-0.5096868578</v>
      </c>
      <c r="C227" s="16" t="s">
        <v>68</v>
      </c>
      <c r="D227" s="16" t="s">
        <v>69</v>
      </c>
      <c r="E227" s="16">
        <v>161.0</v>
      </c>
      <c r="F227" s="21" t="s">
        <v>102</v>
      </c>
      <c r="G227" s="16" t="s">
        <v>71</v>
      </c>
      <c r="H227" s="21" t="s">
        <v>103</v>
      </c>
      <c r="I227" s="21" t="s">
        <v>88</v>
      </c>
      <c r="J227" s="21" t="s">
        <v>74</v>
      </c>
      <c r="K227" s="21" t="s">
        <v>99</v>
      </c>
      <c r="L227" s="16" t="s">
        <v>84</v>
      </c>
      <c r="M227" s="21" t="s">
        <v>85</v>
      </c>
      <c r="N227" s="16" t="s">
        <v>91</v>
      </c>
      <c r="O227" s="16" t="s">
        <v>92</v>
      </c>
      <c r="P227" s="16" t="s">
        <v>80</v>
      </c>
      <c r="Q227" s="21" t="s">
        <v>98</v>
      </c>
      <c r="S227" s="22">
        <v>1541.35883021354</v>
      </c>
      <c r="T227" s="22">
        <v>413.56439089775</v>
      </c>
      <c r="U227" s="22">
        <v>3.36229695496555</v>
      </c>
      <c r="V227" s="22">
        <v>16.8222328633232</v>
      </c>
      <c r="W227" s="22">
        <v>4.10149154129607</v>
      </c>
      <c r="X227" s="22">
        <v>0.492574553798197</v>
      </c>
      <c r="Y227" s="22">
        <v>0.0990090991285853</v>
      </c>
      <c r="Z227" s="22">
        <v>0.0136842872729833</v>
      </c>
      <c r="AA227" s="22">
        <v>0.116979858407263</v>
      </c>
      <c r="AB227" s="22">
        <v>0.679900001590864</v>
      </c>
      <c r="AC227" s="22">
        <v>0.0993123440700221</v>
      </c>
      <c r="AD227" s="22">
        <v>0.117158208109071</v>
      </c>
      <c r="AE227" s="22">
        <v>0.681461285693263</v>
      </c>
      <c r="AF227" s="22">
        <v>0.125889877080533</v>
      </c>
      <c r="AG227" s="22">
        <v>0.155666729797417</v>
      </c>
      <c r="AH227" s="22">
        <v>0.442733403650509</v>
      </c>
      <c r="AI227" s="22">
        <v>10.0</v>
      </c>
      <c r="AJ227" s="22">
        <v>3.36229695496556</v>
      </c>
      <c r="AK227" s="22">
        <v>16.8222328633232</v>
      </c>
      <c r="AL227" s="22">
        <v>4.10149154129607</v>
      </c>
      <c r="AM227" s="22">
        <v>0.492392420602062</v>
      </c>
      <c r="AN227" s="22">
        <v>2.74764151927059</v>
      </c>
      <c r="AO227" s="22">
        <v>10.5065254461741</v>
      </c>
      <c r="AP227" s="22">
        <v>3.24137709101766</v>
      </c>
      <c r="AQ227" s="22">
        <v>0.681461285693263</v>
      </c>
      <c r="AR227" s="22">
        <v>3.48295326589495</v>
      </c>
      <c r="AS227" s="22">
        <v>18.5483498717499</v>
      </c>
      <c r="AT227" s="22">
        <v>4.30677952439522</v>
      </c>
      <c r="AU227" s="22">
        <v>0.442733403650509</v>
      </c>
      <c r="AV227" s="23">
        <f t="shared" ref="AV227:AW227" si="457">(AC227-AC$289)/AC$290</f>
        <v>0.02790153165</v>
      </c>
      <c r="AW227" s="24">
        <f t="shared" si="457"/>
        <v>-0.1014902373</v>
      </c>
      <c r="AX227" s="24">
        <f t="shared" si="5"/>
        <v>0.479681645</v>
      </c>
      <c r="AY227" s="25">
        <f t="shared" si="6"/>
        <v>0.4066970975</v>
      </c>
      <c r="AZ227" s="23">
        <f t="shared" si="7"/>
        <v>0.6318944054</v>
      </c>
      <c r="BA227" s="25">
        <f t="shared" si="8"/>
        <v>0.4734442699</v>
      </c>
      <c r="BB227" s="23">
        <f t="shared" si="9"/>
        <v>-0.1137737178</v>
      </c>
      <c r="BC227" s="24">
        <f t="shared" si="10"/>
        <v>0.2964865268</v>
      </c>
      <c r="BD227" s="25">
        <f t="shared" si="11"/>
        <v>0.3792274939</v>
      </c>
      <c r="BE227" s="26">
        <f t="shared" ref="BE227:BF227" si="458">((S227-S$289)/S$290)</f>
        <v>1.887897994</v>
      </c>
      <c r="BF227" s="26">
        <f t="shared" si="458"/>
        <v>1.238588427</v>
      </c>
    </row>
    <row r="228">
      <c r="A228" s="16" t="s">
        <v>67</v>
      </c>
      <c r="B228" s="20">
        <f t="shared" si="3"/>
        <v>-0.5125975757</v>
      </c>
      <c r="C228" s="16" t="s">
        <v>68</v>
      </c>
      <c r="D228" s="16" t="s">
        <v>69</v>
      </c>
      <c r="E228" s="16">
        <v>91.0</v>
      </c>
      <c r="F228" s="21" t="s">
        <v>70</v>
      </c>
      <c r="G228" s="16" t="s">
        <v>100</v>
      </c>
      <c r="H228" s="21" t="s">
        <v>101</v>
      </c>
      <c r="I228" s="21" t="s">
        <v>88</v>
      </c>
      <c r="J228" s="21" t="s">
        <v>83</v>
      </c>
      <c r="K228" s="21" t="s">
        <v>99</v>
      </c>
      <c r="L228" s="16" t="s">
        <v>90</v>
      </c>
      <c r="M228" s="21" t="s">
        <v>77</v>
      </c>
      <c r="N228" s="16" t="s">
        <v>78</v>
      </c>
      <c r="O228" s="16" t="s">
        <v>79</v>
      </c>
      <c r="P228" s="16" t="s">
        <v>80</v>
      </c>
      <c r="Q228" s="21" t="s">
        <v>96</v>
      </c>
      <c r="R228" s="21" t="s">
        <v>93</v>
      </c>
      <c r="S228" s="22">
        <v>514.397590398788</v>
      </c>
      <c r="T228" s="22">
        <v>138.24328303337</v>
      </c>
      <c r="U228" s="22">
        <v>3.52679689023545</v>
      </c>
      <c r="V228" s="22">
        <v>18.8160324391137</v>
      </c>
      <c r="W228" s="22">
        <v>4.33774508692175</v>
      </c>
      <c r="X228" s="22">
        <v>0.436039351817209</v>
      </c>
      <c r="Y228" s="22">
        <v>0.119745226878609</v>
      </c>
      <c r="Z228" s="22">
        <v>0.0209181790237299</v>
      </c>
      <c r="AA228" s="22">
        <v>0.144631182750228</v>
      </c>
      <c r="AB228" s="22">
        <v>0.541238888142077</v>
      </c>
      <c r="AC228" s="22">
        <v>0.120690461201777</v>
      </c>
      <c r="AD228" s="22">
        <v>0.145323913271173</v>
      </c>
      <c r="AE228" s="22">
        <v>0.545197283111762</v>
      </c>
      <c r="AF228" s="22">
        <v>0.136445968202548</v>
      </c>
      <c r="AG228" s="22">
        <v>0.16842380942407</v>
      </c>
      <c r="AH228" s="22">
        <v>0.391759025274767</v>
      </c>
      <c r="AI228" s="22">
        <v>10.0</v>
      </c>
      <c r="AJ228" s="22">
        <v>3.52679689023546</v>
      </c>
      <c r="AK228" s="22">
        <v>18.8160324391137</v>
      </c>
      <c r="AL228" s="22">
        <v>4.33774508692175</v>
      </c>
      <c r="AM228" s="22">
        <v>0.435991939360972</v>
      </c>
      <c r="AN228" s="22">
        <v>3.22846983714755</v>
      </c>
      <c r="AO228" s="22">
        <v>15.1119928943097</v>
      </c>
      <c r="AP228" s="22">
        <v>3.88741468000388</v>
      </c>
      <c r="AQ228" s="22">
        <v>0.545197283111762</v>
      </c>
      <c r="AR228" s="22">
        <v>3.64992964941817</v>
      </c>
      <c r="AS228" s="22">
        <v>20.298060601369</v>
      </c>
      <c r="AT228" s="22">
        <v>4.50533690209389</v>
      </c>
      <c r="AU228" s="22">
        <v>0.391759025274767</v>
      </c>
      <c r="AV228" s="23">
        <f t="shared" ref="AV228:AW228" si="459">(AC228-AC$289)/AC$290</f>
        <v>0.8627367383</v>
      </c>
      <c r="AW228" s="24">
        <f t="shared" si="459"/>
        <v>0.8067137685</v>
      </c>
      <c r="AX228" s="24">
        <f t="shared" si="5"/>
        <v>0.765080356</v>
      </c>
      <c r="AY228" s="25">
        <f t="shared" si="6"/>
        <v>0.695926666</v>
      </c>
      <c r="AZ228" s="23">
        <f t="shared" si="7"/>
        <v>0.9354366056</v>
      </c>
      <c r="BA228" s="25">
        <f t="shared" si="8"/>
        <v>0.8330329777</v>
      </c>
      <c r="BB228" s="23">
        <f t="shared" si="9"/>
        <v>0.4938867541</v>
      </c>
      <c r="BC228" s="24">
        <f t="shared" si="10"/>
        <v>0.5540475081</v>
      </c>
      <c r="BD228" s="25">
        <f t="shared" si="11"/>
        <v>0.7137534727</v>
      </c>
      <c r="BE228" s="26">
        <f t="shared" ref="BE228:BF228" si="460">((S228-S$289)/S$290)</f>
        <v>-0.08381289794</v>
      </c>
      <c r="BF228" s="26">
        <f t="shared" si="460"/>
        <v>-0.9382286162</v>
      </c>
    </row>
    <row r="229">
      <c r="A229" s="16" t="s">
        <v>67</v>
      </c>
      <c r="B229" s="20">
        <f t="shared" si="3"/>
        <v>-0.5360012013</v>
      </c>
      <c r="C229" s="16" t="s">
        <v>68</v>
      </c>
      <c r="D229" s="16" t="s">
        <v>69</v>
      </c>
      <c r="E229" s="16">
        <v>175.0</v>
      </c>
      <c r="F229" s="21" t="s">
        <v>102</v>
      </c>
      <c r="G229" s="16" t="s">
        <v>71</v>
      </c>
      <c r="H229" s="21" t="s">
        <v>103</v>
      </c>
      <c r="I229" s="21" t="s">
        <v>73</v>
      </c>
      <c r="J229" s="21" t="s">
        <v>83</v>
      </c>
      <c r="K229" s="21" t="s">
        <v>99</v>
      </c>
      <c r="L229" s="16" t="s">
        <v>90</v>
      </c>
      <c r="M229" s="21" t="s">
        <v>85</v>
      </c>
      <c r="N229" s="16" t="s">
        <v>91</v>
      </c>
      <c r="O229" s="16" t="s">
        <v>79</v>
      </c>
      <c r="P229" s="16" t="s">
        <v>80</v>
      </c>
      <c r="Q229" s="21" t="s">
        <v>104</v>
      </c>
      <c r="S229" s="22">
        <v>410.535796165466</v>
      </c>
      <c r="T229" s="22">
        <v>324.605465650558</v>
      </c>
      <c r="U229" s="22">
        <v>3.6075477241146</v>
      </c>
      <c r="V229" s="22">
        <v>19.0529176148368</v>
      </c>
      <c r="W229" s="22">
        <v>4.36496478964456</v>
      </c>
      <c r="X229" s="22">
        <v>0.425292302603166</v>
      </c>
      <c r="Y229" s="22">
        <v>0.119155935217995</v>
      </c>
      <c r="Z229" s="22">
        <v>0.0198410613348436</v>
      </c>
      <c r="AA229" s="22">
        <v>0.140858302328416</v>
      </c>
      <c r="AB229" s="22">
        <v>0.538195425333577</v>
      </c>
      <c r="AC229" s="22">
        <v>0.119640249893907</v>
      </c>
      <c r="AD229" s="22">
        <v>0.141214929508146</v>
      </c>
      <c r="AE229" s="22">
        <v>0.539373970709455</v>
      </c>
      <c r="AF229" s="22">
        <v>0.123732147820975</v>
      </c>
      <c r="AG229" s="22">
        <v>0.153137798019339</v>
      </c>
      <c r="AH229" s="22">
        <v>0.459950363697544</v>
      </c>
      <c r="AI229" s="22">
        <v>10.0</v>
      </c>
      <c r="AJ229" s="22">
        <v>3.60754772411462</v>
      </c>
      <c r="AK229" s="22">
        <v>19.0529176148368</v>
      </c>
      <c r="AL229" s="22">
        <v>4.36496478964456</v>
      </c>
      <c r="AM229" s="22">
        <v>0.425265520856249</v>
      </c>
      <c r="AN229" s="22">
        <v>3.31004691373159</v>
      </c>
      <c r="AO229" s="22">
        <v>15.2642300400956</v>
      </c>
      <c r="AP229" s="22">
        <v>3.90694638305872</v>
      </c>
      <c r="AQ229" s="22">
        <v>0.539373970709455</v>
      </c>
      <c r="AR229" s="22">
        <v>3.42325608971381</v>
      </c>
      <c r="AS229" s="22">
        <v>17.9505794133621</v>
      </c>
      <c r="AT229" s="22">
        <v>4.2368124118684</v>
      </c>
      <c r="AU229" s="22">
        <v>0.459950363697544</v>
      </c>
      <c r="AV229" s="23">
        <f t="shared" ref="AV229:AW229" si="461">(AC229-AC$289)/AC$290</f>
        <v>0.8217250174</v>
      </c>
      <c r="AW229" s="24">
        <f t="shared" si="461"/>
        <v>0.6742194641</v>
      </c>
      <c r="AX229" s="24">
        <f t="shared" si="5"/>
        <v>0.3776462747</v>
      </c>
      <c r="AY229" s="25">
        <f t="shared" si="6"/>
        <v>0.3047791633</v>
      </c>
      <c r="AZ229" s="23">
        <f t="shared" si="7"/>
        <v>1.084441441</v>
      </c>
      <c r="BA229" s="25">
        <f t="shared" si="8"/>
        <v>0.8744626109</v>
      </c>
      <c r="BB229" s="23">
        <f t="shared" si="9"/>
        <v>0.5198554377</v>
      </c>
      <c r="BC229" s="24">
        <f t="shared" si="10"/>
        <v>0.2094934675</v>
      </c>
      <c r="BD229" s="25">
        <f t="shared" si="11"/>
        <v>0.7773746612</v>
      </c>
      <c r="BE229" s="26">
        <f t="shared" ref="BE229:BF229" si="462">((S229-S$289)/S$290)</f>
        <v>-0.2832220119</v>
      </c>
      <c r="BF229" s="26">
        <f t="shared" si="462"/>
        <v>0.5352376883</v>
      </c>
    </row>
    <row r="230">
      <c r="A230" s="16" t="s">
        <v>82</v>
      </c>
      <c r="B230" s="20">
        <f t="shared" si="3"/>
        <v>-0.5470792953</v>
      </c>
      <c r="C230" s="16" t="s">
        <v>68</v>
      </c>
      <c r="D230" s="16" t="s">
        <v>69</v>
      </c>
      <c r="E230" s="16">
        <v>113.0</v>
      </c>
      <c r="F230" s="21" t="s">
        <v>70</v>
      </c>
      <c r="G230" s="16" t="s">
        <v>100</v>
      </c>
      <c r="H230" s="21" t="s">
        <v>101</v>
      </c>
      <c r="I230" s="21" t="s">
        <v>73</v>
      </c>
      <c r="J230" s="21" t="s">
        <v>83</v>
      </c>
      <c r="K230" s="21" t="s">
        <v>99</v>
      </c>
      <c r="L230" s="16" t="s">
        <v>90</v>
      </c>
      <c r="M230" s="21" t="s">
        <v>77</v>
      </c>
      <c r="N230" s="16" t="s">
        <v>78</v>
      </c>
      <c r="O230" s="16" t="s">
        <v>79</v>
      </c>
      <c r="P230" s="16" t="s">
        <v>80</v>
      </c>
      <c r="Q230" s="21" t="s">
        <v>94</v>
      </c>
      <c r="R230" s="21" t="s">
        <v>96</v>
      </c>
      <c r="S230" s="22">
        <v>234.025444507598</v>
      </c>
      <c r="T230" s="22">
        <v>128.749989509582</v>
      </c>
      <c r="U230" s="22">
        <v>3.59827051389809</v>
      </c>
      <c r="V230" s="22">
        <v>19.5251037523882</v>
      </c>
      <c r="W230" s="22">
        <v>4.41872195916288</v>
      </c>
      <c r="X230" s="22">
        <v>0.422409523395245</v>
      </c>
      <c r="Y230" s="22">
        <v>0.12918470777137</v>
      </c>
      <c r="Z230" s="22">
        <v>0.0242873875542602</v>
      </c>
      <c r="AA230" s="22">
        <v>0.15584411299199</v>
      </c>
      <c r="AB230" s="22">
        <v>0.473993963600172</v>
      </c>
      <c r="AC230" s="22">
        <v>0.130018624178802</v>
      </c>
      <c r="AD230" s="22">
        <v>0.156370926302976</v>
      </c>
      <c r="AE230" s="22">
        <v>0.479186945752838</v>
      </c>
      <c r="AF230" s="22">
        <v>0.134342881961308</v>
      </c>
      <c r="AG230" s="22">
        <v>0.16552181564527</v>
      </c>
      <c r="AH230" s="22">
        <v>0.42128059533315</v>
      </c>
      <c r="AI230" s="22">
        <v>10.0</v>
      </c>
      <c r="AJ230" s="22">
        <v>3.5982705138981</v>
      </c>
      <c r="AK230" s="22">
        <v>19.5251037523882</v>
      </c>
      <c r="AL230" s="22">
        <v>4.41872195916288</v>
      </c>
      <c r="AM230" s="22">
        <v>0.422324349412187</v>
      </c>
      <c r="AN230" s="22">
        <v>3.47799819678296</v>
      </c>
      <c r="AO230" s="22">
        <v>17.4968387888468</v>
      </c>
      <c r="AP230" s="22">
        <v>4.18292227860461</v>
      </c>
      <c r="AQ230" s="22">
        <v>0.479186945752838</v>
      </c>
      <c r="AR230" s="22">
        <v>3.59367209246499</v>
      </c>
      <c r="AS230" s="22">
        <v>19.6046031676654</v>
      </c>
      <c r="AT230" s="22">
        <v>4.42770856851097</v>
      </c>
      <c r="AU230" s="22">
        <v>0.42128059533315</v>
      </c>
      <c r="AV230" s="23">
        <f t="shared" ref="AV230:AW230" si="463">(AC230-AC$289)/AC$290</f>
        <v>1.227010113</v>
      </c>
      <c r="AW230" s="24">
        <f t="shared" si="463"/>
        <v>1.162925034</v>
      </c>
      <c r="AX230" s="24">
        <f t="shared" si="5"/>
        <v>0.668924038</v>
      </c>
      <c r="AY230" s="25">
        <f t="shared" si="6"/>
        <v>0.5828489769</v>
      </c>
      <c r="AZ230" s="23">
        <f t="shared" si="7"/>
        <v>1.067322743</v>
      </c>
      <c r="BA230" s="25">
        <f t="shared" si="8"/>
        <v>0.9562834829</v>
      </c>
      <c r="BB230" s="23">
        <f t="shared" si="9"/>
        <v>0.7882555675</v>
      </c>
      <c r="BC230" s="24">
        <f t="shared" si="10"/>
        <v>0.4048822844</v>
      </c>
      <c r="BD230" s="25">
        <f t="shared" si="11"/>
        <v>0.7948195169</v>
      </c>
      <c r="BE230" s="26">
        <f t="shared" ref="BE230:BF230" si="464">((S230-S$289)/S$290)</f>
        <v>-0.6221124874</v>
      </c>
      <c r="BF230" s="26">
        <f t="shared" si="464"/>
        <v>-1.013287021</v>
      </c>
    </row>
    <row r="231">
      <c r="A231" s="16" t="s">
        <v>67</v>
      </c>
      <c r="B231" s="20">
        <f t="shared" si="3"/>
        <v>-0.5627497116</v>
      </c>
      <c r="C231" s="16" t="s">
        <v>68</v>
      </c>
      <c r="D231" s="16" t="s">
        <v>69</v>
      </c>
      <c r="E231" s="16">
        <v>215.0</v>
      </c>
      <c r="F231" s="21" t="s">
        <v>102</v>
      </c>
      <c r="G231" s="16" t="s">
        <v>100</v>
      </c>
      <c r="H231" s="21" t="s">
        <v>105</v>
      </c>
      <c r="I231" s="21" t="s">
        <v>73</v>
      </c>
      <c r="J231" s="21" t="s">
        <v>74</v>
      </c>
      <c r="K231" s="21" t="s">
        <v>99</v>
      </c>
      <c r="L231" s="16" t="s">
        <v>90</v>
      </c>
      <c r="M231" s="21" t="s">
        <v>85</v>
      </c>
      <c r="N231" s="16" t="s">
        <v>95</v>
      </c>
      <c r="O231" s="16" t="s">
        <v>86</v>
      </c>
      <c r="P231" s="16" t="s">
        <v>80</v>
      </c>
      <c r="Q231" s="21" t="s">
        <v>104</v>
      </c>
      <c r="S231" s="22">
        <v>297.848135709762</v>
      </c>
      <c r="T231" s="22">
        <v>312.034494638443</v>
      </c>
      <c r="U231" s="22">
        <v>3.57365925555026</v>
      </c>
      <c r="V231" s="22">
        <v>19.2408320352578</v>
      </c>
      <c r="W231" s="22">
        <v>4.38643728272249</v>
      </c>
      <c r="X231" s="22">
        <v>0.418362273807232</v>
      </c>
      <c r="Y231" s="22">
        <v>0.105094836420107</v>
      </c>
      <c r="Z231" s="22">
        <v>0.0158152712300916</v>
      </c>
      <c r="AA231" s="22">
        <v>0.125758781920355</v>
      </c>
      <c r="AB231" s="22">
        <v>0.627070079376375</v>
      </c>
      <c r="AC231" s="22">
        <v>0.105883570523332</v>
      </c>
      <c r="AD231" s="22">
        <v>0.126353237512016</v>
      </c>
      <c r="AE231" s="22">
        <v>0.629455933143521</v>
      </c>
      <c r="AF231" s="22">
        <v>0.138419755893679</v>
      </c>
      <c r="AG231" s="22">
        <v>0.17015918376193</v>
      </c>
      <c r="AH231" s="22">
        <v>0.334190731328405</v>
      </c>
      <c r="AI231" s="22">
        <v>10.0</v>
      </c>
      <c r="AJ231" s="22">
        <v>3.57365925555029</v>
      </c>
      <c r="AK231" s="22">
        <v>19.2408320352578</v>
      </c>
      <c r="AL231" s="22">
        <v>4.38643728272249</v>
      </c>
      <c r="AM231" s="22">
        <v>0.418182412146686</v>
      </c>
      <c r="AN231" s="22">
        <v>2.9294454511456</v>
      </c>
      <c r="AO231" s="22">
        <v>12.2204281998304</v>
      </c>
      <c r="AP231" s="22">
        <v>3.49577290449914</v>
      </c>
      <c r="AQ231" s="22">
        <v>0.629455933143521</v>
      </c>
      <c r="AR231" s="22">
        <v>3.82961324639203</v>
      </c>
      <c r="AS231" s="22">
        <v>22.1627915913144</v>
      </c>
      <c r="AT231" s="22">
        <v>4.70773741741342</v>
      </c>
      <c r="AU231" s="22">
        <v>0.334190731328405</v>
      </c>
      <c r="AV231" s="23">
        <f t="shared" ref="AV231:AW231" si="465">(AC231-AC$289)/AC$290</f>
        <v>0.2845139901</v>
      </c>
      <c r="AW231" s="24">
        <f t="shared" si="465"/>
        <v>0.1950037609</v>
      </c>
      <c r="AX231" s="24">
        <f t="shared" si="5"/>
        <v>1.07219844</v>
      </c>
      <c r="AY231" s="25">
        <f t="shared" si="6"/>
        <v>0.9907543595</v>
      </c>
      <c r="AZ231" s="23">
        <f t="shared" si="7"/>
        <v>1.021909013</v>
      </c>
      <c r="BA231" s="25">
        <f t="shared" si="8"/>
        <v>0.907144728</v>
      </c>
      <c r="BB231" s="23">
        <f t="shared" si="9"/>
        <v>0.1181407752</v>
      </c>
      <c r="BC231" s="24">
        <f t="shared" si="10"/>
        <v>0.8449259209</v>
      </c>
      <c r="BD231" s="25">
        <f t="shared" si="11"/>
        <v>0.8193864281</v>
      </c>
      <c r="BE231" s="26">
        <f t="shared" ref="BE231:BF231" si="466">((S231-S$289)/S$290)</f>
        <v>-0.4995763191</v>
      </c>
      <c r="BF231" s="26">
        <f t="shared" si="466"/>
        <v>0.4358457305</v>
      </c>
    </row>
    <row r="232">
      <c r="A232" s="16" t="s">
        <v>82</v>
      </c>
      <c r="B232" s="20">
        <f t="shared" si="3"/>
        <v>-0.5664342962</v>
      </c>
      <c r="C232" s="16" t="s">
        <v>68</v>
      </c>
      <c r="D232" s="16" t="s">
        <v>69</v>
      </c>
      <c r="E232" s="16">
        <v>206.0</v>
      </c>
      <c r="F232" s="21" t="s">
        <v>102</v>
      </c>
      <c r="G232" s="16" t="s">
        <v>71</v>
      </c>
      <c r="H232" s="21" t="s">
        <v>103</v>
      </c>
      <c r="I232" s="21" t="s">
        <v>88</v>
      </c>
      <c r="J232" s="21" t="s">
        <v>74</v>
      </c>
      <c r="K232" s="21" t="s">
        <v>99</v>
      </c>
      <c r="L232" s="16" t="s">
        <v>90</v>
      </c>
      <c r="M232" s="21" t="s">
        <v>85</v>
      </c>
      <c r="N232" s="16" t="s">
        <v>78</v>
      </c>
      <c r="O232" s="16" t="s">
        <v>92</v>
      </c>
      <c r="P232" s="16" t="s">
        <v>80</v>
      </c>
      <c r="Q232" s="21" t="s">
        <v>94</v>
      </c>
      <c r="S232" s="22">
        <v>619.833890676498</v>
      </c>
      <c r="T232" s="22">
        <v>322.767949104309</v>
      </c>
      <c r="U232" s="22">
        <v>3.50046402898364</v>
      </c>
      <c r="V232" s="22">
        <v>18.2062264364558</v>
      </c>
      <c r="W232" s="22">
        <v>4.26687548874534</v>
      </c>
      <c r="X232" s="22">
        <v>0.450828922776882</v>
      </c>
      <c r="Y232" s="22">
        <v>0.104587233019387</v>
      </c>
      <c r="Z232" s="22">
        <v>0.0155357831230187</v>
      </c>
      <c r="AA232" s="22">
        <v>0.124642621614834</v>
      </c>
      <c r="AB232" s="22">
        <v>0.636590196204</v>
      </c>
      <c r="AC232" s="22">
        <v>0.10503651815558</v>
      </c>
      <c r="AD232" s="22">
        <v>0.124976447122623</v>
      </c>
      <c r="AE232" s="22">
        <v>0.637529113572526</v>
      </c>
      <c r="AF232" s="22">
        <v>0.138433715829084</v>
      </c>
      <c r="AG232" s="22">
        <v>0.169652024812267</v>
      </c>
      <c r="AH232" s="22">
        <v>0.338104387740047</v>
      </c>
      <c r="AI232" s="22">
        <v>10.0</v>
      </c>
      <c r="AJ232" s="22">
        <v>3.50046402898365</v>
      </c>
      <c r="AK232" s="22">
        <v>18.2062264364558</v>
      </c>
      <c r="AL232" s="22">
        <v>4.26687548874534</v>
      </c>
      <c r="AM232" s="22">
        <v>0.45063068580336</v>
      </c>
      <c r="AN232" s="22">
        <v>2.90601033563771</v>
      </c>
      <c r="AO232" s="22">
        <v>11.9555627642809</v>
      </c>
      <c r="AP232" s="22">
        <v>3.45768170372591</v>
      </c>
      <c r="AQ232" s="22">
        <v>0.637529113572526</v>
      </c>
      <c r="AR232" s="22">
        <v>3.82999947127158</v>
      </c>
      <c r="AS232" s="22">
        <v>22.0308762003637</v>
      </c>
      <c r="AT232" s="22">
        <v>4.69370601980607</v>
      </c>
      <c r="AU232" s="22">
        <v>0.338104387740047</v>
      </c>
      <c r="AV232" s="23">
        <f t="shared" ref="AV232:AW232" si="467">(AC232-AC$289)/AC$290</f>
        <v>0.2514358133</v>
      </c>
      <c r="AW232" s="24">
        <f t="shared" si="467"/>
        <v>0.1506091136</v>
      </c>
      <c r="AX232" s="24">
        <f t="shared" si="5"/>
        <v>1.072858582</v>
      </c>
      <c r="AY232" s="25">
        <f t="shared" si="6"/>
        <v>0.970315456</v>
      </c>
      <c r="AZ232" s="23">
        <f t="shared" si="7"/>
        <v>0.8868461023</v>
      </c>
      <c r="BA232" s="25">
        <f t="shared" si="8"/>
        <v>0.7251662062</v>
      </c>
      <c r="BB232" s="23">
        <f t="shared" si="9"/>
        <v>0.08213895128</v>
      </c>
      <c r="BC232" s="24">
        <f t="shared" si="10"/>
        <v>0.8251511788</v>
      </c>
      <c r="BD232" s="25">
        <f t="shared" si="11"/>
        <v>0.6269272457</v>
      </c>
      <c r="BE232" s="26">
        <f t="shared" ref="BE232:BF232" si="468">((S232-S$289)/S$290)</f>
        <v>0.1186191838</v>
      </c>
      <c r="BF232" s="26">
        <f t="shared" si="468"/>
        <v>0.5207094258</v>
      </c>
    </row>
    <row r="233">
      <c r="A233" s="16" t="s">
        <v>82</v>
      </c>
      <c r="B233" s="20">
        <f t="shared" si="3"/>
        <v>-0.5708119786</v>
      </c>
      <c r="C233" s="16" t="s">
        <v>68</v>
      </c>
      <c r="D233" s="16" t="s">
        <v>69</v>
      </c>
      <c r="E233" s="16">
        <v>124.0</v>
      </c>
      <c r="F233" s="21" t="s">
        <v>70</v>
      </c>
      <c r="G233" s="16" t="s">
        <v>100</v>
      </c>
      <c r="H233" s="21" t="s">
        <v>101</v>
      </c>
      <c r="I233" s="21" t="s">
        <v>73</v>
      </c>
      <c r="J233" s="21" t="s">
        <v>83</v>
      </c>
      <c r="K233" s="21" t="s">
        <v>99</v>
      </c>
      <c r="L233" s="16" t="s">
        <v>76</v>
      </c>
      <c r="M233" s="21" t="s">
        <v>77</v>
      </c>
      <c r="N233" s="16" t="s">
        <v>78</v>
      </c>
      <c r="O233" s="16" t="s">
        <v>86</v>
      </c>
      <c r="P233" s="16" t="s">
        <v>80</v>
      </c>
      <c r="Q233" s="21" t="s">
        <v>94</v>
      </c>
      <c r="R233" s="21" t="s">
        <v>81</v>
      </c>
      <c r="S233" s="22">
        <v>302.741795539855</v>
      </c>
      <c r="T233" s="22">
        <v>135.151999235153</v>
      </c>
      <c r="U233" s="22">
        <v>3.55274034273757</v>
      </c>
      <c r="V233" s="22">
        <v>20.1348376655753</v>
      </c>
      <c r="W233" s="22">
        <v>4.48718594060635</v>
      </c>
      <c r="X233" s="22">
        <v>0.404415176415003</v>
      </c>
      <c r="Y233" s="22">
        <v>0.119078180940302</v>
      </c>
      <c r="Z233" s="22">
        <v>0.0218940157266968</v>
      </c>
      <c r="AA233" s="22">
        <v>0.147966265502299</v>
      </c>
      <c r="AB233" s="22">
        <v>0.525828605174325</v>
      </c>
      <c r="AC233" s="22">
        <v>0.120150448654933</v>
      </c>
      <c r="AD233" s="22">
        <v>0.148760934905775</v>
      </c>
      <c r="AE233" s="22">
        <v>0.528645517141893</v>
      </c>
      <c r="AF233" s="22">
        <v>0.137722416379609</v>
      </c>
      <c r="AG233" s="22">
        <v>0.174138260993103</v>
      </c>
      <c r="AH233" s="22">
        <v>0.359460424261414</v>
      </c>
      <c r="AI233" s="22">
        <v>10.0</v>
      </c>
      <c r="AJ233" s="22">
        <v>3.55274034273758</v>
      </c>
      <c r="AK233" s="22">
        <v>20.1348376655753</v>
      </c>
      <c r="AL233" s="22">
        <v>4.48718594060635</v>
      </c>
      <c r="AM233" s="22">
        <v>0.404284576643108</v>
      </c>
      <c r="AN233" s="22">
        <v>3.21402450151947</v>
      </c>
      <c r="AO233" s="22">
        <v>15.8352662855003</v>
      </c>
      <c r="AP233" s="22">
        <v>3.97935500872947</v>
      </c>
      <c r="AQ233" s="22">
        <v>0.528645517141893</v>
      </c>
      <c r="AR233" s="22">
        <v>3.68407463815454</v>
      </c>
      <c r="AS233" s="22">
        <v>21.6988130936593</v>
      </c>
      <c r="AT233" s="22">
        <v>4.65819848156552</v>
      </c>
      <c r="AU233" s="22">
        <v>0.359460424261414</v>
      </c>
      <c r="AV233" s="23">
        <f t="shared" ref="AV233:AW233" si="469">(AC233-AC$289)/AC$290</f>
        <v>0.8416487499</v>
      </c>
      <c r="AW233" s="24">
        <f t="shared" si="469"/>
        <v>0.9175406339</v>
      </c>
      <c r="AX233" s="24">
        <f t="shared" si="5"/>
        <v>0.8234415181</v>
      </c>
      <c r="AY233" s="25">
        <f t="shared" si="6"/>
        <v>0.918593228</v>
      </c>
      <c r="AZ233" s="23">
        <f t="shared" si="7"/>
        <v>0.9833085555</v>
      </c>
      <c r="BA233" s="25">
        <f t="shared" si="8"/>
        <v>1.060488796</v>
      </c>
      <c r="BB233" s="23">
        <f t="shared" si="9"/>
        <v>0.5676982798</v>
      </c>
      <c r="BC233" s="24">
        <f t="shared" si="10"/>
        <v>0.7172443853</v>
      </c>
      <c r="BD233" s="25">
        <f t="shared" si="11"/>
        <v>0.9018181188</v>
      </c>
      <c r="BE233" s="26">
        <f t="shared" ref="BE233:BF233" si="470">((S233-S$289)/S$290)</f>
        <v>-0.4901807528</v>
      </c>
      <c r="BF233" s="26">
        <f t="shared" si="470"/>
        <v>-0.9626697472</v>
      </c>
    </row>
    <row r="234">
      <c r="A234" s="16" t="s">
        <v>82</v>
      </c>
      <c r="B234" s="20">
        <f t="shared" si="3"/>
        <v>-0.5762016103</v>
      </c>
      <c r="C234" s="16" t="s">
        <v>68</v>
      </c>
      <c r="D234" s="16" t="s">
        <v>69</v>
      </c>
      <c r="E234" s="16">
        <v>200.0</v>
      </c>
      <c r="F234" s="21" t="s">
        <v>102</v>
      </c>
      <c r="G234" s="16" t="s">
        <v>71</v>
      </c>
      <c r="H234" s="21" t="s">
        <v>103</v>
      </c>
      <c r="I234" s="21" t="s">
        <v>73</v>
      </c>
      <c r="J234" s="21" t="s">
        <v>83</v>
      </c>
      <c r="K234" s="21" t="s">
        <v>99</v>
      </c>
      <c r="L234" s="16" t="s">
        <v>76</v>
      </c>
      <c r="M234" s="21" t="s">
        <v>85</v>
      </c>
      <c r="N234" s="16" t="s">
        <v>78</v>
      </c>
      <c r="O234" s="16" t="s">
        <v>79</v>
      </c>
      <c r="P234" s="16" t="s">
        <v>80</v>
      </c>
      <c r="Q234" s="21" t="s">
        <v>81</v>
      </c>
      <c r="S234" s="22">
        <v>312.072355270385</v>
      </c>
      <c r="T234" s="22">
        <v>393.463974952697</v>
      </c>
      <c r="U234" s="22">
        <v>3.428931272778</v>
      </c>
      <c r="V234" s="22">
        <v>17.6894921892128</v>
      </c>
      <c r="W234" s="22">
        <v>4.20588780035949</v>
      </c>
      <c r="X234" s="22">
        <v>0.466443187292955</v>
      </c>
      <c r="Y234" s="22">
        <v>0.112106978360493</v>
      </c>
      <c r="Z234" s="22">
        <v>0.0179985437132582</v>
      </c>
      <c r="AA234" s="22">
        <v>0.134158651279961</v>
      </c>
      <c r="AB234" s="22">
        <v>0.581080382553953</v>
      </c>
      <c r="AC234" s="22">
        <v>0.112613228240639</v>
      </c>
      <c r="AD234" s="22">
        <v>0.134543064583261</v>
      </c>
      <c r="AE234" s="22">
        <v>0.581871394622602</v>
      </c>
      <c r="AF234" s="22">
        <v>0.134819601455337</v>
      </c>
      <c r="AG234" s="22">
        <v>0.166775016878203</v>
      </c>
      <c r="AH234" s="22">
        <v>0.359482693931892</v>
      </c>
      <c r="AI234" s="22">
        <v>10.0</v>
      </c>
      <c r="AJ234" s="22">
        <v>3.42893127277801</v>
      </c>
      <c r="AK234" s="22">
        <v>17.6894921892128</v>
      </c>
      <c r="AL234" s="22">
        <v>4.20588780035949</v>
      </c>
      <c r="AM234" s="22">
        <v>0.466393479192517</v>
      </c>
      <c r="AN234" s="22">
        <v>3.1156326479911</v>
      </c>
      <c r="AO234" s="22">
        <v>13.855949974549</v>
      </c>
      <c r="AP234" s="22">
        <v>3.72235812013689</v>
      </c>
      <c r="AQ234" s="22">
        <v>0.581871394622602</v>
      </c>
      <c r="AR234" s="22">
        <v>3.73000897359791</v>
      </c>
      <c r="AS234" s="22">
        <v>21.2900000209778</v>
      </c>
      <c r="AT234" s="22">
        <v>4.61410880029696</v>
      </c>
      <c r="AU234" s="22">
        <v>0.359482693931892</v>
      </c>
      <c r="AV234" s="23">
        <f t="shared" ref="AV234:AW234" si="471">(AC234-AC$289)/AC$290</f>
        <v>0.5473133357</v>
      </c>
      <c r="AW234" s="24">
        <f t="shared" si="471"/>
        <v>0.4590849799</v>
      </c>
      <c r="AX234" s="24">
        <f t="shared" si="5"/>
        <v>0.9019532204</v>
      </c>
      <c r="AY234" s="25">
        <f t="shared" si="6"/>
        <v>0.8543697797</v>
      </c>
      <c r="AZ234" s="23">
        <f t="shared" si="7"/>
        <v>0.7548508516</v>
      </c>
      <c r="BA234" s="25">
        <f t="shared" si="8"/>
        <v>0.6323401536</v>
      </c>
      <c r="BB234" s="23">
        <f t="shared" si="9"/>
        <v>0.3303409351</v>
      </c>
      <c r="BC234" s="24">
        <f t="shared" si="10"/>
        <v>0.7171318621</v>
      </c>
      <c r="BD234" s="25">
        <f t="shared" si="11"/>
        <v>0.5334340029</v>
      </c>
      <c r="BE234" s="26">
        <f t="shared" ref="BE234:BF234" si="472">((S234-S$289)/S$290)</f>
        <v>-0.472266575</v>
      </c>
      <c r="BF234" s="26">
        <f t="shared" si="472"/>
        <v>1.079665167</v>
      </c>
    </row>
    <row r="235">
      <c r="A235" s="16" t="s">
        <v>82</v>
      </c>
      <c r="B235" s="20">
        <f t="shared" si="3"/>
        <v>-0.5853852349</v>
      </c>
      <c r="C235" s="16" t="s">
        <v>68</v>
      </c>
      <c r="D235" s="16" t="s">
        <v>69</v>
      </c>
      <c r="E235" s="16">
        <v>191.0</v>
      </c>
      <c r="F235" s="21" t="s">
        <v>102</v>
      </c>
      <c r="G235" s="16" t="s">
        <v>71</v>
      </c>
      <c r="H235" s="21" t="s">
        <v>103</v>
      </c>
      <c r="I235" s="21" t="s">
        <v>88</v>
      </c>
      <c r="J235" s="21" t="s">
        <v>83</v>
      </c>
      <c r="K235" s="21" t="s">
        <v>99</v>
      </c>
      <c r="L235" s="16" t="s">
        <v>76</v>
      </c>
      <c r="M235" s="21" t="s">
        <v>77</v>
      </c>
      <c r="N235" s="16" t="s">
        <v>78</v>
      </c>
      <c r="O235" s="16" t="s">
        <v>86</v>
      </c>
      <c r="P235" s="16" t="s">
        <v>80</v>
      </c>
      <c r="Q235" s="21" t="s">
        <v>94</v>
      </c>
      <c r="R235" s="21" t="s">
        <v>94</v>
      </c>
      <c r="S235" s="22">
        <v>952.563461065292</v>
      </c>
      <c r="T235" s="22">
        <v>344.397463798522</v>
      </c>
      <c r="U235" s="22">
        <v>3.3764402602442</v>
      </c>
      <c r="V235" s="22">
        <v>17.2560427324654</v>
      </c>
      <c r="W235" s="22">
        <v>4.15403932726514</v>
      </c>
      <c r="X235" s="22">
        <v>0.479405766813304</v>
      </c>
      <c r="Y235" s="22">
        <v>0.11931172426389</v>
      </c>
      <c r="Z235" s="22">
        <v>0.0205441941212936</v>
      </c>
      <c r="AA235" s="22">
        <v>0.143332460110379</v>
      </c>
      <c r="AB235" s="22">
        <v>0.519434489034272</v>
      </c>
      <c r="AC235" s="22">
        <v>0.119808806385844</v>
      </c>
      <c r="AD235" s="22">
        <v>0.143680576360286</v>
      </c>
      <c r="AE235" s="22">
        <v>0.520914634967708</v>
      </c>
      <c r="AF235" s="22">
        <v>0.12492110852493</v>
      </c>
      <c r="AG235" s="22">
        <v>0.155673642719958</v>
      </c>
      <c r="AH235" s="22">
        <v>0.442683907828783</v>
      </c>
      <c r="AI235" s="22">
        <v>10.0</v>
      </c>
      <c r="AJ235" s="22">
        <v>3.37644026024421</v>
      </c>
      <c r="AK235" s="22">
        <v>17.2560427324654</v>
      </c>
      <c r="AL235" s="22">
        <v>4.15403932726514</v>
      </c>
      <c r="AM235" s="22">
        <v>0.479302292829887</v>
      </c>
      <c r="AN235" s="22">
        <v>3.31471031000854</v>
      </c>
      <c r="AO235" s="22">
        <v>15.8019177968878</v>
      </c>
      <c r="AP235" s="22">
        <v>3.97516261263458</v>
      </c>
      <c r="AQ235" s="22">
        <v>0.520914634967708</v>
      </c>
      <c r="AR235" s="22">
        <v>3.45615066918993</v>
      </c>
      <c r="AS235" s="22">
        <v>18.5499973163026</v>
      </c>
      <c r="AT235" s="22">
        <v>4.30697078191884</v>
      </c>
      <c r="AU235" s="22">
        <v>0.442683907828783</v>
      </c>
      <c r="AV235" s="23">
        <f t="shared" ref="AV235:AW235" si="473">(AC235-AC$289)/AC$290</f>
        <v>0.828307304</v>
      </c>
      <c r="AW235" s="24">
        <f t="shared" si="473"/>
        <v>0.7537243206</v>
      </c>
      <c r="AX235" s="24">
        <f t="shared" si="5"/>
        <v>0.4338702171</v>
      </c>
      <c r="AY235" s="25">
        <f t="shared" si="6"/>
        <v>0.4069756937</v>
      </c>
      <c r="AZ235" s="23">
        <f t="shared" si="7"/>
        <v>0.6579922272</v>
      </c>
      <c r="BA235" s="25">
        <f t="shared" si="8"/>
        <v>0.5534244048</v>
      </c>
      <c r="BB235" s="23">
        <f t="shared" si="9"/>
        <v>0.6021736469</v>
      </c>
      <c r="BC235" s="24">
        <f t="shared" si="10"/>
        <v>0.296736617</v>
      </c>
      <c r="BD235" s="25">
        <f t="shared" si="11"/>
        <v>0.4568684591</v>
      </c>
      <c r="BE235" s="26">
        <f t="shared" ref="BE235:BF235" si="474">((S235-S$289)/S$290)</f>
        <v>0.7574422402</v>
      </c>
      <c r="BF235" s="26">
        <f t="shared" si="474"/>
        <v>0.6917224534</v>
      </c>
    </row>
    <row r="236">
      <c r="A236" s="16" t="s">
        <v>82</v>
      </c>
      <c r="B236" s="20">
        <f t="shared" si="3"/>
        <v>-0.6033467487</v>
      </c>
      <c r="C236" s="16" t="s">
        <v>68</v>
      </c>
      <c r="D236" s="16" t="s">
        <v>69</v>
      </c>
      <c r="E236" s="16">
        <v>265.0</v>
      </c>
      <c r="F236" s="21" t="s">
        <v>102</v>
      </c>
      <c r="G236" s="16" t="s">
        <v>100</v>
      </c>
      <c r="H236" s="21" t="s">
        <v>105</v>
      </c>
      <c r="I236" s="21" t="s">
        <v>73</v>
      </c>
      <c r="J236" s="21" t="s">
        <v>74</v>
      </c>
      <c r="K236" s="21" t="s">
        <v>99</v>
      </c>
      <c r="L236" s="16" t="s">
        <v>76</v>
      </c>
      <c r="M236" s="21" t="s">
        <v>85</v>
      </c>
      <c r="N236" s="16" t="s">
        <v>78</v>
      </c>
      <c r="O236" s="16" t="s">
        <v>92</v>
      </c>
      <c r="P236" s="16" t="s">
        <v>80</v>
      </c>
      <c r="Q236" s="21" t="s">
        <v>94</v>
      </c>
      <c r="S236" s="22">
        <v>479.539823293685</v>
      </c>
      <c r="T236" s="22">
        <v>315.885902643203</v>
      </c>
      <c r="U236" s="22">
        <v>3.57684515012866</v>
      </c>
      <c r="V236" s="22">
        <v>19.2672135857012</v>
      </c>
      <c r="W236" s="22">
        <v>4.3894434255041</v>
      </c>
      <c r="X236" s="22">
        <v>0.417602176568865</v>
      </c>
      <c r="Y236" s="22">
        <v>0.102946350986106</v>
      </c>
      <c r="Z236" s="22">
        <v>0.0149885766824611</v>
      </c>
      <c r="AA236" s="22">
        <v>0.122427842758341</v>
      </c>
      <c r="AB236" s="22">
        <v>0.646563841294363</v>
      </c>
      <c r="AC236" s="22">
        <v>0.103611861892371</v>
      </c>
      <c r="AD236" s="22">
        <v>0.12288868939842</v>
      </c>
      <c r="AE236" s="22">
        <v>0.649497644932676</v>
      </c>
      <c r="AF236" s="22">
        <v>0.140796065859814</v>
      </c>
      <c r="AG236" s="22">
        <v>0.173021951139246</v>
      </c>
      <c r="AH236" s="22">
        <v>0.311599051993464</v>
      </c>
      <c r="AI236" s="22">
        <v>10.0</v>
      </c>
      <c r="AJ236" s="22">
        <v>3.57684515012868</v>
      </c>
      <c r="AK236" s="22">
        <v>19.2672135857012</v>
      </c>
      <c r="AL236" s="22">
        <v>4.38944342550411</v>
      </c>
      <c r="AM236" s="22">
        <v>0.417384668576415</v>
      </c>
      <c r="AN236" s="22">
        <v>2.86659484568901</v>
      </c>
      <c r="AO236" s="22">
        <v>11.5594587718246</v>
      </c>
      <c r="AP236" s="22">
        <v>3.39992040668963</v>
      </c>
      <c r="AQ236" s="22">
        <v>0.649497644932676</v>
      </c>
      <c r="AR236" s="22">
        <v>3.89535782212178</v>
      </c>
      <c r="AS236" s="22">
        <v>22.9148007692537</v>
      </c>
      <c r="AT236" s="22">
        <v>4.78694064818582</v>
      </c>
      <c r="AU236" s="22">
        <v>0.311599051993464</v>
      </c>
      <c r="AV236" s="23">
        <f t="shared" ref="AV236:AW236" si="475">(AC236-AC$289)/AC$290</f>
        <v>0.1958016712</v>
      </c>
      <c r="AW236" s="24">
        <f t="shared" si="475"/>
        <v>0.08328930335</v>
      </c>
      <c r="AX236" s="24">
        <f t="shared" si="5"/>
        <v>1.184570123</v>
      </c>
      <c r="AY236" s="25">
        <f t="shared" si="6"/>
        <v>1.10612613</v>
      </c>
      <c r="AZ236" s="23">
        <f t="shared" si="7"/>
        <v>1.02778776</v>
      </c>
      <c r="BA236" s="25">
        <f t="shared" si="8"/>
        <v>0.9117202149</v>
      </c>
      <c r="BB236" s="23">
        <f t="shared" si="9"/>
        <v>0.0287660628</v>
      </c>
      <c r="BC236" s="24">
        <f t="shared" si="10"/>
        <v>0.9590761133</v>
      </c>
      <c r="BD236" s="25">
        <f t="shared" si="11"/>
        <v>0.8241180535</v>
      </c>
      <c r="BE236" s="26">
        <f t="shared" ref="BE236:BF236" si="476">((S236-S$289)/S$290)</f>
        <v>-0.1507379545</v>
      </c>
      <c r="BF236" s="26">
        <f t="shared" si="476"/>
        <v>0.4662967578</v>
      </c>
    </row>
    <row r="237">
      <c r="A237" s="16" t="s">
        <v>82</v>
      </c>
      <c r="B237" s="20">
        <f t="shared" si="3"/>
        <v>-0.6082371314</v>
      </c>
      <c r="C237" s="16" t="s">
        <v>68</v>
      </c>
      <c r="D237" s="16" t="s">
        <v>69</v>
      </c>
      <c r="E237" s="16">
        <v>199.0</v>
      </c>
      <c r="F237" s="21" t="s">
        <v>102</v>
      </c>
      <c r="G237" s="16" t="s">
        <v>71</v>
      </c>
      <c r="H237" s="21" t="s">
        <v>103</v>
      </c>
      <c r="I237" s="21" t="s">
        <v>88</v>
      </c>
      <c r="J237" s="21" t="s">
        <v>97</v>
      </c>
      <c r="K237" s="21" t="s">
        <v>99</v>
      </c>
      <c r="L237" s="16" t="s">
        <v>76</v>
      </c>
      <c r="M237" s="21" t="s">
        <v>77</v>
      </c>
      <c r="N237" s="16" t="s">
        <v>78</v>
      </c>
      <c r="O237" s="16" t="s">
        <v>86</v>
      </c>
      <c r="P237" s="16" t="s">
        <v>80</v>
      </c>
      <c r="Q237" s="21" t="s">
        <v>94</v>
      </c>
      <c r="R237" s="21" t="s">
        <v>81</v>
      </c>
      <c r="S237" s="22">
        <v>837.75645494461</v>
      </c>
      <c r="T237" s="22">
        <v>337.869320869445</v>
      </c>
      <c r="U237" s="22">
        <v>3.40226172706114</v>
      </c>
      <c r="V237" s="22">
        <v>17.3273016864527</v>
      </c>
      <c r="W237" s="22">
        <v>4.16260755854461</v>
      </c>
      <c r="X237" s="22">
        <v>0.477291538725192</v>
      </c>
      <c r="Y237" s="22">
        <v>0.11658206156447</v>
      </c>
      <c r="Z237" s="22">
        <v>0.0193358826950342</v>
      </c>
      <c r="AA237" s="22">
        <v>0.139053524568901</v>
      </c>
      <c r="AB237" s="22">
        <v>0.547699058310524</v>
      </c>
      <c r="AC237" s="22">
        <v>0.116964948336685</v>
      </c>
      <c r="AD237" s="22">
        <v>0.13927995524845</v>
      </c>
      <c r="AE237" s="22">
        <v>0.549811892082363</v>
      </c>
      <c r="AF237" s="22">
        <v>0.131876220631394</v>
      </c>
      <c r="AG237" s="22">
        <v>0.162184784724852</v>
      </c>
      <c r="AH237" s="22">
        <v>0.395088801094067</v>
      </c>
      <c r="AI237" s="22">
        <v>10.0</v>
      </c>
      <c r="AJ237" s="22">
        <v>3.40226172706115</v>
      </c>
      <c r="AK237" s="22">
        <v>17.3273016864527</v>
      </c>
      <c r="AL237" s="22">
        <v>4.16260755854461</v>
      </c>
      <c r="AM237" s="22">
        <v>0.477152067860478</v>
      </c>
      <c r="AN237" s="22">
        <v>3.23603023731511</v>
      </c>
      <c r="AO237" s="22">
        <v>14.8487847754887</v>
      </c>
      <c r="AP237" s="22">
        <v>3.85341209520715</v>
      </c>
      <c r="AQ237" s="22">
        <v>0.549811892082363</v>
      </c>
      <c r="AR237" s="22">
        <v>3.6485754374688</v>
      </c>
      <c r="AS237" s="22">
        <v>20.1341774873048</v>
      </c>
      <c r="AT237" s="22">
        <v>4.48711237738758</v>
      </c>
      <c r="AU237" s="22">
        <v>0.395088801094067</v>
      </c>
      <c r="AV237" s="23">
        <f t="shared" ref="AV237:AW237" si="477">(AC237-AC$289)/AC$290</f>
        <v>0.7172520222</v>
      </c>
      <c r="AW237" s="24">
        <f t="shared" si="477"/>
        <v>0.6118261612</v>
      </c>
      <c r="AX237" s="24">
        <f t="shared" si="5"/>
        <v>0.7627657153</v>
      </c>
      <c r="AY237" s="25">
        <f t="shared" si="6"/>
        <v>0.6693798235</v>
      </c>
      <c r="AZ237" s="23">
        <f t="shared" si="7"/>
        <v>0.705639084</v>
      </c>
      <c r="BA237" s="25">
        <f t="shared" si="8"/>
        <v>0.5664656449</v>
      </c>
      <c r="BB237" s="23">
        <f t="shared" si="9"/>
        <v>0.4733082051</v>
      </c>
      <c r="BC237" s="24">
        <f t="shared" si="10"/>
        <v>0.5372229708</v>
      </c>
      <c r="BD237" s="25">
        <f t="shared" si="11"/>
        <v>0.4696220048</v>
      </c>
      <c r="BE237" s="26">
        <f t="shared" ref="BE237:BF237" si="478">((S237-S$289)/S$290)</f>
        <v>0.5370189022</v>
      </c>
      <c r="BF237" s="26">
        <f t="shared" si="478"/>
        <v>0.6401079118</v>
      </c>
    </row>
    <row r="238">
      <c r="A238" s="16" t="s">
        <v>67</v>
      </c>
      <c r="B238" s="20">
        <f t="shared" si="3"/>
        <v>-0.6215814554</v>
      </c>
      <c r="C238" s="16" t="s">
        <v>68</v>
      </c>
      <c r="D238" s="16" t="s">
        <v>69</v>
      </c>
      <c r="E238" s="16">
        <v>219.0</v>
      </c>
      <c r="F238" s="21" t="s">
        <v>102</v>
      </c>
      <c r="G238" s="16" t="s">
        <v>100</v>
      </c>
      <c r="H238" s="21" t="s">
        <v>105</v>
      </c>
      <c r="I238" s="21" t="s">
        <v>88</v>
      </c>
      <c r="J238" s="21" t="s">
        <v>97</v>
      </c>
      <c r="K238" s="21" t="s">
        <v>75</v>
      </c>
      <c r="L238" s="16" t="s">
        <v>84</v>
      </c>
      <c r="M238" s="21" t="s">
        <v>77</v>
      </c>
      <c r="N238" s="16" t="s">
        <v>95</v>
      </c>
      <c r="O238" s="16" t="s">
        <v>79</v>
      </c>
      <c r="P238" s="16" t="s">
        <v>80</v>
      </c>
      <c r="Q238" s="21" t="s">
        <v>87</v>
      </c>
      <c r="R238" s="21" t="s">
        <v>89</v>
      </c>
      <c r="S238" s="22">
        <v>1505.62804794311</v>
      </c>
      <c r="T238" s="22">
        <v>454.599970579147</v>
      </c>
      <c r="U238" s="22">
        <v>3.0572407779059</v>
      </c>
      <c r="V238" s="22">
        <v>14.730925220376</v>
      </c>
      <c r="W238" s="22">
        <v>3.83808874576605</v>
      </c>
      <c r="X238" s="22">
        <v>0.554614151334179</v>
      </c>
      <c r="Y238" s="22">
        <v>0.104877212866972</v>
      </c>
      <c r="Z238" s="22">
        <v>0.0164641400639301</v>
      </c>
      <c r="AA238" s="22">
        <v>0.128312665251448</v>
      </c>
      <c r="AB238" s="22">
        <v>0.609628390354391</v>
      </c>
      <c r="AC238" s="22">
        <v>0.10599710467427</v>
      </c>
      <c r="AD238" s="22">
        <v>0.129301571739695</v>
      </c>
      <c r="AE238" s="22">
        <v>0.610062295414206</v>
      </c>
      <c r="AF238" s="22">
        <v>0.134948011113061</v>
      </c>
      <c r="AG238" s="22">
        <v>0.167303197504067</v>
      </c>
      <c r="AH238" s="22">
        <v>0.35589428225753</v>
      </c>
      <c r="AI238" s="22">
        <v>10.0</v>
      </c>
      <c r="AJ238" s="22">
        <v>3.05724077790589</v>
      </c>
      <c r="AK238" s="22">
        <v>14.730925220376</v>
      </c>
      <c r="AL238" s="22">
        <v>3.83808874576606</v>
      </c>
      <c r="AM238" s="22">
        <v>0.554483555898007</v>
      </c>
      <c r="AN238" s="22">
        <v>2.93258656265487</v>
      </c>
      <c r="AO238" s="22">
        <v>12.7973864082284</v>
      </c>
      <c r="AP238" s="22">
        <v>3.57734348479825</v>
      </c>
      <c r="AQ238" s="22">
        <v>0.610062295414206</v>
      </c>
      <c r="AR238" s="22">
        <v>3.73356164079497</v>
      </c>
      <c r="AS238" s="22">
        <v>21.4250654796934</v>
      </c>
      <c r="AT238" s="22">
        <v>4.62872179761253</v>
      </c>
      <c r="AU238" s="22">
        <v>0.35589428225753</v>
      </c>
      <c r="AV238" s="23">
        <f t="shared" ref="AV238:AW238" si="479">(AC238-AC$289)/AC$290</f>
        <v>0.2889476035</v>
      </c>
      <c r="AW238" s="24">
        <f t="shared" si="479"/>
        <v>0.2900728863</v>
      </c>
      <c r="AX238" s="24">
        <f t="shared" si="5"/>
        <v>0.9080254962</v>
      </c>
      <c r="AY238" s="25">
        <f t="shared" si="6"/>
        <v>0.8756558732</v>
      </c>
      <c r="AZ238" s="23">
        <f t="shared" si="7"/>
        <v>0.06899191538</v>
      </c>
      <c r="BA238" s="25">
        <f t="shared" si="8"/>
        <v>0.07253316131</v>
      </c>
      <c r="BB238" s="23">
        <f t="shared" si="9"/>
        <v>0.2046254434</v>
      </c>
      <c r="BC238" s="24">
        <f t="shared" si="10"/>
        <v>0.7352632227</v>
      </c>
      <c r="BD238" s="25">
        <f t="shared" si="11"/>
        <v>0.01094876021</v>
      </c>
      <c r="BE238" s="26">
        <f t="shared" ref="BE238:BF238" si="480">((S238-S$289)/S$290)</f>
        <v>1.819296795</v>
      </c>
      <c r="BF238" s="26">
        <f t="shared" si="480"/>
        <v>1.563034852</v>
      </c>
    </row>
    <row r="239">
      <c r="A239" s="16" t="s">
        <v>82</v>
      </c>
      <c r="B239" s="20">
        <f t="shared" si="3"/>
        <v>-0.6404220158</v>
      </c>
      <c r="C239" s="16" t="s">
        <v>68</v>
      </c>
      <c r="D239" s="16" t="s">
        <v>69</v>
      </c>
      <c r="E239" s="16">
        <v>140.0</v>
      </c>
      <c r="F239" s="21" t="s">
        <v>70</v>
      </c>
      <c r="G239" s="16" t="s">
        <v>100</v>
      </c>
      <c r="H239" s="21" t="s">
        <v>101</v>
      </c>
      <c r="I239" s="21" t="s">
        <v>88</v>
      </c>
      <c r="J239" s="21" t="s">
        <v>97</v>
      </c>
      <c r="K239" s="21" t="s">
        <v>75</v>
      </c>
      <c r="L239" s="16" t="s">
        <v>84</v>
      </c>
      <c r="M239" s="21" t="s">
        <v>77</v>
      </c>
      <c r="N239" s="16" t="s">
        <v>78</v>
      </c>
      <c r="O239" s="16" t="s">
        <v>79</v>
      </c>
      <c r="P239" s="16" t="s">
        <v>80</v>
      </c>
      <c r="Q239" s="21" t="s">
        <v>87</v>
      </c>
      <c r="R239" s="21" t="s">
        <v>98</v>
      </c>
      <c r="S239" s="22">
        <v>572.200972318649</v>
      </c>
      <c r="T239" s="22">
        <v>148.763303756713</v>
      </c>
      <c r="U239" s="22">
        <v>3.53063302220687</v>
      </c>
      <c r="V239" s="22">
        <v>20.6619848832912</v>
      </c>
      <c r="W239" s="22">
        <v>4.54554560897713</v>
      </c>
      <c r="X239" s="22">
        <v>0.380693290370794</v>
      </c>
      <c r="Y239" s="22">
        <v>0.128806418586749</v>
      </c>
      <c r="Z239" s="22">
        <v>0.0251527684880509</v>
      </c>
      <c r="AA239" s="22">
        <v>0.158596243612675</v>
      </c>
      <c r="AB239" s="22">
        <v>0.448369190033557</v>
      </c>
      <c r="AC239" s="22">
        <v>0.130549048465032</v>
      </c>
      <c r="AD239" s="22">
        <v>0.160318355496651</v>
      </c>
      <c r="AE239" s="22">
        <v>0.446502860111097</v>
      </c>
      <c r="AF239" s="22">
        <v>0.125080005013726</v>
      </c>
      <c r="AG239" s="22">
        <v>0.165381480021183</v>
      </c>
      <c r="AH239" s="22">
        <v>0.413534525997291</v>
      </c>
      <c r="AI239" s="22">
        <v>10.0</v>
      </c>
      <c r="AJ239" s="22">
        <v>3.53063302220687</v>
      </c>
      <c r="AK239" s="22">
        <v>20.6619848832912</v>
      </c>
      <c r="AL239" s="22">
        <v>4.54554560897713</v>
      </c>
      <c r="AM239" s="22">
        <v>0.380659761260122</v>
      </c>
      <c r="AN239" s="22">
        <v>3.49218704643962</v>
      </c>
      <c r="AO239" s="22">
        <v>18.3913695640417</v>
      </c>
      <c r="AP239" s="22">
        <v>4.28851600953544</v>
      </c>
      <c r="AQ239" s="22">
        <v>0.446502860111097</v>
      </c>
      <c r="AR239" s="22">
        <v>3.34589013411717</v>
      </c>
      <c r="AS239" s="22">
        <v>19.5713742193958</v>
      </c>
      <c r="AT239" s="22">
        <v>4.42395459056666</v>
      </c>
      <c r="AU239" s="22">
        <v>0.413534525997291</v>
      </c>
      <c r="AV239" s="23">
        <f t="shared" ref="AV239:AW239" si="481">(AC239-AC$289)/AC$290</f>
        <v>1.247723671</v>
      </c>
      <c r="AW239" s="24">
        <f t="shared" si="481"/>
        <v>1.290210007</v>
      </c>
      <c r="AX239" s="24">
        <f t="shared" si="5"/>
        <v>0.2454111433</v>
      </c>
      <c r="AY239" s="25">
        <f t="shared" si="6"/>
        <v>0.5773807267</v>
      </c>
      <c r="AZ239" s="23">
        <f t="shared" si="7"/>
        <v>0.9425151977</v>
      </c>
      <c r="BA239" s="25">
        <f t="shared" si="8"/>
        <v>1.149314882</v>
      </c>
      <c r="BB239" s="23">
        <f t="shared" si="9"/>
        <v>0.9340081253</v>
      </c>
      <c r="BC239" s="24">
        <f t="shared" si="10"/>
        <v>0.4440212653</v>
      </c>
      <c r="BD239" s="25">
        <f t="shared" si="11"/>
        <v>1.041943067</v>
      </c>
      <c r="BE239" s="26">
        <f t="shared" ref="BE239:BF239" si="482">((S239-S$289)/S$290)</f>
        <v>0.02716651715</v>
      </c>
      <c r="BF239" s="26">
        <f t="shared" si="482"/>
        <v>-0.8550524276</v>
      </c>
    </row>
    <row r="240">
      <c r="A240" s="16" t="s">
        <v>67</v>
      </c>
      <c r="B240" s="20">
        <f t="shared" si="3"/>
        <v>-0.6666483171</v>
      </c>
      <c r="C240" s="16" t="s">
        <v>68</v>
      </c>
      <c r="D240" s="16" t="s">
        <v>69</v>
      </c>
      <c r="E240" s="16">
        <v>89.0</v>
      </c>
      <c r="F240" s="21" t="s">
        <v>70</v>
      </c>
      <c r="G240" s="16" t="s">
        <v>100</v>
      </c>
      <c r="H240" s="21" t="s">
        <v>101</v>
      </c>
      <c r="I240" s="21" t="s">
        <v>73</v>
      </c>
      <c r="J240" s="21" t="s">
        <v>83</v>
      </c>
      <c r="K240" s="21" t="s">
        <v>99</v>
      </c>
      <c r="L240" s="16" t="s">
        <v>84</v>
      </c>
      <c r="M240" s="21" t="s">
        <v>77</v>
      </c>
      <c r="N240" s="16" t="s">
        <v>95</v>
      </c>
      <c r="O240" s="16" t="s">
        <v>86</v>
      </c>
      <c r="P240" s="16" t="s">
        <v>80</v>
      </c>
      <c r="Q240" s="21" t="s">
        <v>98</v>
      </c>
      <c r="R240" s="21" t="s">
        <v>94</v>
      </c>
      <c r="S240" s="22">
        <v>546.832095861434</v>
      </c>
      <c r="T240" s="22">
        <v>135.061744928359</v>
      </c>
      <c r="U240" s="22">
        <v>3.66336981110647</v>
      </c>
      <c r="V240" s="22">
        <v>20.7466893130772</v>
      </c>
      <c r="W240" s="22">
        <v>4.55485337997583</v>
      </c>
      <c r="X240" s="22">
        <v>0.38639302320845</v>
      </c>
      <c r="Y240" s="22">
        <v>0.118245546378036</v>
      </c>
      <c r="Z240" s="22">
        <v>0.0207980695485529</v>
      </c>
      <c r="AA240" s="22">
        <v>0.144215358227038</v>
      </c>
      <c r="AB240" s="22">
        <v>0.549564147088215</v>
      </c>
      <c r="AC240" s="22">
        <v>0.119261204568891</v>
      </c>
      <c r="AD240" s="22">
        <v>0.144990182242612</v>
      </c>
      <c r="AE240" s="22">
        <v>0.552238204741113</v>
      </c>
      <c r="AF240" s="22">
        <v>0.142316171249158</v>
      </c>
      <c r="AG240" s="22">
        <v>0.177058677272175</v>
      </c>
      <c r="AH240" s="22">
        <v>0.337795706118765</v>
      </c>
      <c r="AI240" s="22">
        <v>10.0</v>
      </c>
      <c r="AJ240" s="22">
        <v>3.66336981110647</v>
      </c>
      <c r="AK240" s="22">
        <v>20.7466893130772</v>
      </c>
      <c r="AL240" s="22">
        <v>4.55485337997583</v>
      </c>
      <c r="AM240" s="22">
        <v>0.386182147943303</v>
      </c>
      <c r="AN240" s="22">
        <v>3.19023722221783</v>
      </c>
      <c r="AO240" s="22">
        <v>15.0426643179558</v>
      </c>
      <c r="AP240" s="22">
        <v>3.87848737498987</v>
      </c>
      <c r="AQ240" s="22">
        <v>0.552238204741113</v>
      </c>
      <c r="AR240" s="22">
        <v>3.80695758091498</v>
      </c>
      <c r="AS240" s="22">
        <v>22.4327235146697</v>
      </c>
      <c r="AT240" s="22">
        <v>4.73631961703069</v>
      </c>
      <c r="AU240" s="22">
        <v>0.337795706118765</v>
      </c>
      <c r="AV240" s="23">
        <f t="shared" ref="AV240:AW240" si="483">(AC240-AC$289)/AC$290</f>
        <v>0.8069229476</v>
      </c>
      <c r="AW240" s="24">
        <f t="shared" si="483"/>
        <v>0.7959526015</v>
      </c>
      <c r="AX240" s="24">
        <f t="shared" si="5"/>
        <v>1.033475013</v>
      </c>
      <c r="AY240" s="25">
        <f t="shared" si="6"/>
        <v>1.032388759</v>
      </c>
      <c r="AZ240" s="23">
        <f t="shared" si="7"/>
        <v>1.187446704</v>
      </c>
      <c r="BA240" s="25">
        <f t="shared" si="8"/>
        <v>1.163481735</v>
      </c>
      <c r="BB240" s="23">
        <f t="shared" si="9"/>
        <v>0.4624882213</v>
      </c>
      <c r="BC240" s="24">
        <f t="shared" si="10"/>
        <v>0.826710871</v>
      </c>
      <c r="BD240" s="25">
        <f t="shared" si="11"/>
        <v>1.009188349</v>
      </c>
      <c r="BE240" s="26">
        <f t="shared" ref="BE240:BF240" si="484">((S240-S$289)/S$290)</f>
        <v>-0.02154037468</v>
      </c>
      <c r="BF240" s="26">
        <f t="shared" si="484"/>
        <v>-0.9633833398</v>
      </c>
    </row>
    <row r="241">
      <c r="A241" s="16" t="s">
        <v>82</v>
      </c>
      <c r="B241" s="20">
        <f t="shared" si="3"/>
        <v>-0.6689417462</v>
      </c>
      <c r="C241" s="16" t="s">
        <v>68</v>
      </c>
      <c r="D241" s="16" t="s">
        <v>69</v>
      </c>
      <c r="E241" s="16">
        <v>194.0</v>
      </c>
      <c r="F241" s="21" t="s">
        <v>102</v>
      </c>
      <c r="G241" s="16" t="s">
        <v>71</v>
      </c>
      <c r="H241" s="21" t="s">
        <v>103</v>
      </c>
      <c r="I241" s="21" t="s">
        <v>88</v>
      </c>
      <c r="J241" s="21" t="s">
        <v>74</v>
      </c>
      <c r="K241" s="21" t="s">
        <v>99</v>
      </c>
      <c r="L241" s="16" t="s">
        <v>84</v>
      </c>
      <c r="M241" s="21" t="s">
        <v>77</v>
      </c>
      <c r="N241" s="16" t="s">
        <v>95</v>
      </c>
      <c r="O241" s="16" t="s">
        <v>86</v>
      </c>
      <c r="P241" s="16" t="s">
        <v>80</v>
      </c>
      <c r="Q241" s="21" t="s">
        <v>94</v>
      </c>
      <c r="R241" s="21" t="s">
        <v>98</v>
      </c>
      <c r="S241" s="22">
        <v>2096.36003160476</v>
      </c>
      <c r="T241" s="22">
        <v>358.44874215126</v>
      </c>
      <c r="U241" s="22">
        <v>3.34266178935335</v>
      </c>
      <c r="V241" s="22">
        <v>17.0737769695538</v>
      </c>
      <c r="W241" s="22">
        <v>4.13204271148712</v>
      </c>
      <c r="X241" s="22">
        <v>0.485124716816195</v>
      </c>
      <c r="Y241" s="22">
        <v>0.0853107716695351</v>
      </c>
      <c r="Z241" s="22">
        <v>0.0105876346846039</v>
      </c>
      <c r="AA241" s="22">
        <v>0.102896232606465</v>
      </c>
      <c r="AB241" s="22">
        <v>0.752336254121961</v>
      </c>
      <c r="AC241" s="22">
        <v>0.0855647330406705</v>
      </c>
      <c r="AD241" s="22">
        <v>0.10302685404016</v>
      </c>
      <c r="AE241" s="22">
        <v>0.753669800352402</v>
      </c>
      <c r="AF241" s="22">
        <v>0.142852135096835</v>
      </c>
      <c r="AG241" s="22">
        <v>0.175705000795387</v>
      </c>
      <c r="AH241" s="22">
        <v>0.290030565479303</v>
      </c>
      <c r="AI241" s="22">
        <v>10.0</v>
      </c>
      <c r="AJ241" s="22">
        <v>3.34266178935336</v>
      </c>
      <c r="AK241" s="22">
        <v>17.0737769695538</v>
      </c>
      <c r="AL241" s="22">
        <v>4.13204271148712</v>
      </c>
      <c r="AM241" s="22">
        <v>0.484802126500621</v>
      </c>
      <c r="AN241" s="22">
        <v>2.36729094745851</v>
      </c>
      <c r="AO241" s="22">
        <v>8.12483504992881</v>
      </c>
      <c r="AP241" s="22">
        <v>2.85040962844444</v>
      </c>
      <c r="AQ241" s="22">
        <v>0.753669800352402</v>
      </c>
      <c r="AR241" s="22">
        <v>3.95224240434609</v>
      </c>
      <c r="AS241" s="22">
        <v>23.6309901867498</v>
      </c>
      <c r="AT241" s="22">
        <v>4.86117168867238</v>
      </c>
      <c r="AU241" s="22">
        <v>0.290030565479303</v>
      </c>
      <c r="AV241" s="23">
        <f t="shared" ref="AV241:AW241" si="485">(AC241-AC$289)/AC$290</f>
        <v>-0.5089553685</v>
      </c>
      <c r="AW241" s="24">
        <f t="shared" si="485"/>
        <v>-0.5571561721</v>
      </c>
      <c r="AX241" s="24">
        <f t="shared" si="5"/>
        <v>1.281798162</v>
      </c>
      <c r="AY241" s="25">
        <f t="shared" si="6"/>
        <v>1.214255136</v>
      </c>
      <c r="AZ241" s="23">
        <f t="shared" si="7"/>
        <v>0.5956627719</v>
      </c>
      <c r="BA241" s="25">
        <f t="shared" si="8"/>
        <v>0.519944549</v>
      </c>
      <c r="BB241" s="23">
        <f t="shared" si="9"/>
        <v>-0.4357829004</v>
      </c>
      <c r="BC241" s="24">
        <f t="shared" si="10"/>
        <v>1.068056364</v>
      </c>
      <c r="BD241" s="25">
        <f t="shared" si="11"/>
        <v>0.4242475098</v>
      </c>
      <c r="BE241" s="26">
        <f t="shared" ref="BE241:BF241" si="486">((S241-S$289)/S$290)</f>
        <v>2.953470745</v>
      </c>
      <c r="BF241" s="26">
        <f t="shared" si="486"/>
        <v>0.8028184113</v>
      </c>
    </row>
    <row r="242">
      <c r="A242" s="16" t="s">
        <v>82</v>
      </c>
      <c r="B242" s="20">
        <f t="shared" si="3"/>
        <v>-0.6976048757</v>
      </c>
      <c r="C242" s="16" t="s">
        <v>68</v>
      </c>
      <c r="D242" s="16" t="s">
        <v>69</v>
      </c>
      <c r="E242" s="16">
        <v>250.0</v>
      </c>
      <c r="F242" s="21" t="s">
        <v>102</v>
      </c>
      <c r="G242" s="16" t="s">
        <v>100</v>
      </c>
      <c r="H242" s="21" t="s">
        <v>105</v>
      </c>
      <c r="I242" s="21" t="s">
        <v>88</v>
      </c>
      <c r="J242" s="21" t="s">
        <v>97</v>
      </c>
      <c r="K242" s="21" t="s">
        <v>99</v>
      </c>
      <c r="L242" s="16" t="s">
        <v>76</v>
      </c>
      <c r="M242" s="21" t="s">
        <v>85</v>
      </c>
      <c r="N242" s="16" t="s">
        <v>78</v>
      </c>
      <c r="O242" s="16" t="s">
        <v>79</v>
      </c>
      <c r="P242" s="16" t="s">
        <v>80</v>
      </c>
      <c r="Q242" s="21" t="s">
        <v>104</v>
      </c>
      <c r="S242" s="22">
        <v>328.549638748168</v>
      </c>
      <c r="T242" s="22">
        <v>391.927077293396</v>
      </c>
      <c r="U242" s="22">
        <v>3.40882115182918</v>
      </c>
      <c r="V242" s="22">
        <v>18.5421163379567</v>
      </c>
      <c r="W242" s="22">
        <v>4.30605577506338</v>
      </c>
      <c r="X242" s="22">
        <v>0.439328131400176</v>
      </c>
      <c r="Y242" s="22">
        <v>0.121672098025129</v>
      </c>
      <c r="Z242" s="22">
        <v>0.0218598768070839</v>
      </c>
      <c r="AA242" s="22">
        <v>0.147850860014691</v>
      </c>
      <c r="AB242" s="22">
        <v>0.481693227663236</v>
      </c>
      <c r="AC242" s="22">
        <v>0.122824240916673</v>
      </c>
      <c r="AD242" s="22">
        <v>0.148807544573263</v>
      </c>
      <c r="AE242" s="22">
        <v>0.483539009343431</v>
      </c>
      <c r="AF242" s="22">
        <v>0.13147131351943</v>
      </c>
      <c r="AG242" s="22">
        <v>0.165545332148616</v>
      </c>
      <c r="AH242" s="22">
        <v>0.369358493652268</v>
      </c>
      <c r="AI242" s="22">
        <v>10.0</v>
      </c>
      <c r="AJ242" s="22">
        <v>3.40882115182918</v>
      </c>
      <c r="AK242" s="22">
        <v>18.5421163379567</v>
      </c>
      <c r="AL242" s="22">
        <v>4.30605577506338</v>
      </c>
      <c r="AM242" s="22">
        <v>0.439219355646078</v>
      </c>
      <c r="AN242" s="22">
        <v>3.3981373320281</v>
      </c>
      <c r="AO242" s="22">
        <v>16.9497609091926</v>
      </c>
      <c r="AP242" s="22">
        <v>4.11700873319363</v>
      </c>
      <c r="AQ242" s="22">
        <v>0.483539009343431</v>
      </c>
      <c r="AR242" s="22">
        <v>3.63737300737105</v>
      </c>
      <c r="AS242" s="22">
        <v>20.9772017163103</v>
      </c>
      <c r="AT242" s="22">
        <v>4.58008752277839</v>
      </c>
      <c r="AU242" s="22">
        <v>0.369358493652268</v>
      </c>
      <c r="AV242" s="23">
        <f t="shared" ref="AV242:AW242" si="487">(AC242-AC$289)/AC$290</f>
        <v>0.9460628057</v>
      </c>
      <c r="AW242" s="24">
        <f t="shared" si="487"/>
        <v>0.919043564</v>
      </c>
      <c r="AX242" s="24">
        <f t="shared" si="5"/>
        <v>0.7436183422</v>
      </c>
      <c r="AY242" s="25">
        <f t="shared" si="6"/>
        <v>0.8048125206</v>
      </c>
      <c r="AZ242" s="23">
        <f t="shared" si="7"/>
        <v>0.7177428105</v>
      </c>
      <c r="BA242" s="25">
        <f t="shared" si="8"/>
        <v>0.7848003949</v>
      </c>
      <c r="BB242" s="23">
        <f t="shared" si="9"/>
        <v>0.7688478225</v>
      </c>
      <c r="BC242" s="24">
        <f t="shared" si="10"/>
        <v>0.6672318781</v>
      </c>
      <c r="BD242" s="25">
        <f t="shared" si="11"/>
        <v>0.6946108241</v>
      </c>
      <c r="BE242" s="26">
        <f t="shared" ref="BE242:BF242" si="488">((S242-S$289)/S$290)</f>
        <v>-0.4406310682</v>
      </c>
      <c r="BF242" s="26">
        <f t="shared" si="488"/>
        <v>1.067513738</v>
      </c>
    </row>
    <row r="243">
      <c r="A243" s="16" t="s">
        <v>67</v>
      </c>
      <c r="B243" s="20">
        <f t="shared" si="3"/>
        <v>-0.7151045919</v>
      </c>
      <c r="C243" s="16" t="s">
        <v>68</v>
      </c>
      <c r="D243" s="16" t="s">
        <v>69</v>
      </c>
      <c r="E243" s="16">
        <v>96.0</v>
      </c>
      <c r="F243" s="21" t="s">
        <v>70</v>
      </c>
      <c r="G243" s="16" t="s">
        <v>100</v>
      </c>
      <c r="H243" s="21" t="s">
        <v>101</v>
      </c>
      <c r="I243" s="21" t="s">
        <v>88</v>
      </c>
      <c r="J243" s="21" t="s">
        <v>97</v>
      </c>
      <c r="K243" s="21" t="s">
        <v>75</v>
      </c>
      <c r="L243" s="16" t="s">
        <v>90</v>
      </c>
      <c r="M243" s="21" t="s">
        <v>77</v>
      </c>
      <c r="N243" s="16" t="s">
        <v>78</v>
      </c>
      <c r="O243" s="16" t="s">
        <v>79</v>
      </c>
      <c r="P243" s="16" t="s">
        <v>80</v>
      </c>
      <c r="Q243" s="21" t="s">
        <v>104</v>
      </c>
      <c r="R243" s="21" t="s">
        <v>93</v>
      </c>
      <c r="S243" s="22">
        <v>134.666810750961</v>
      </c>
      <c r="T243" s="22">
        <v>139.667845964431</v>
      </c>
      <c r="U243" s="22">
        <v>3.60741426010694</v>
      </c>
      <c r="V243" s="22">
        <v>22.9581753042241</v>
      </c>
      <c r="W243" s="22">
        <v>4.79146901317582</v>
      </c>
      <c r="X243" s="22">
        <v>0.311815042845798</v>
      </c>
      <c r="Y243" s="22">
        <v>0.133135653856453</v>
      </c>
      <c r="Z243" s="22">
        <v>0.0295042908808808</v>
      </c>
      <c r="AA243" s="22">
        <v>0.171768131156162</v>
      </c>
      <c r="AB243" s="22">
        <v>0.352935010560066</v>
      </c>
      <c r="AC243" s="22">
        <v>0.135456799824145</v>
      </c>
      <c r="AD243" s="22">
        <v>0.174197906712697</v>
      </c>
      <c r="AE243" s="22">
        <v>0.346516319737542</v>
      </c>
      <c r="AF243" s="22">
        <v>0.123723233506139</v>
      </c>
      <c r="AG243" s="22">
        <v>0.162511184236509</v>
      </c>
      <c r="AH243" s="22">
        <v>0.433714799835224</v>
      </c>
      <c r="AI243" s="22">
        <v>10.0</v>
      </c>
      <c r="AJ243" s="22">
        <v>3.60741426010694</v>
      </c>
      <c r="AK243" s="22">
        <v>22.9581753042241</v>
      </c>
      <c r="AL243" s="22">
        <v>4.79146901317582</v>
      </c>
      <c r="AM243" s="22">
        <v>0.31183175990761</v>
      </c>
      <c r="AN243" s="22">
        <v>3.6234693952959</v>
      </c>
      <c r="AO243" s="22">
        <v>21.7136801649766</v>
      </c>
      <c r="AP243" s="22">
        <v>4.65979400456465</v>
      </c>
      <c r="AQ243" s="22">
        <v>0.346516319737542</v>
      </c>
      <c r="AR243" s="22">
        <v>3.30959649628924</v>
      </c>
      <c r="AS243" s="22">
        <v>18.8979233367096</v>
      </c>
      <c r="AT243" s="22">
        <v>4.34717417832661</v>
      </c>
      <c r="AU243" s="22">
        <v>0.433714799835224</v>
      </c>
      <c r="AV243" s="23">
        <f t="shared" ref="AV243:AW243" si="489">(AC243-AC$289)/AC$290</f>
        <v>1.439375891</v>
      </c>
      <c r="AW243" s="24">
        <f t="shared" si="489"/>
        <v>1.737756551</v>
      </c>
      <c r="AX243" s="24">
        <f t="shared" si="5"/>
        <v>0.1833774758</v>
      </c>
      <c r="AY243" s="25">
        <f t="shared" si="6"/>
        <v>0.4655381663</v>
      </c>
      <c r="AZ243" s="23">
        <f t="shared" si="7"/>
        <v>1.084195168</v>
      </c>
      <c r="BA243" s="25">
        <f t="shared" si="8"/>
        <v>1.523621557</v>
      </c>
      <c r="BB243" s="23">
        <f t="shared" si="9"/>
        <v>1.37989161</v>
      </c>
      <c r="BC243" s="24">
        <f t="shared" si="10"/>
        <v>0.342055311</v>
      </c>
      <c r="BD243" s="25">
        <f t="shared" si="11"/>
        <v>1.450179912</v>
      </c>
      <c r="BE243" s="26">
        <f t="shared" ref="BE243:BF243" si="490">((S243-S$289)/S$290)</f>
        <v>-0.8128757731</v>
      </c>
      <c r="BF243" s="26">
        <f t="shared" si="490"/>
        <v>-0.9269653575</v>
      </c>
    </row>
    <row r="244">
      <c r="A244" s="16" t="s">
        <v>82</v>
      </c>
      <c r="B244" s="20">
        <f t="shared" si="3"/>
        <v>-0.721162963</v>
      </c>
      <c r="C244" s="16" t="s">
        <v>68</v>
      </c>
      <c r="D244" s="16" t="s">
        <v>69</v>
      </c>
      <c r="E244" s="16">
        <v>277.0</v>
      </c>
      <c r="F244" s="21" t="s">
        <v>102</v>
      </c>
      <c r="G244" s="16" t="s">
        <v>100</v>
      </c>
      <c r="H244" s="21" t="s">
        <v>105</v>
      </c>
      <c r="I244" s="21" t="s">
        <v>88</v>
      </c>
      <c r="J244" s="21" t="s">
        <v>83</v>
      </c>
      <c r="K244" s="21" t="s">
        <v>99</v>
      </c>
      <c r="L244" s="16" t="s">
        <v>76</v>
      </c>
      <c r="M244" s="21" t="s">
        <v>85</v>
      </c>
      <c r="N244" s="16" t="s">
        <v>78</v>
      </c>
      <c r="O244" s="16" t="s">
        <v>86</v>
      </c>
      <c r="P244" s="16" t="s">
        <v>80</v>
      </c>
      <c r="Q244" s="21" t="s">
        <v>104</v>
      </c>
      <c r="S244" s="22">
        <v>568.298810720443</v>
      </c>
      <c r="T244" s="22">
        <v>416.20482635498</v>
      </c>
      <c r="U244" s="22">
        <v>3.56390182718547</v>
      </c>
      <c r="V244" s="22">
        <v>19.5262349941525</v>
      </c>
      <c r="W244" s="22">
        <v>4.41884996284695</v>
      </c>
      <c r="X244" s="22">
        <v>0.40964890669238</v>
      </c>
      <c r="Y244" s="22">
        <v>0.112765779858832</v>
      </c>
      <c r="Z244" s="22">
        <v>0.0184650784773634</v>
      </c>
      <c r="AA244" s="22">
        <v>0.135886270378443</v>
      </c>
      <c r="AB244" s="22">
        <v>0.562185308224341</v>
      </c>
      <c r="AC244" s="22">
        <v>0.113597889528629</v>
      </c>
      <c r="AD244" s="22">
        <v>0.13648439075876</v>
      </c>
      <c r="AE244" s="22">
        <v>0.565536202664255</v>
      </c>
      <c r="AF244" s="22">
        <v>0.132895260317829</v>
      </c>
      <c r="AG244" s="22">
        <v>0.165906724410098</v>
      </c>
      <c r="AH244" s="22">
        <v>0.366602055587675</v>
      </c>
      <c r="AI244" s="22">
        <v>10.0</v>
      </c>
      <c r="AJ244" s="22">
        <v>3.56390182718549</v>
      </c>
      <c r="AK244" s="22">
        <v>19.5262349941524</v>
      </c>
      <c r="AL244" s="22">
        <v>4.41884996284695</v>
      </c>
      <c r="AM244" s="22">
        <v>0.409456049015731</v>
      </c>
      <c r="AN244" s="22">
        <v>3.14287494362551</v>
      </c>
      <c r="AO244" s="22">
        <v>14.2586906305914</v>
      </c>
      <c r="AP244" s="22">
        <v>3.77606814432571</v>
      </c>
      <c r="AQ244" s="22">
        <v>0.565536202664255</v>
      </c>
      <c r="AR244" s="22">
        <v>3.67676886879346</v>
      </c>
      <c r="AS244" s="22">
        <v>21.06888987308</v>
      </c>
      <c r="AT244" s="22">
        <v>4.59008604201272</v>
      </c>
      <c r="AU244" s="22">
        <v>0.366602055587675</v>
      </c>
      <c r="AV244" s="23">
        <f t="shared" ref="AV244:AW244" si="491">(AC244-AC$289)/AC$290</f>
        <v>0.5857652678</v>
      </c>
      <c r="AW244" s="24">
        <f t="shared" si="491"/>
        <v>0.5216831005</v>
      </c>
      <c r="AX244" s="24">
        <f t="shared" si="5"/>
        <v>0.81095438</v>
      </c>
      <c r="AY244" s="25">
        <f t="shared" si="6"/>
        <v>0.8193769122</v>
      </c>
      <c r="AZ244" s="23">
        <f t="shared" si="7"/>
        <v>1.003904196</v>
      </c>
      <c r="BA244" s="25">
        <f t="shared" si="8"/>
        <v>0.9564783104</v>
      </c>
      <c r="BB244" s="23">
        <f t="shared" si="9"/>
        <v>0.403186663</v>
      </c>
      <c r="BC244" s="24">
        <f t="shared" si="10"/>
        <v>0.6811594809</v>
      </c>
      <c r="BD244" s="25">
        <f t="shared" si="11"/>
        <v>0.871144766</v>
      </c>
      <c r="BE244" s="26">
        <f t="shared" ref="BE244:BF244" si="492">((S244-S$289)/S$290)</f>
        <v>0.01967457469</v>
      </c>
      <c r="BF244" s="26">
        <f t="shared" si="492"/>
        <v>1.259464941</v>
      </c>
    </row>
    <row r="245">
      <c r="A245" s="16" t="s">
        <v>82</v>
      </c>
      <c r="B245" s="20">
        <f t="shared" si="3"/>
        <v>-0.7229073881</v>
      </c>
      <c r="C245" s="16" t="s">
        <v>68</v>
      </c>
      <c r="D245" s="16" t="s">
        <v>69</v>
      </c>
      <c r="E245" s="16">
        <v>137.0</v>
      </c>
      <c r="F245" s="21" t="s">
        <v>70</v>
      </c>
      <c r="G245" s="16" t="s">
        <v>100</v>
      </c>
      <c r="H245" s="21" t="s">
        <v>101</v>
      </c>
      <c r="I245" s="21" t="s">
        <v>88</v>
      </c>
      <c r="J245" s="21" t="s">
        <v>97</v>
      </c>
      <c r="K245" s="21" t="s">
        <v>99</v>
      </c>
      <c r="L245" s="16" t="s">
        <v>76</v>
      </c>
      <c r="M245" s="21" t="s">
        <v>77</v>
      </c>
      <c r="N245" s="16" t="s">
        <v>78</v>
      </c>
      <c r="O245" s="16" t="s">
        <v>86</v>
      </c>
      <c r="P245" s="16" t="s">
        <v>80</v>
      </c>
      <c r="Q245" s="21" t="s">
        <v>81</v>
      </c>
      <c r="R245" s="21" t="s">
        <v>94</v>
      </c>
      <c r="S245" s="22">
        <v>496.282855987548</v>
      </c>
      <c r="T245" s="22">
        <v>132.295759677886</v>
      </c>
      <c r="U245" s="22">
        <v>3.60167745949786</v>
      </c>
      <c r="V245" s="22">
        <v>20.8445172997202</v>
      </c>
      <c r="W245" s="22">
        <v>4.56557962363162</v>
      </c>
      <c r="X245" s="22">
        <v>0.375258389564861</v>
      </c>
      <c r="Y245" s="22">
        <v>0.127919716490561</v>
      </c>
      <c r="Z245" s="22">
        <v>0.0256052258638119</v>
      </c>
      <c r="AA245" s="22">
        <v>0.160016329991073</v>
      </c>
      <c r="AB245" s="22">
        <v>0.438446249392454</v>
      </c>
      <c r="AC245" s="22">
        <v>0.129231659198744</v>
      </c>
      <c r="AD245" s="22">
        <v>0.161051553702349</v>
      </c>
      <c r="AE245" s="22">
        <v>0.44142856775024</v>
      </c>
      <c r="AF245" s="22">
        <v>0.134978242667738</v>
      </c>
      <c r="AG245" s="22">
        <v>0.172551190467467</v>
      </c>
      <c r="AH245" s="22">
        <v>0.361582738073013</v>
      </c>
      <c r="AI245" s="22">
        <v>10.0</v>
      </c>
      <c r="AJ245" s="22">
        <v>3.60167745949787</v>
      </c>
      <c r="AK245" s="22">
        <v>20.8445172997202</v>
      </c>
      <c r="AL245" s="22">
        <v>4.56557962363162</v>
      </c>
      <c r="AM245" s="22">
        <v>0.375188376443636</v>
      </c>
      <c r="AN245" s="22">
        <v>3.4569468835664</v>
      </c>
      <c r="AO245" s="22">
        <v>18.5599760108668</v>
      </c>
      <c r="AP245" s="22">
        <v>4.30812906153783</v>
      </c>
      <c r="AQ245" s="22">
        <v>0.44142856775024</v>
      </c>
      <c r="AR245" s="22">
        <v>3.610667991362</v>
      </c>
      <c r="AS245" s="22">
        <v>21.3050958584432</v>
      </c>
      <c r="AT245" s="22">
        <v>4.61574434500474</v>
      </c>
      <c r="AU245" s="22">
        <v>0.361582738073013</v>
      </c>
      <c r="AV245" s="23">
        <f t="shared" ref="AV245:AW245" si="493">(AC245-AC$289)/AC$290</f>
        <v>1.196278404</v>
      </c>
      <c r="AW245" s="24">
        <f t="shared" si="493"/>
        <v>1.313852005</v>
      </c>
      <c r="AX245" s="24">
        <f t="shared" si="5"/>
        <v>0.6979737008</v>
      </c>
      <c r="AY245" s="25">
        <f t="shared" si="6"/>
        <v>0.8567522038</v>
      </c>
      <c r="AZ245" s="23">
        <f t="shared" si="7"/>
        <v>1.073609382</v>
      </c>
      <c r="BA245" s="25">
        <f t="shared" si="8"/>
        <v>1.179807569</v>
      </c>
      <c r="BB245" s="23">
        <f t="shared" si="9"/>
        <v>0.9566366026</v>
      </c>
      <c r="BC245" s="24">
        <f t="shared" si="10"/>
        <v>0.7065208563</v>
      </c>
      <c r="BD245" s="25">
        <f t="shared" si="11"/>
        <v>1.074395278</v>
      </c>
      <c r="BE245" s="26">
        <f t="shared" ref="BE245:BF245" si="494">((S245-S$289)/S$290)</f>
        <v>-0.1185922233</v>
      </c>
      <c r="BF245" s="26">
        <f t="shared" si="494"/>
        <v>-0.9852525088</v>
      </c>
    </row>
    <row r="246">
      <c r="A246" s="16" t="s">
        <v>82</v>
      </c>
      <c r="B246" s="20">
        <f t="shared" si="3"/>
        <v>-0.7517370791</v>
      </c>
      <c r="C246" s="16" t="s">
        <v>68</v>
      </c>
      <c r="D246" s="16" t="s">
        <v>69</v>
      </c>
      <c r="E246" s="16">
        <v>211.0</v>
      </c>
      <c r="F246" s="21" t="s">
        <v>102</v>
      </c>
      <c r="G246" s="16" t="s">
        <v>71</v>
      </c>
      <c r="H246" s="21" t="s">
        <v>103</v>
      </c>
      <c r="I246" s="21" t="s">
        <v>88</v>
      </c>
      <c r="J246" s="21" t="s">
        <v>97</v>
      </c>
      <c r="K246" s="21" t="s">
        <v>99</v>
      </c>
      <c r="L246" s="16" t="s">
        <v>84</v>
      </c>
      <c r="M246" s="21" t="s">
        <v>77</v>
      </c>
      <c r="N246" s="16" t="s">
        <v>78</v>
      </c>
      <c r="O246" s="16" t="s">
        <v>92</v>
      </c>
      <c r="P246" s="16" t="s">
        <v>80</v>
      </c>
      <c r="Q246" s="21" t="s">
        <v>87</v>
      </c>
      <c r="R246" s="21" t="s">
        <v>94</v>
      </c>
      <c r="S246" s="22">
        <v>2578.27429938316</v>
      </c>
      <c r="T246" s="22">
        <v>363.114110708236</v>
      </c>
      <c r="U246" s="22">
        <v>3.32889819092641</v>
      </c>
      <c r="V246" s="22">
        <v>16.600803173292</v>
      </c>
      <c r="W246" s="22">
        <v>4.07440832186614</v>
      </c>
      <c r="X246" s="22">
        <v>0.49917718303593</v>
      </c>
      <c r="Y246" s="22">
        <v>0.113063384619626</v>
      </c>
      <c r="Z246" s="22">
        <v>0.0182276274673885</v>
      </c>
      <c r="AA246" s="22">
        <v>0.135009731009985</v>
      </c>
      <c r="AB246" s="22">
        <v>0.573623133823516</v>
      </c>
      <c r="AC246" s="22">
        <v>0.113531165116379</v>
      </c>
      <c r="AD246" s="22">
        <v>0.135344984732373</v>
      </c>
      <c r="AE246" s="22">
        <v>0.574890200498461</v>
      </c>
      <c r="AF246" s="22">
        <v>0.122822917227641</v>
      </c>
      <c r="AG246" s="22">
        <v>0.15226497038428</v>
      </c>
      <c r="AH246" s="22">
        <v>0.466822993320386</v>
      </c>
      <c r="AI246" s="22">
        <v>10.0</v>
      </c>
      <c r="AJ246" s="22">
        <v>3.32889819092642</v>
      </c>
      <c r="AK246" s="22">
        <v>16.600803173292</v>
      </c>
      <c r="AL246" s="22">
        <v>4.07440832186614</v>
      </c>
      <c r="AM246" s="22">
        <v>0.499074018097282</v>
      </c>
      <c r="AN246" s="22">
        <v>3.14102890155326</v>
      </c>
      <c r="AO246" s="22">
        <v>14.021614093601</v>
      </c>
      <c r="AP246" s="22">
        <v>3.74454457759565</v>
      </c>
      <c r="AQ246" s="22">
        <v>0.574890200498461</v>
      </c>
      <c r="AR246" s="22">
        <v>3.3981007099649</v>
      </c>
      <c r="AS246" s="22">
        <v>17.746539498778</v>
      </c>
      <c r="AT246" s="22">
        <v>4.21266418063177</v>
      </c>
      <c r="AU246" s="22">
        <v>0.466822993320386</v>
      </c>
      <c r="AV246" s="23">
        <f t="shared" ref="AV246:AW246" si="495">(AC246-AC$289)/AC$290</f>
        <v>0.5831596179</v>
      </c>
      <c r="AW246" s="24">
        <f t="shared" si="495"/>
        <v>0.4849429191</v>
      </c>
      <c r="AX246" s="24">
        <f t="shared" si="5"/>
        <v>0.3346502964</v>
      </c>
      <c r="AY246" s="25">
        <f t="shared" si="6"/>
        <v>0.269603525</v>
      </c>
      <c r="AZ246" s="23">
        <f t="shared" si="7"/>
        <v>0.5702656011</v>
      </c>
      <c r="BA246" s="25">
        <f t="shared" si="8"/>
        <v>0.4322223706</v>
      </c>
      <c r="BB246" s="23">
        <f t="shared" si="9"/>
        <v>0.361473117</v>
      </c>
      <c r="BC246" s="24">
        <f t="shared" si="10"/>
        <v>0.1747677624</v>
      </c>
      <c r="BD246" s="25">
        <f t="shared" si="11"/>
        <v>0.3395971947</v>
      </c>
      <c r="BE246" s="26">
        <f t="shared" ref="BE246:BF246" si="496">((S246-S$289)/S$290)</f>
        <v>3.878720476</v>
      </c>
      <c r="BF246" s="26">
        <f t="shared" si="496"/>
        <v>0.8397049903</v>
      </c>
    </row>
    <row r="247">
      <c r="A247" s="16" t="s">
        <v>82</v>
      </c>
      <c r="B247" s="20">
        <f t="shared" si="3"/>
        <v>-0.7794453062</v>
      </c>
      <c r="C247" s="16" t="s">
        <v>68</v>
      </c>
      <c r="D247" s="16" t="s">
        <v>69</v>
      </c>
      <c r="E247" s="16">
        <v>138.0</v>
      </c>
      <c r="F247" s="21" t="s">
        <v>70</v>
      </c>
      <c r="G247" s="16" t="s">
        <v>100</v>
      </c>
      <c r="H247" s="21" t="s">
        <v>101</v>
      </c>
      <c r="I247" s="21" t="s">
        <v>73</v>
      </c>
      <c r="J247" s="21" t="s">
        <v>97</v>
      </c>
      <c r="K247" s="21" t="s">
        <v>75</v>
      </c>
      <c r="L247" s="16" t="s">
        <v>90</v>
      </c>
      <c r="M247" s="21" t="s">
        <v>77</v>
      </c>
      <c r="N247" s="16" t="s">
        <v>91</v>
      </c>
      <c r="O247" s="16" t="s">
        <v>79</v>
      </c>
      <c r="P247" s="16" t="s">
        <v>80</v>
      </c>
      <c r="Q247" s="21" t="s">
        <v>94</v>
      </c>
      <c r="R247" s="21" t="s">
        <v>93</v>
      </c>
      <c r="S247" s="22">
        <v>75.278002500534</v>
      </c>
      <c r="T247" s="22">
        <v>137.311705112457</v>
      </c>
      <c r="U247" s="22">
        <v>3.71052570956897</v>
      </c>
      <c r="V247" s="22">
        <v>24.1834284001193</v>
      </c>
      <c r="W247" s="22">
        <v>4.91766493369763</v>
      </c>
      <c r="X247" s="22">
        <v>0.284521511509882</v>
      </c>
      <c r="Y247" s="22">
        <v>0.14131373386042</v>
      </c>
      <c r="Z247" s="22">
        <v>0.032442448461742</v>
      </c>
      <c r="AA247" s="22">
        <v>0.180117873798637</v>
      </c>
      <c r="AB247" s="22">
        <v>0.297375080446918</v>
      </c>
      <c r="AC247" s="22">
        <v>0.14283778098804</v>
      </c>
      <c r="AD247" s="22">
        <v>0.181310695630955</v>
      </c>
      <c r="AE247" s="22">
        <v>0.299808729470721</v>
      </c>
      <c r="AF247" s="22">
        <v>0.120563352365408</v>
      </c>
      <c r="AG247" s="22">
        <v>0.159197932284938</v>
      </c>
      <c r="AH247" s="22">
        <v>0.464656656613662</v>
      </c>
      <c r="AI247" s="22">
        <v>10.0</v>
      </c>
      <c r="AJ247" s="22">
        <v>3.71052570956898</v>
      </c>
      <c r="AK247" s="22">
        <v>24.1834284001193</v>
      </c>
      <c r="AL247" s="22">
        <v>4.91766493369763</v>
      </c>
      <c r="AM247" s="22">
        <v>0.284501741365961</v>
      </c>
      <c r="AN247" s="22">
        <v>3.82091064143009</v>
      </c>
      <c r="AO247" s="22">
        <v>23.5230927525764</v>
      </c>
      <c r="AP247" s="22">
        <v>4.85006110812807</v>
      </c>
      <c r="AQ247" s="22">
        <v>0.299808729470721</v>
      </c>
      <c r="AR247" s="22">
        <v>3.22506967577467</v>
      </c>
      <c r="AS247" s="22">
        <v>18.1352028649914</v>
      </c>
      <c r="AT247" s="22">
        <v>4.25854468862209</v>
      </c>
      <c r="AU247" s="22">
        <v>0.464656656613662</v>
      </c>
      <c r="AV247" s="23">
        <f t="shared" ref="AV247:AW247" si="497">(AC247-AC$289)/AC$290</f>
        <v>1.727610019</v>
      </c>
      <c r="AW247" s="24">
        <f t="shared" si="497"/>
        <v>1.967108643</v>
      </c>
      <c r="AX247" s="24">
        <f t="shared" si="5"/>
        <v>0.03890287941</v>
      </c>
      <c r="AY247" s="25">
        <f t="shared" si="6"/>
        <v>0.3364355897</v>
      </c>
      <c r="AZ247" s="23">
        <f t="shared" si="7"/>
        <v>1.274460752</v>
      </c>
      <c r="BA247" s="25">
        <f t="shared" si="8"/>
        <v>1.715697523</v>
      </c>
      <c r="BB247" s="23">
        <f t="shared" si="9"/>
        <v>1.588181076</v>
      </c>
      <c r="BC247" s="24">
        <f t="shared" si="10"/>
        <v>0.1857137283</v>
      </c>
      <c r="BD247" s="25">
        <f t="shared" si="11"/>
        <v>1.612281387</v>
      </c>
      <c r="BE247" s="26">
        <f t="shared" ref="BE247:BF247" si="498">((S247-S$289)/S$290)</f>
        <v>-0.9268991223</v>
      </c>
      <c r="BF247" s="26">
        <f t="shared" si="498"/>
        <v>-0.9455941056</v>
      </c>
    </row>
    <row r="248">
      <c r="A248" s="16" t="s">
        <v>82</v>
      </c>
      <c r="B248" s="20">
        <f t="shared" si="3"/>
        <v>-0.7864457506</v>
      </c>
      <c r="C248" s="16" t="s">
        <v>68</v>
      </c>
      <c r="D248" s="16" t="s">
        <v>69</v>
      </c>
      <c r="E248" s="16">
        <v>284.0</v>
      </c>
      <c r="F248" s="21" t="s">
        <v>102</v>
      </c>
      <c r="G248" s="16" t="s">
        <v>100</v>
      </c>
      <c r="H248" s="21" t="s">
        <v>105</v>
      </c>
      <c r="I248" s="21" t="s">
        <v>73</v>
      </c>
      <c r="J248" s="21" t="s">
        <v>74</v>
      </c>
      <c r="K248" s="21" t="s">
        <v>99</v>
      </c>
      <c r="L248" s="16" t="s">
        <v>84</v>
      </c>
      <c r="M248" s="21" t="s">
        <v>77</v>
      </c>
      <c r="N248" s="16" t="s">
        <v>78</v>
      </c>
      <c r="O248" s="16" t="s">
        <v>86</v>
      </c>
      <c r="P248" s="16" t="s">
        <v>80</v>
      </c>
      <c r="Q248" s="21" t="s">
        <v>94</v>
      </c>
      <c r="R248" s="21" t="s">
        <v>98</v>
      </c>
      <c r="S248" s="22">
        <v>1019.57801914215</v>
      </c>
      <c r="T248" s="22">
        <v>321.867242336273</v>
      </c>
      <c r="U248" s="22">
        <v>3.67137184831093</v>
      </c>
      <c r="V248" s="22">
        <v>20.7329552395816</v>
      </c>
      <c r="W248" s="22">
        <v>4.55334549969378</v>
      </c>
      <c r="X248" s="22">
        <v>0.373447189106826</v>
      </c>
      <c r="Y248" s="22">
        <v>0.092929948913091</v>
      </c>
      <c r="Z248" s="22">
        <v>0.0123648106211435</v>
      </c>
      <c r="AA248" s="22">
        <v>0.111197170023087</v>
      </c>
      <c r="AB248" s="22">
        <v>0.708433211395357</v>
      </c>
      <c r="AC248" s="22">
        <v>0.0932602679240113</v>
      </c>
      <c r="AD248" s="22">
        <v>0.111298135685152</v>
      </c>
      <c r="AE248" s="22">
        <v>0.712496659766249</v>
      </c>
      <c r="AF248" s="22">
        <v>0.148664247920498</v>
      </c>
      <c r="AG248" s="22">
        <v>0.184387494541795</v>
      </c>
      <c r="AH248" s="22">
        <v>0.218188641607232</v>
      </c>
      <c r="AI248" s="22">
        <v>10.0</v>
      </c>
      <c r="AJ248" s="22">
        <v>3.67137184831096</v>
      </c>
      <c r="AK248" s="22">
        <v>20.7329552395816</v>
      </c>
      <c r="AL248" s="22">
        <v>4.55334549969379</v>
      </c>
      <c r="AM248" s="22">
        <v>0.373062558601434</v>
      </c>
      <c r="AN248" s="22">
        <v>2.58020074589768</v>
      </c>
      <c r="AO248" s="22">
        <v>9.48177083590654</v>
      </c>
      <c r="AP248" s="22">
        <v>3.07924842062256</v>
      </c>
      <c r="AQ248" s="22">
        <v>0.712496659766249</v>
      </c>
      <c r="AR248" s="22">
        <v>4.11304419246748</v>
      </c>
      <c r="AS248" s="22">
        <v>26.0241528844318</v>
      </c>
      <c r="AT248" s="22">
        <v>5.10138734898966</v>
      </c>
      <c r="AU248" s="22">
        <v>0.218188641607232</v>
      </c>
      <c r="AV248" s="23">
        <f t="shared" ref="AV248:AW248" si="499">(AC248-AC$289)/AC$290</f>
        <v>-0.2084376281</v>
      </c>
      <c r="AW248" s="24">
        <f t="shared" si="499"/>
        <v>-0.290448448</v>
      </c>
      <c r="AX248" s="24">
        <f t="shared" si="5"/>
        <v>1.556643156</v>
      </c>
      <c r="AY248" s="25">
        <f t="shared" si="6"/>
        <v>1.564166444</v>
      </c>
      <c r="AZ248" s="23">
        <f t="shared" si="7"/>
        <v>1.2022124</v>
      </c>
      <c r="BA248" s="25">
        <f t="shared" si="8"/>
        <v>1.161186672</v>
      </c>
      <c r="BB248" s="23">
        <f t="shared" si="9"/>
        <v>-0.2521739533</v>
      </c>
      <c r="BC248" s="24">
        <f t="shared" si="10"/>
        <v>1.431055914</v>
      </c>
      <c r="BD248" s="25">
        <f t="shared" si="11"/>
        <v>1.087004059</v>
      </c>
      <c r="BE248" s="26">
        <f t="shared" ref="BE248:BF248" si="500">((S248-S$289)/S$290)</f>
        <v>0.8861066229</v>
      </c>
      <c r="BF248" s="26">
        <f t="shared" si="500"/>
        <v>0.5135880182</v>
      </c>
    </row>
    <row r="249">
      <c r="A249" s="16" t="s">
        <v>82</v>
      </c>
      <c r="B249" s="20">
        <f t="shared" si="3"/>
        <v>-0.798190887</v>
      </c>
      <c r="C249" s="16" t="s">
        <v>68</v>
      </c>
      <c r="D249" s="16" t="s">
        <v>69</v>
      </c>
      <c r="E249" s="16">
        <v>269.0</v>
      </c>
      <c r="F249" s="21" t="s">
        <v>102</v>
      </c>
      <c r="G249" s="16" t="s">
        <v>100</v>
      </c>
      <c r="H249" s="21" t="s">
        <v>105</v>
      </c>
      <c r="I249" s="21" t="s">
        <v>73</v>
      </c>
      <c r="J249" s="21" t="s">
        <v>97</v>
      </c>
      <c r="K249" s="21" t="s">
        <v>99</v>
      </c>
      <c r="L249" s="16" t="s">
        <v>84</v>
      </c>
      <c r="M249" s="21" t="s">
        <v>85</v>
      </c>
      <c r="N249" s="16" t="s">
        <v>78</v>
      </c>
      <c r="O249" s="16" t="s">
        <v>86</v>
      </c>
      <c r="P249" s="16" t="s">
        <v>80</v>
      </c>
      <c r="Q249" s="21" t="s">
        <v>98</v>
      </c>
      <c r="S249" s="22">
        <v>942.586893320083</v>
      </c>
      <c r="T249" s="22">
        <v>328.241507053375</v>
      </c>
      <c r="U249" s="22">
        <v>3.54500923499366</v>
      </c>
      <c r="V249" s="22">
        <v>19.1677850476088</v>
      </c>
      <c r="W249" s="22">
        <v>4.37810290509586</v>
      </c>
      <c r="X249" s="22">
        <v>0.42056560570833</v>
      </c>
      <c r="Y249" s="22">
        <v>0.114482914239272</v>
      </c>
      <c r="Z249" s="22">
        <v>0.0188782305954319</v>
      </c>
      <c r="AA249" s="22">
        <v>0.137398073477876</v>
      </c>
      <c r="AB249" s="22">
        <v>0.554844369404586</v>
      </c>
      <c r="AC249" s="22">
        <v>0.115427417161391</v>
      </c>
      <c r="AD249" s="22">
        <v>0.138147775043318</v>
      </c>
      <c r="AE249" s="22">
        <v>0.557049797265298</v>
      </c>
      <c r="AF249" s="22">
        <v>0.139585676593421</v>
      </c>
      <c r="AG249" s="22">
        <v>0.172300065284284</v>
      </c>
      <c r="AH249" s="22">
        <v>0.317331390779727</v>
      </c>
      <c r="AI249" s="22">
        <v>10.0</v>
      </c>
      <c r="AJ249" s="22">
        <v>3.54500923499367</v>
      </c>
      <c r="AK249" s="22">
        <v>19.1677850476088</v>
      </c>
      <c r="AL249" s="22">
        <v>4.37810290509586</v>
      </c>
      <c r="AM249" s="22">
        <v>0.420391257485393</v>
      </c>
      <c r="AN249" s="22">
        <v>3.1934918747986</v>
      </c>
      <c r="AO249" s="22">
        <v>14.6083600650833</v>
      </c>
      <c r="AP249" s="22">
        <v>3.82208844286514</v>
      </c>
      <c r="AQ249" s="22">
        <v>0.557049797265298</v>
      </c>
      <c r="AR249" s="22">
        <v>3.86187038575156</v>
      </c>
      <c r="AS249" s="22">
        <v>22.7239884212907</v>
      </c>
      <c r="AT249" s="22">
        <v>4.76696847286519</v>
      </c>
      <c r="AU249" s="22">
        <v>0.317331390779727</v>
      </c>
      <c r="AV249" s="23">
        <f t="shared" ref="AV249:AW249" si="501">(AC249-AC$289)/AC$290</f>
        <v>0.6572100106</v>
      </c>
      <c r="AW249" s="24">
        <f t="shared" si="501"/>
        <v>0.5753189766</v>
      </c>
      <c r="AX249" s="24">
        <f t="shared" si="5"/>
        <v>1.12733286</v>
      </c>
      <c r="AY249" s="25">
        <f t="shared" si="6"/>
        <v>1.077033564</v>
      </c>
      <c r="AZ249" s="23">
        <f t="shared" si="7"/>
        <v>0.9690427903</v>
      </c>
      <c r="BA249" s="25">
        <f t="shared" si="8"/>
        <v>0.8944594238</v>
      </c>
      <c r="BB249" s="23">
        <f t="shared" si="9"/>
        <v>0.4410312368</v>
      </c>
      <c r="BC249" s="24">
        <f t="shared" si="10"/>
        <v>0.930112017</v>
      </c>
      <c r="BD249" s="25">
        <f t="shared" si="11"/>
        <v>0.8062851897</v>
      </c>
      <c r="BE249" s="26">
        <f t="shared" ref="BE249:BF249" si="502">((S249-S$289)/S$290)</f>
        <v>0.7382877614</v>
      </c>
      <c r="BF249" s="26">
        <f t="shared" si="502"/>
        <v>0.5639859269</v>
      </c>
    </row>
    <row r="250">
      <c r="A250" s="16" t="s">
        <v>67</v>
      </c>
      <c r="B250" s="20">
        <f t="shared" si="3"/>
        <v>-0.7995707117</v>
      </c>
      <c r="C250" s="16" t="s">
        <v>68</v>
      </c>
      <c r="D250" s="16" t="s">
        <v>69</v>
      </c>
      <c r="E250" s="16">
        <v>172.0</v>
      </c>
      <c r="F250" s="21" t="s">
        <v>102</v>
      </c>
      <c r="G250" s="16" t="s">
        <v>71</v>
      </c>
      <c r="H250" s="21" t="s">
        <v>103</v>
      </c>
      <c r="I250" s="21" t="s">
        <v>88</v>
      </c>
      <c r="J250" s="21" t="s">
        <v>83</v>
      </c>
      <c r="K250" s="21" t="s">
        <v>99</v>
      </c>
      <c r="L250" s="16" t="s">
        <v>84</v>
      </c>
      <c r="M250" s="21" t="s">
        <v>77</v>
      </c>
      <c r="N250" s="16" t="s">
        <v>95</v>
      </c>
      <c r="O250" s="16" t="s">
        <v>79</v>
      </c>
      <c r="P250" s="16" t="s">
        <v>80</v>
      </c>
      <c r="Q250" s="21" t="s">
        <v>94</v>
      </c>
      <c r="R250" s="21" t="s">
        <v>89</v>
      </c>
      <c r="S250" s="22">
        <v>1694.6122059822</v>
      </c>
      <c r="T250" s="22">
        <v>419.749631881713</v>
      </c>
      <c r="U250" s="22">
        <v>3.49342096725176</v>
      </c>
      <c r="V250" s="22">
        <v>18.0545379738594</v>
      </c>
      <c r="W250" s="22">
        <v>4.24906318779322</v>
      </c>
      <c r="X250" s="22">
        <v>0.455338600912329</v>
      </c>
      <c r="Y250" s="22">
        <v>0.108896400995059</v>
      </c>
      <c r="Z250" s="22">
        <v>0.0168617390333425</v>
      </c>
      <c r="AA250" s="22">
        <v>0.129852759051714</v>
      </c>
      <c r="AB250" s="22">
        <v>0.605573711653636</v>
      </c>
      <c r="AC250" s="22">
        <v>0.10941108705646</v>
      </c>
      <c r="AD250" s="22">
        <v>0.130259588382756</v>
      </c>
      <c r="AE250" s="22">
        <v>0.606235840156539</v>
      </c>
      <c r="AF250" s="22">
        <v>0.133542778425704</v>
      </c>
      <c r="AG250" s="22">
        <v>0.163986141644071</v>
      </c>
      <c r="AH250" s="22">
        <v>0.381576900964966</v>
      </c>
      <c r="AI250" s="22">
        <v>10.0</v>
      </c>
      <c r="AJ250" s="22">
        <v>3.49342096725177</v>
      </c>
      <c r="AK250" s="22">
        <v>18.0545379738595</v>
      </c>
      <c r="AL250" s="22">
        <v>4.24906318779322</v>
      </c>
      <c r="AM250" s="22">
        <v>0.455207855430407</v>
      </c>
      <c r="AN250" s="22">
        <v>3.02704007522877</v>
      </c>
      <c r="AO250" s="22">
        <v>12.9877248176586</v>
      </c>
      <c r="AP250" s="22">
        <v>3.60384861192291</v>
      </c>
      <c r="AQ250" s="22">
        <v>0.606235840156539</v>
      </c>
      <c r="AR250" s="22">
        <v>3.69468353644473</v>
      </c>
      <c r="AS250" s="22">
        <v>20.5839145658746</v>
      </c>
      <c r="AT250" s="22">
        <v>4.53694991881931</v>
      </c>
      <c r="AU250" s="22">
        <v>0.381576900964966</v>
      </c>
      <c r="AV250" s="23">
        <f t="shared" ref="AV250:AW250" si="503">(AC250-AC$289)/AC$290</f>
        <v>0.4222667667</v>
      </c>
      <c r="AW250" s="24">
        <f t="shared" si="503"/>
        <v>0.3209641617</v>
      </c>
      <c r="AX250" s="24">
        <f t="shared" si="5"/>
        <v>0.8415744171</v>
      </c>
      <c r="AY250" s="25">
        <f t="shared" si="6"/>
        <v>0.7419759203</v>
      </c>
      <c r="AZ250" s="23">
        <f t="shared" si="7"/>
        <v>0.8738499486</v>
      </c>
      <c r="BA250" s="25">
        <f t="shared" si="8"/>
        <v>0.698055069</v>
      </c>
      <c r="BB250" s="23">
        <f t="shared" si="9"/>
        <v>0.2216892722</v>
      </c>
      <c r="BC250" s="24">
        <f t="shared" si="10"/>
        <v>0.6054952748</v>
      </c>
      <c r="BD250" s="25">
        <f t="shared" si="11"/>
        <v>0.5997788577</v>
      </c>
      <c r="BE250" s="26">
        <f t="shared" ref="BE250:BF250" si="504">((S250-S$289)/S$290)</f>
        <v>2.182136314</v>
      </c>
      <c r="BF250" s="26">
        <f t="shared" si="504"/>
        <v>1.287491826</v>
      </c>
    </row>
    <row r="251">
      <c r="A251" s="16" t="s">
        <v>82</v>
      </c>
      <c r="B251" s="20">
        <f t="shared" si="3"/>
        <v>-0.8081057962</v>
      </c>
      <c r="C251" s="16" t="s">
        <v>68</v>
      </c>
      <c r="D251" s="16" t="s">
        <v>69</v>
      </c>
      <c r="E251" s="16">
        <v>274.0</v>
      </c>
      <c r="F251" s="21" t="s">
        <v>102</v>
      </c>
      <c r="G251" s="16" t="s">
        <v>100</v>
      </c>
      <c r="H251" s="21" t="s">
        <v>105</v>
      </c>
      <c r="I251" s="21" t="s">
        <v>88</v>
      </c>
      <c r="J251" s="21" t="s">
        <v>97</v>
      </c>
      <c r="K251" s="21" t="s">
        <v>99</v>
      </c>
      <c r="L251" s="16" t="s">
        <v>90</v>
      </c>
      <c r="M251" s="21" t="s">
        <v>77</v>
      </c>
      <c r="N251" s="16" t="s">
        <v>95</v>
      </c>
      <c r="O251" s="16" t="s">
        <v>86</v>
      </c>
      <c r="P251" s="16" t="s">
        <v>80</v>
      </c>
      <c r="Q251" s="21" t="s">
        <v>93</v>
      </c>
      <c r="R251" s="21" t="s">
        <v>96</v>
      </c>
      <c r="S251" s="22">
        <v>573.059653997421</v>
      </c>
      <c r="T251" s="22">
        <v>337.940878152847</v>
      </c>
      <c r="U251" s="22">
        <v>3.50318031870029</v>
      </c>
      <c r="V251" s="22">
        <v>19.8603871698988</v>
      </c>
      <c r="W251" s="22">
        <v>4.45649943003461</v>
      </c>
      <c r="X251" s="22">
        <v>0.39943832064265</v>
      </c>
      <c r="Y251" s="22">
        <v>0.125915127592792</v>
      </c>
      <c r="Z251" s="22">
        <v>0.0245770639277289</v>
      </c>
      <c r="AA251" s="22">
        <v>0.156770736834809</v>
      </c>
      <c r="AB251" s="22">
        <v>0.417267590741066</v>
      </c>
      <c r="AC251" s="22">
        <v>0.127103352601813</v>
      </c>
      <c r="AD251" s="22">
        <v>0.157680883851324</v>
      </c>
      <c r="AE251" s="22">
        <v>0.420109873827466</v>
      </c>
      <c r="AF251" s="22">
        <v>0.128629436148862</v>
      </c>
      <c r="AG251" s="22">
        <v>0.164676632432968</v>
      </c>
      <c r="AH251" s="22">
        <v>0.375959715190477</v>
      </c>
      <c r="AI251" s="22">
        <v>10.0</v>
      </c>
      <c r="AJ251" s="22">
        <v>3.50318031870029</v>
      </c>
      <c r="AK251" s="22">
        <v>19.8603871698988</v>
      </c>
      <c r="AL251" s="22">
        <v>4.45649943003461</v>
      </c>
      <c r="AM251" s="22">
        <v>0.399350078962911</v>
      </c>
      <c r="AN251" s="22">
        <v>3.51652608865037</v>
      </c>
      <c r="AO251" s="22">
        <v>19.0314451043641</v>
      </c>
      <c r="AP251" s="22">
        <v>4.36250445321997</v>
      </c>
      <c r="AQ251" s="22">
        <v>0.420109873827466</v>
      </c>
      <c r="AR251" s="22">
        <v>3.55874773345203</v>
      </c>
      <c r="AS251" s="22">
        <v>20.7576234703699</v>
      </c>
      <c r="AT251" s="22">
        <v>4.55605349731211</v>
      </c>
      <c r="AU251" s="22">
        <v>0.375959715190476</v>
      </c>
      <c r="AV251" s="23">
        <f t="shared" ref="AV251:AW251" si="505">(AC251-AC$289)/AC$290</f>
        <v>1.113166067</v>
      </c>
      <c r="AW251" s="24">
        <f t="shared" si="505"/>
        <v>1.205164655</v>
      </c>
      <c r="AX251" s="24">
        <f t="shared" si="5"/>
        <v>0.6092307638</v>
      </c>
      <c r="AY251" s="25">
        <f t="shared" si="6"/>
        <v>0.7698032407</v>
      </c>
      <c r="AZ251" s="23">
        <f t="shared" si="7"/>
        <v>0.8918583144</v>
      </c>
      <c r="BA251" s="25">
        <f t="shared" si="8"/>
        <v>1.013782522</v>
      </c>
      <c r="BB251" s="23">
        <f t="shared" si="9"/>
        <v>1.051705934</v>
      </c>
      <c r="BC251" s="24">
        <f t="shared" si="10"/>
        <v>0.6338775313</v>
      </c>
      <c r="BD251" s="25">
        <f t="shared" si="11"/>
        <v>0.9310859128</v>
      </c>
      <c r="BE251" s="26">
        <f t="shared" ref="BE251:BF251" si="506">((S251-S$289)/S$290)</f>
        <v>0.02881514025</v>
      </c>
      <c r="BF251" s="26">
        <f t="shared" si="506"/>
        <v>0.640673677</v>
      </c>
    </row>
    <row r="252">
      <c r="A252" s="16" t="s">
        <v>67</v>
      </c>
      <c r="B252" s="20">
        <f t="shared" si="3"/>
        <v>-0.813829977</v>
      </c>
      <c r="C252" s="16" t="s">
        <v>68</v>
      </c>
      <c r="D252" s="16" t="s">
        <v>69</v>
      </c>
      <c r="E252" s="16">
        <v>231.0</v>
      </c>
      <c r="F252" s="21" t="s">
        <v>102</v>
      </c>
      <c r="G252" s="16" t="s">
        <v>100</v>
      </c>
      <c r="H252" s="21" t="s">
        <v>105</v>
      </c>
      <c r="I252" s="21" t="s">
        <v>88</v>
      </c>
      <c r="J252" s="21" t="s">
        <v>97</v>
      </c>
      <c r="K252" s="21" t="s">
        <v>99</v>
      </c>
      <c r="L252" s="16" t="s">
        <v>76</v>
      </c>
      <c r="M252" s="21" t="s">
        <v>77</v>
      </c>
      <c r="N252" s="16" t="s">
        <v>91</v>
      </c>
      <c r="O252" s="16" t="s">
        <v>86</v>
      </c>
      <c r="P252" s="16" t="s">
        <v>80</v>
      </c>
      <c r="Q252" s="21" t="s">
        <v>104</v>
      </c>
      <c r="R252" s="21" t="s">
        <v>104</v>
      </c>
      <c r="S252" s="22">
        <v>1052.09961318969</v>
      </c>
      <c r="T252" s="22">
        <v>358.97604227066</v>
      </c>
      <c r="U252" s="22">
        <v>3.48803849818683</v>
      </c>
      <c r="V252" s="22">
        <v>19.6674640808456</v>
      </c>
      <c r="W252" s="22">
        <v>4.43480147028541</v>
      </c>
      <c r="X252" s="22">
        <v>0.405267428390654</v>
      </c>
      <c r="Y252" s="22">
        <v>0.122252290141787</v>
      </c>
      <c r="Z252" s="22">
        <v>0.0233743147554066</v>
      </c>
      <c r="AA252" s="22">
        <v>0.152886607508331</v>
      </c>
      <c r="AB252" s="22">
        <v>0.445785273934737</v>
      </c>
      <c r="AC252" s="22">
        <v>0.123366962127614</v>
      </c>
      <c r="AD252" s="22">
        <v>0.153706802100717</v>
      </c>
      <c r="AE252" s="22">
        <v>0.448971836028258</v>
      </c>
      <c r="AF252" s="22">
        <v>0.124824384626008</v>
      </c>
      <c r="AG252" s="22">
        <v>0.160260636355757</v>
      </c>
      <c r="AH252" s="22">
        <v>0.408979700561277</v>
      </c>
      <c r="AI252" s="22">
        <v>10.0</v>
      </c>
      <c r="AJ252" s="22">
        <v>3.48803849818683</v>
      </c>
      <c r="AK252" s="22">
        <v>19.6674640808456</v>
      </c>
      <c r="AL252" s="22">
        <v>4.43480147028541</v>
      </c>
      <c r="AM252" s="22">
        <v>0.405184770764975</v>
      </c>
      <c r="AN252" s="22">
        <v>3.4131526188642</v>
      </c>
      <c r="AO252" s="22">
        <v>18.0842228213187</v>
      </c>
      <c r="AP252" s="22">
        <v>4.25255485811985</v>
      </c>
      <c r="AQ252" s="22">
        <v>0.448971836028258</v>
      </c>
      <c r="AR252" s="22">
        <v>3.45347464131967</v>
      </c>
      <c r="AS252" s="22">
        <v>19.6592706235927</v>
      </c>
      <c r="AT252" s="22">
        <v>4.43387760584262</v>
      </c>
      <c r="AU252" s="22">
        <v>0.408979700561277</v>
      </c>
      <c r="AV252" s="23">
        <f t="shared" ref="AV252:AW252" si="507">(AC252-AC$289)/AC$290</f>
        <v>0.96725657</v>
      </c>
      <c r="AW252" s="24">
        <f t="shared" si="507"/>
        <v>1.07702027</v>
      </c>
      <c r="AX252" s="24">
        <f t="shared" si="5"/>
        <v>0.4292963074</v>
      </c>
      <c r="AY252" s="25">
        <f t="shared" si="6"/>
        <v>0.591835135</v>
      </c>
      <c r="AZ252" s="23">
        <f t="shared" si="7"/>
        <v>0.8639179902</v>
      </c>
      <c r="BA252" s="25">
        <f t="shared" si="8"/>
        <v>0.9807572347</v>
      </c>
      <c r="BB252" s="23">
        <f t="shared" si="9"/>
        <v>0.9229978875</v>
      </c>
      <c r="BC252" s="24">
        <f t="shared" si="10"/>
        <v>0.4670356765</v>
      </c>
      <c r="BD252" s="25">
        <f t="shared" si="11"/>
        <v>0.8964788325</v>
      </c>
      <c r="BE252" s="26">
        <f t="shared" ref="BE252:BF252" si="508">((S252-S$289)/S$290)</f>
        <v>0.9485463516</v>
      </c>
      <c r="BF252" s="26">
        <f t="shared" si="508"/>
        <v>0.8069874919</v>
      </c>
    </row>
    <row r="253">
      <c r="A253" s="16" t="s">
        <v>82</v>
      </c>
      <c r="B253" s="20">
        <f t="shared" si="3"/>
        <v>-0.8667483676</v>
      </c>
      <c r="C253" s="16" t="s">
        <v>68</v>
      </c>
      <c r="D253" s="16" t="s">
        <v>69</v>
      </c>
      <c r="E253" s="16">
        <v>202.0</v>
      </c>
      <c r="F253" s="21" t="s">
        <v>102</v>
      </c>
      <c r="G253" s="16" t="s">
        <v>71</v>
      </c>
      <c r="H253" s="21" t="s">
        <v>103</v>
      </c>
      <c r="I253" s="21" t="s">
        <v>88</v>
      </c>
      <c r="J253" s="21" t="s">
        <v>74</v>
      </c>
      <c r="K253" s="21" t="s">
        <v>75</v>
      </c>
      <c r="L253" s="16" t="s">
        <v>90</v>
      </c>
      <c r="M253" s="21" t="s">
        <v>77</v>
      </c>
      <c r="N253" s="16" t="s">
        <v>78</v>
      </c>
      <c r="O253" s="16" t="s">
        <v>92</v>
      </c>
      <c r="P253" s="16" t="s">
        <v>80</v>
      </c>
      <c r="Q253" s="21" t="s">
        <v>96</v>
      </c>
      <c r="R253" s="21" t="s">
        <v>94</v>
      </c>
      <c r="S253" s="22">
        <v>525.109820604324</v>
      </c>
      <c r="T253" s="22">
        <v>413.197725057601</v>
      </c>
      <c r="U253" s="22">
        <v>3.50691519141292</v>
      </c>
      <c r="V253" s="22">
        <v>18.5633142149147</v>
      </c>
      <c r="W253" s="22">
        <v>4.3085164749499</v>
      </c>
      <c r="X253" s="22">
        <v>0.439915717165638</v>
      </c>
      <c r="Y253" s="22">
        <v>0.132509397488502</v>
      </c>
      <c r="Z253" s="22">
        <v>0.0249197231655342</v>
      </c>
      <c r="AA253" s="22">
        <v>0.157859821251432</v>
      </c>
      <c r="AB253" s="22">
        <v>0.417083024748241</v>
      </c>
      <c r="AC253" s="22">
        <v>0.133066266377849</v>
      </c>
      <c r="AD253" s="22">
        <v>0.158265151611522</v>
      </c>
      <c r="AE253" s="22">
        <v>0.418717326874681</v>
      </c>
      <c r="AF253" s="22">
        <v>0.133530785183751</v>
      </c>
      <c r="AG253" s="22">
        <v>0.166112239921947</v>
      </c>
      <c r="AH253" s="22">
        <v>0.365437101358495</v>
      </c>
      <c r="AI253" s="22">
        <v>10.0</v>
      </c>
      <c r="AJ253" s="22">
        <v>3.50691519141292</v>
      </c>
      <c r="AK253" s="22">
        <v>18.5633142149147</v>
      </c>
      <c r="AL253" s="22">
        <v>4.3085164749499</v>
      </c>
      <c r="AM253" s="22">
        <v>0.439855632079588</v>
      </c>
      <c r="AN253" s="22">
        <v>3.681500036454</v>
      </c>
      <c r="AO253" s="22">
        <v>19.1727439156117</v>
      </c>
      <c r="AP253" s="22">
        <v>4.37866919458546</v>
      </c>
      <c r="AQ253" s="22">
        <v>0.418717326874681</v>
      </c>
      <c r="AR253" s="22">
        <v>3.69435172341726</v>
      </c>
      <c r="AS253" s="22">
        <v>21.1211200110274</v>
      </c>
      <c r="AT253" s="22">
        <v>4.59577197117388</v>
      </c>
      <c r="AU253" s="22">
        <v>0.365437101358495</v>
      </c>
      <c r="AV253" s="23">
        <f t="shared" ref="AV253:AW253" si="509">(AC253-AC$289)/AC$290</f>
        <v>1.346023354</v>
      </c>
      <c r="AW253" s="24">
        <f t="shared" si="509"/>
        <v>1.224004386</v>
      </c>
      <c r="AX253" s="24">
        <f t="shared" si="5"/>
        <v>0.8410072769</v>
      </c>
      <c r="AY253" s="25">
        <f t="shared" si="6"/>
        <v>0.8276593485</v>
      </c>
      <c r="AZ253" s="23">
        <f t="shared" si="7"/>
        <v>0.8987500586</v>
      </c>
      <c r="BA253" s="25">
        <f t="shared" si="8"/>
        <v>0.7885456928</v>
      </c>
      <c r="BB253" s="23">
        <f t="shared" si="9"/>
        <v>1.057915907</v>
      </c>
      <c r="BC253" s="24">
        <f t="shared" si="10"/>
        <v>0.6870457077</v>
      </c>
      <c r="BD253" s="25">
        <f t="shared" si="11"/>
        <v>0.6908369024</v>
      </c>
      <c r="BE253" s="26">
        <f t="shared" ref="BE253:BF253" si="510">((S253-S$289)/S$290)</f>
        <v>-0.0632459864</v>
      </c>
      <c r="BF253" s="26">
        <f t="shared" si="510"/>
        <v>1.235689396</v>
      </c>
    </row>
    <row r="254">
      <c r="A254" s="16" t="s">
        <v>67</v>
      </c>
      <c r="B254" s="20">
        <f t="shared" si="3"/>
        <v>-0.8867736965</v>
      </c>
      <c r="C254" s="16" t="s">
        <v>68</v>
      </c>
      <c r="D254" s="16" t="s">
        <v>69</v>
      </c>
      <c r="E254" s="16">
        <v>238.0</v>
      </c>
      <c r="F254" s="21" t="s">
        <v>102</v>
      </c>
      <c r="G254" s="16" t="s">
        <v>100</v>
      </c>
      <c r="H254" s="21" t="s">
        <v>105</v>
      </c>
      <c r="I254" s="21" t="s">
        <v>88</v>
      </c>
      <c r="J254" s="21" t="s">
        <v>74</v>
      </c>
      <c r="K254" s="21" t="s">
        <v>99</v>
      </c>
      <c r="L254" s="16" t="s">
        <v>76</v>
      </c>
      <c r="M254" s="21" t="s">
        <v>77</v>
      </c>
      <c r="N254" s="16" t="s">
        <v>78</v>
      </c>
      <c r="O254" s="16" t="s">
        <v>92</v>
      </c>
      <c r="P254" s="16" t="s">
        <v>80</v>
      </c>
      <c r="Q254" s="21" t="s">
        <v>104</v>
      </c>
      <c r="R254" s="21" t="s">
        <v>81</v>
      </c>
      <c r="S254" s="22">
        <v>1346.73519420623</v>
      </c>
      <c r="T254" s="22">
        <v>422.675629138946</v>
      </c>
      <c r="U254" s="22">
        <v>3.51976784183376</v>
      </c>
      <c r="V254" s="22">
        <v>18.6840041416861</v>
      </c>
      <c r="W254" s="22">
        <v>4.32249975612332</v>
      </c>
      <c r="X254" s="22">
        <v>0.43520588632842</v>
      </c>
      <c r="Y254" s="22">
        <v>0.110566605955456</v>
      </c>
      <c r="Z254" s="22">
        <v>0.0175345540109828</v>
      </c>
      <c r="AA254" s="22">
        <v>0.13241810303347</v>
      </c>
      <c r="AB254" s="22">
        <v>0.584248430400484</v>
      </c>
      <c r="AC254" s="22">
        <v>0.111274006136653</v>
      </c>
      <c r="AD254" s="22">
        <v>0.132885062635979</v>
      </c>
      <c r="AE254" s="22">
        <v>0.588149162298949</v>
      </c>
      <c r="AF254" s="22">
        <v>0.141340844678717</v>
      </c>
      <c r="AG254" s="22">
        <v>0.172975966412397</v>
      </c>
      <c r="AH254" s="22">
        <v>0.311474224291419</v>
      </c>
      <c r="AI254" s="22">
        <v>10.0</v>
      </c>
      <c r="AJ254" s="22">
        <v>3.51976784183378</v>
      </c>
      <c r="AK254" s="22">
        <v>18.6840041416861</v>
      </c>
      <c r="AL254" s="22">
        <v>4.32249975612332</v>
      </c>
      <c r="AM254" s="22">
        <v>0.434928155410294</v>
      </c>
      <c r="AN254" s="22">
        <v>3.0785808364475</v>
      </c>
      <c r="AO254" s="22">
        <v>13.5165546974011</v>
      </c>
      <c r="AP254" s="22">
        <v>3.67648673292875</v>
      </c>
      <c r="AQ254" s="22">
        <v>0.588149162298949</v>
      </c>
      <c r="AR254" s="22">
        <v>3.91043003611144</v>
      </c>
      <c r="AS254" s="22">
        <v>22.9026220737745</v>
      </c>
      <c r="AT254" s="22">
        <v>4.78566840407633</v>
      </c>
      <c r="AU254" s="22">
        <v>0.311474224291418</v>
      </c>
      <c r="AV254" s="23">
        <f t="shared" ref="AV254:AW254" si="511">(AC254-AC$289)/AC$290</f>
        <v>0.4950154763</v>
      </c>
      <c r="AW254" s="24">
        <f t="shared" si="511"/>
        <v>0.4056226575</v>
      </c>
      <c r="AX254" s="24">
        <f t="shared" si="5"/>
        <v>1.210331792</v>
      </c>
      <c r="AY254" s="25">
        <f t="shared" si="6"/>
        <v>1.10427291</v>
      </c>
      <c r="AZ254" s="23">
        <f t="shared" si="7"/>
        <v>0.9224663098</v>
      </c>
      <c r="BA254" s="25">
        <f t="shared" si="8"/>
        <v>0.8098288866</v>
      </c>
      <c r="BB254" s="23">
        <f t="shared" si="9"/>
        <v>0.3023456378</v>
      </c>
      <c r="BC254" s="24">
        <f t="shared" si="10"/>
        <v>0.9597068369</v>
      </c>
      <c r="BD254" s="25">
        <f t="shared" si="11"/>
        <v>0.720063053</v>
      </c>
      <c r="BE254" s="26">
        <f t="shared" ref="BE254:BF254" si="512">((S254-S$289)/S$290)</f>
        <v>1.514230977</v>
      </c>
      <c r="BF254" s="26">
        <f t="shared" si="512"/>
        <v>1.310626125</v>
      </c>
    </row>
    <row r="255">
      <c r="A255" s="16" t="s">
        <v>67</v>
      </c>
      <c r="B255" s="20">
        <f t="shared" si="3"/>
        <v>-0.8939176021</v>
      </c>
      <c r="C255" s="16" t="s">
        <v>68</v>
      </c>
      <c r="D255" s="16" t="s">
        <v>69</v>
      </c>
      <c r="E255" s="16">
        <v>241.0</v>
      </c>
      <c r="F255" s="21" t="s">
        <v>102</v>
      </c>
      <c r="G255" s="16" t="s">
        <v>100</v>
      </c>
      <c r="H255" s="21" t="s">
        <v>105</v>
      </c>
      <c r="I255" s="21" t="s">
        <v>88</v>
      </c>
      <c r="J255" s="21" t="s">
        <v>83</v>
      </c>
      <c r="K255" s="21" t="s">
        <v>99</v>
      </c>
      <c r="L255" s="16" t="s">
        <v>90</v>
      </c>
      <c r="M255" s="21" t="s">
        <v>77</v>
      </c>
      <c r="N255" s="16" t="s">
        <v>78</v>
      </c>
      <c r="O255" s="16" t="s">
        <v>92</v>
      </c>
      <c r="P255" s="16" t="s">
        <v>80</v>
      </c>
      <c r="Q255" s="21" t="s">
        <v>104</v>
      </c>
      <c r="R255" s="21" t="s">
        <v>96</v>
      </c>
      <c r="S255" s="22">
        <v>922.111397027969</v>
      </c>
      <c r="T255" s="22">
        <v>422.806017160415</v>
      </c>
      <c r="U255" s="22">
        <v>3.65055288373126</v>
      </c>
      <c r="V255" s="22">
        <v>19.8566049844292</v>
      </c>
      <c r="W255" s="22">
        <v>4.45607506494552</v>
      </c>
      <c r="X255" s="22">
        <v>0.399569174880838</v>
      </c>
      <c r="Y255" s="22">
        <v>0.123873754522375</v>
      </c>
      <c r="Z255" s="22">
        <v>0.0219736201589378</v>
      </c>
      <c r="AA255" s="22">
        <v>0.148235016642282</v>
      </c>
      <c r="AB255" s="22">
        <v>0.47899632547598</v>
      </c>
      <c r="AC255" s="22">
        <v>0.12468907848091</v>
      </c>
      <c r="AD255" s="22">
        <v>0.148785446370848</v>
      </c>
      <c r="AE255" s="22">
        <v>0.483692388826015</v>
      </c>
      <c r="AF255" s="22">
        <v>0.13226100920348</v>
      </c>
      <c r="AG255" s="22">
        <v>0.162443894363133</v>
      </c>
      <c r="AH255" s="22">
        <v>0.392766871776578</v>
      </c>
      <c r="AI255" s="22">
        <v>10.0</v>
      </c>
      <c r="AJ255" s="22">
        <v>3.65055288373129</v>
      </c>
      <c r="AK255" s="22">
        <v>19.8566049844292</v>
      </c>
      <c r="AL255" s="22">
        <v>4.45607506494552</v>
      </c>
      <c r="AM255" s="22">
        <v>0.399464465927485</v>
      </c>
      <c r="AN255" s="22">
        <v>3.44973117130541</v>
      </c>
      <c r="AO255" s="22">
        <v>16.9447271397401</v>
      </c>
      <c r="AP255" s="22">
        <v>4.11639734959346</v>
      </c>
      <c r="AQ255" s="22">
        <v>0.483692388826016</v>
      </c>
      <c r="AR255" s="22">
        <v>3.6592212546298</v>
      </c>
      <c r="AS255" s="22">
        <v>20.1985624024962</v>
      </c>
      <c r="AT255" s="22">
        <v>4.49428107738003</v>
      </c>
      <c r="AU255" s="22">
        <v>0.392766871776578</v>
      </c>
      <c r="AV255" s="23">
        <f t="shared" ref="AV255:AW255" si="513">(AC255-AC$289)/AC$290</f>
        <v>1.018886434</v>
      </c>
      <c r="AW255" s="24">
        <f t="shared" si="513"/>
        <v>0.9183310069</v>
      </c>
      <c r="AX255" s="24">
        <f t="shared" si="5"/>
        <v>0.7809617166</v>
      </c>
      <c r="AY255" s="25">
        <f t="shared" si="6"/>
        <v>0.6798221452</v>
      </c>
      <c r="AZ255" s="23">
        <f t="shared" si="7"/>
        <v>1.163796371</v>
      </c>
      <c r="BA255" s="25">
        <f t="shared" si="8"/>
        <v>1.013136619</v>
      </c>
      <c r="BB255" s="23">
        <f t="shared" si="9"/>
        <v>0.7681638367</v>
      </c>
      <c r="BC255" s="24">
        <f t="shared" si="10"/>
        <v>0.5489551079</v>
      </c>
      <c r="BD255" s="25">
        <f t="shared" si="11"/>
        <v>0.9304074539</v>
      </c>
      <c r="BE255" s="26">
        <f t="shared" ref="BE255:BF255" si="514">((S255-S$289)/S$290)</f>
        <v>0.6989758989</v>
      </c>
      <c r="BF255" s="26">
        <f t="shared" si="514"/>
        <v>1.311657033</v>
      </c>
    </row>
    <row r="256">
      <c r="A256" s="16" t="s">
        <v>67</v>
      </c>
      <c r="B256" s="20">
        <f t="shared" si="3"/>
        <v>-0.8989645101</v>
      </c>
      <c r="C256" s="16" t="s">
        <v>68</v>
      </c>
      <c r="D256" s="16" t="s">
        <v>69</v>
      </c>
      <c r="E256" s="16">
        <v>220.0</v>
      </c>
      <c r="F256" s="21" t="s">
        <v>102</v>
      </c>
      <c r="G256" s="16" t="s">
        <v>100</v>
      </c>
      <c r="H256" s="21" t="s">
        <v>105</v>
      </c>
      <c r="I256" s="21" t="s">
        <v>88</v>
      </c>
      <c r="J256" s="21" t="s">
        <v>74</v>
      </c>
      <c r="K256" s="21" t="s">
        <v>99</v>
      </c>
      <c r="L256" s="16" t="s">
        <v>90</v>
      </c>
      <c r="M256" s="21" t="s">
        <v>77</v>
      </c>
      <c r="N256" s="16" t="s">
        <v>78</v>
      </c>
      <c r="O256" s="16" t="s">
        <v>92</v>
      </c>
      <c r="P256" s="16" t="s">
        <v>80</v>
      </c>
      <c r="Q256" s="21" t="s">
        <v>96</v>
      </c>
      <c r="R256" s="21" t="s">
        <v>94</v>
      </c>
      <c r="S256" s="22">
        <v>854.101724147796</v>
      </c>
      <c r="T256" s="22">
        <v>432.160371780395</v>
      </c>
      <c r="U256" s="22">
        <v>3.63206052529882</v>
      </c>
      <c r="V256" s="22">
        <v>19.8180900058174</v>
      </c>
      <c r="W256" s="22">
        <v>4.45175134141806</v>
      </c>
      <c r="X256" s="22">
        <v>0.400827162033081</v>
      </c>
      <c r="Y256" s="22">
        <v>0.119015892332423</v>
      </c>
      <c r="Z256" s="22">
        <v>0.0200672146400412</v>
      </c>
      <c r="AA256" s="22">
        <v>0.141658796550165</v>
      </c>
      <c r="AB256" s="22">
        <v>0.524197993352905</v>
      </c>
      <c r="AC256" s="22">
        <v>0.119856001404869</v>
      </c>
      <c r="AD256" s="22">
        <v>0.142272376818027</v>
      </c>
      <c r="AE256" s="22">
        <v>0.527905656724546</v>
      </c>
      <c r="AF256" s="22">
        <v>0.137640562668193</v>
      </c>
      <c r="AG256" s="22">
        <v>0.168803917971926</v>
      </c>
      <c r="AH256" s="22">
        <v>0.34428711655789</v>
      </c>
      <c r="AI256" s="22">
        <v>10.0</v>
      </c>
      <c r="AJ256" s="22">
        <v>3.63206052529884</v>
      </c>
      <c r="AK256" s="22">
        <v>19.8180900058175</v>
      </c>
      <c r="AL256" s="22">
        <v>4.45175134141806</v>
      </c>
      <c r="AM256" s="22">
        <v>0.400629298146716</v>
      </c>
      <c r="AN256" s="22">
        <v>3.31601603886817</v>
      </c>
      <c r="AO256" s="22">
        <v>15.4936895329279</v>
      </c>
      <c r="AP256" s="22">
        <v>3.93620242529876</v>
      </c>
      <c r="AQ256" s="22">
        <v>0.527905656724546</v>
      </c>
      <c r="AR256" s="22">
        <v>3.80805556715355</v>
      </c>
      <c r="AS256" s="22">
        <v>21.8111578218326</v>
      </c>
      <c r="AT256" s="22">
        <v>4.67024173055663</v>
      </c>
      <c r="AU256" s="22">
        <v>0.34428711655789</v>
      </c>
      <c r="AV256" s="23">
        <f t="shared" ref="AV256:AW256" si="515">(AC256-AC$289)/AC$290</f>
        <v>0.830150313</v>
      </c>
      <c r="AW256" s="24">
        <f t="shared" si="515"/>
        <v>0.7083168842</v>
      </c>
      <c r="AX256" s="24">
        <f t="shared" si="5"/>
        <v>1.035351709</v>
      </c>
      <c r="AY256" s="25">
        <f t="shared" si="6"/>
        <v>0.9361360852</v>
      </c>
      <c r="AZ256" s="23">
        <f t="shared" si="7"/>
        <v>1.129673493</v>
      </c>
      <c r="BA256" s="25">
        <f t="shared" si="8"/>
        <v>1.006555714</v>
      </c>
      <c r="BB256" s="23">
        <f t="shared" si="9"/>
        <v>0.5709976393</v>
      </c>
      <c r="BC256" s="24">
        <f t="shared" si="10"/>
        <v>0.7939113726</v>
      </c>
      <c r="BD256" s="25">
        <f t="shared" si="11"/>
        <v>0.9234985299</v>
      </c>
      <c r="BE256" s="26">
        <f t="shared" ref="BE256:BF256" si="516">((S256-S$289)/S$290)</f>
        <v>0.5684009486</v>
      </c>
      <c r="BF256" s="26">
        <f t="shared" si="516"/>
        <v>1.385616922</v>
      </c>
    </row>
    <row r="257">
      <c r="A257" s="16" t="s">
        <v>82</v>
      </c>
      <c r="B257" s="20">
        <f t="shared" si="3"/>
        <v>-0.9646102001</v>
      </c>
      <c r="C257" s="16" t="s">
        <v>68</v>
      </c>
      <c r="D257" s="16" t="s">
        <v>69</v>
      </c>
      <c r="E257" s="16">
        <v>201.0</v>
      </c>
      <c r="F257" s="21" t="s">
        <v>102</v>
      </c>
      <c r="G257" s="16" t="s">
        <v>71</v>
      </c>
      <c r="H257" s="21" t="s">
        <v>103</v>
      </c>
      <c r="I257" s="21" t="s">
        <v>73</v>
      </c>
      <c r="J257" s="21" t="s">
        <v>74</v>
      </c>
      <c r="K257" s="21" t="s">
        <v>99</v>
      </c>
      <c r="L257" s="16" t="s">
        <v>90</v>
      </c>
      <c r="M257" s="21" t="s">
        <v>77</v>
      </c>
      <c r="N257" s="16" t="s">
        <v>78</v>
      </c>
      <c r="O257" s="16" t="s">
        <v>86</v>
      </c>
      <c r="P257" s="16" t="s">
        <v>80</v>
      </c>
      <c r="Q257" s="21" t="s">
        <v>96</v>
      </c>
      <c r="R257" s="21" t="s">
        <v>96</v>
      </c>
      <c r="S257" s="22">
        <v>307.274440288543</v>
      </c>
      <c r="T257" s="22">
        <v>397.269831180572</v>
      </c>
      <c r="U257" s="22">
        <v>3.76869883019657</v>
      </c>
      <c r="V257" s="22">
        <v>20.9631494867071</v>
      </c>
      <c r="W257" s="22">
        <v>4.57855320889766</v>
      </c>
      <c r="X257" s="22">
        <v>0.367669146370164</v>
      </c>
      <c r="Y257" s="22">
        <v>0.128536223040331</v>
      </c>
      <c r="Z257" s="22">
        <v>0.0234322554377961</v>
      </c>
      <c r="AA257" s="22">
        <v>0.153075979297197</v>
      </c>
      <c r="AB257" s="22">
        <v>0.454609681745045</v>
      </c>
      <c r="AC257" s="22">
        <v>0.128970744101999</v>
      </c>
      <c r="AD257" s="22">
        <v>0.153342168827462</v>
      </c>
      <c r="AE257" s="22">
        <v>0.456861671386962</v>
      </c>
      <c r="AF257" s="22">
        <v>0.139813209014846</v>
      </c>
      <c r="AG257" s="22">
        <v>0.172206988726075</v>
      </c>
      <c r="AH257" s="22">
        <v>0.317079063848294</v>
      </c>
      <c r="AI257" s="22">
        <v>10.0</v>
      </c>
      <c r="AJ257" s="22">
        <v>3.7686988301966</v>
      </c>
      <c r="AK257" s="22">
        <v>20.9631494867071</v>
      </c>
      <c r="AL257" s="22">
        <v>4.57855320889766</v>
      </c>
      <c r="AM257" s="22">
        <v>0.367643053677351</v>
      </c>
      <c r="AN257" s="22">
        <v>3.56819058682224</v>
      </c>
      <c r="AO257" s="22">
        <v>17.998523453639</v>
      </c>
      <c r="AP257" s="22">
        <v>4.24246667089312</v>
      </c>
      <c r="AQ257" s="22">
        <v>0.456861671386962</v>
      </c>
      <c r="AR257" s="22">
        <v>3.868165449411</v>
      </c>
      <c r="AS257" s="22">
        <v>22.6994440388313</v>
      </c>
      <c r="AT257" s="22">
        <v>4.76439335475476</v>
      </c>
      <c r="AU257" s="22">
        <v>0.317079063848294</v>
      </c>
      <c r="AV257" s="23">
        <f t="shared" ref="AV257:AW257" si="517">(AC257-AC$289)/AC$290</f>
        <v>1.186089429</v>
      </c>
      <c r="AW257" s="24">
        <f t="shared" si="517"/>
        <v>1.065262659</v>
      </c>
      <c r="AX257" s="24">
        <f t="shared" si="5"/>
        <v>1.138092483</v>
      </c>
      <c r="AY257" s="25">
        <f t="shared" si="6"/>
        <v>1.073282506</v>
      </c>
      <c r="AZ257" s="23">
        <f t="shared" si="7"/>
        <v>1.381804241</v>
      </c>
      <c r="BA257" s="25">
        <f t="shared" si="8"/>
        <v>1.199553959</v>
      </c>
      <c r="BB257" s="23">
        <f t="shared" si="9"/>
        <v>0.887813679</v>
      </c>
      <c r="BC257" s="24">
        <f t="shared" si="10"/>
        <v>0.9313869629</v>
      </c>
      <c r="BD257" s="25">
        <f t="shared" si="11"/>
        <v>1.119148558</v>
      </c>
      <c r="BE257" s="26">
        <f t="shared" ref="BE257:BF257" si="518">((S257-S$289)/S$290)</f>
        <v>-0.4814783162</v>
      </c>
      <c r="BF257" s="26">
        <f t="shared" si="518"/>
        <v>1.109756041</v>
      </c>
    </row>
    <row r="258">
      <c r="A258" s="16" t="s">
        <v>67</v>
      </c>
      <c r="B258" s="20">
        <f t="shared" si="3"/>
        <v>-0.9743235784</v>
      </c>
      <c r="C258" s="16" t="s">
        <v>68</v>
      </c>
      <c r="D258" s="16" t="s">
        <v>69</v>
      </c>
      <c r="E258" s="16">
        <v>229.0</v>
      </c>
      <c r="F258" s="21" t="s">
        <v>102</v>
      </c>
      <c r="G258" s="16" t="s">
        <v>100</v>
      </c>
      <c r="H258" s="21" t="s">
        <v>105</v>
      </c>
      <c r="I258" s="21" t="s">
        <v>73</v>
      </c>
      <c r="J258" s="21" t="s">
        <v>74</v>
      </c>
      <c r="K258" s="21" t="s">
        <v>99</v>
      </c>
      <c r="L258" s="16" t="s">
        <v>76</v>
      </c>
      <c r="M258" s="21" t="s">
        <v>77</v>
      </c>
      <c r="N258" s="16" t="s">
        <v>95</v>
      </c>
      <c r="O258" s="16" t="s">
        <v>92</v>
      </c>
      <c r="P258" s="16" t="s">
        <v>80</v>
      </c>
      <c r="Q258" s="21" t="s">
        <v>81</v>
      </c>
      <c r="R258" s="21" t="s">
        <v>81</v>
      </c>
      <c r="S258" s="22">
        <v>1087.93112659454</v>
      </c>
      <c r="T258" s="22">
        <v>448.095098257064</v>
      </c>
      <c r="U258" s="22">
        <v>3.72234027449487</v>
      </c>
      <c r="V258" s="22">
        <v>20.4819394305754</v>
      </c>
      <c r="W258" s="22">
        <v>4.52569767335108</v>
      </c>
      <c r="X258" s="22">
        <v>0.380917811624897</v>
      </c>
      <c r="Y258" s="22">
        <v>0.105361925835709</v>
      </c>
      <c r="Z258" s="22">
        <v>0.0155496019287829</v>
      </c>
      <c r="AA258" s="22">
        <v>0.124698043003019</v>
      </c>
      <c r="AB258" s="22">
        <v>0.633334659351497</v>
      </c>
      <c r="AC258" s="22">
        <v>0.10597564153142</v>
      </c>
      <c r="AD258" s="22">
        <v>0.125098607929708</v>
      </c>
      <c r="AE258" s="22">
        <v>0.636778063662109</v>
      </c>
      <c r="AF258" s="22">
        <v>0.148646631720959</v>
      </c>
      <c r="AG258" s="22">
        <v>0.180178488166867</v>
      </c>
      <c r="AH258" s="22">
        <v>0.253474019711833</v>
      </c>
      <c r="AI258" s="22">
        <v>10.0</v>
      </c>
      <c r="AJ258" s="22">
        <v>3.72234027449489</v>
      </c>
      <c r="AK258" s="22">
        <v>20.4819394305754</v>
      </c>
      <c r="AL258" s="22">
        <v>4.52569767335108</v>
      </c>
      <c r="AM258" s="22">
        <v>0.380652948260335</v>
      </c>
      <c r="AN258" s="22">
        <v>2.93199274903599</v>
      </c>
      <c r="AO258" s="22">
        <v>11.9789466102551</v>
      </c>
      <c r="AP258" s="22">
        <v>3.46106148605527</v>
      </c>
      <c r="AQ258" s="22">
        <v>0.636778063662109</v>
      </c>
      <c r="AR258" s="22">
        <v>4.11255681094684</v>
      </c>
      <c r="AS258" s="22">
        <v>24.8496085848109</v>
      </c>
      <c r="AT258" s="22">
        <v>4.98493817261667</v>
      </c>
      <c r="AU258" s="22">
        <v>0.253474019711833</v>
      </c>
      <c r="AV258" s="23">
        <f t="shared" ref="AV258:AW258" si="519">(AC258-AC$289)/AC$290</f>
        <v>0.288109448</v>
      </c>
      <c r="AW258" s="24">
        <f t="shared" si="519"/>
        <v>0.1545481925</v>
      </c>
      <c r="AX258" s="24">
        <f t="shared" si="5"/>
        <v>1.555810116</v>
      </c>
      <c r="AY258" s="25">
        <f t="shared" si="6"/>
        <v>1.394540186</v>
      </c>
      <c r="AZ258" s="23">
        <f t="shared" si="7"/>
        <v>1.296261484</v>
      </c>
      <c r="BA258" s="25">
        <f t="shared" si="8"/>
        <v>1.119105415</v>
      </c>
      <c r="BB258" s="23">
        <f t="shared" si="9"/>
        <v>0.08548820959</v>
      </c>
      <c r="BC258" s="24">
        <f t="shared" si="10"/>
        <v>1.252767588</v>
      </c>
      <c r="BD258" s="25">
        <f t="shared" si="11"/>
        <v>1.041983476</v>
      </c>
      <c r="BE258" s="26">
        <f t="shared" ref="BE258:BF258" si="520">((S258-S$289)/S$290)</f>
        <v>1.017340949</v>
      </c>
      <c r="BF258" s="26">
        <f t="shared" si="520"/>
        <v>1.511604299</v>
      </c>
    </row>
    <row r="259">
      <c r="A259" s="16" t="s">
        <v>82</v>
      </c>
      <c r="B259" s="20">
        <f t="shared" si="3"/>
        <v>-0.9758175985</v>
      </c>
      <c r="C259" s="16" t="s">
        <v>68</v>
      </c>
      <c r="D259" s="16" t="s">
        <v>69</v>
      </c>
      <c r="E259" s="16">
        <v>264.0</v>
      </c>
      <c r="F259" s="21" t="s">
        <v>102</v>
      </c>
      <c r="G259" s="16" t="s">
        <v>100</v>
      </c>
      <c r="H259" s="21" t="s">
        <v>105</v>
      </c>
      <c r="I259" s="21" t="s">
        <v>73</v>
      </c>
      <c r="J259" s="21" t="s">
        <v>74</v>
      </c>
      <c r="K259" s="21" t="s">
        <v>99</v>
      </c>
      <c r="L259" s="16" t="s">
        <v>90</v>
      </c>
      <c r="M259" s="21" t="s">
        <v>77</v>
      </c>
      <c r="N259" s="16" t="s">
        <v>78</v>
      </c>
      <c r="O259" s="16" t="s">
        <v>86</v>
      </c>
      <c r="P259" s="16" t="s">
        <v>80</v>
      </c>
      <c r="Q259" s="21" t="s">
        <v>104</v>
      </c>
      <c r="R259" s="21" t="s">
        <v>94</v>
      </c>
      <c r="S259" s="22">
        <v>433.533824443817</v>
      </c>
      <c r="T259" s="22">
        <v>324.175854682922</v>
      </c>
      <c r="U259" s="22">
        <v>3.79748106689614</v>
      </c>
      <c r="V259" s="22">
        <v>22.354696112973</v>
      </c>
      <c r="W259" s="22">
        <v>4.72807530745577</v>
      </c>
      <c r="X259" s="22">
        <v>0.32414253765061</v>
      </c>
      <c r="Y259" s="22">
        <v>0.126157964435907</v>
      </c>
      <c r="Z259" s="22">
        <v>0.0234406357899748</v>
      </c>
      <c r="AA259" s="22">
        <v>0.153103350028583</v>
      </c>
      <c r="AB259" s="22">
        <v>0.447261174510253</v>
      </c>
      <c r="AC259" s="22">
        <v>0.127056642761371</v>
      </c>
      <c r="AD259" s="22">
        <v>0.15371322586121</v>
      </c>
      <c r="AE259" s="22">
        <v>0.451609921291541</v>
      </c>
      <c r="AF259" s="22">
        <v>0.137348356301461</v>
      </c>
      <c r="AG259" s="22">
        <v>0.173205286047138</v>
      </c>
      <c r="AH259" s="22">
        <v>0.310139413042081</v>
      </c>
      <c r="AI259" s="22">
        <v>10.0</v>
      </c>
      <c r="AJ259" s="22">
        <v>3.79748106689618</v>
      </c>
      <c r="AK259" s="22">
        <v>22.354696112973</v>
      </c>
      <c r="AL259" s="22">
        <v>4.72807530745577</v>
      </c>
      <c r="AM259" s="22">
        <v>0.324023236323131</v>
      </c>
      <c r="AN259" s="22">
        <v>3.51523378306486</v>
      </c>
      <c r="AO259" s="22">
        <v>18.0857344153664</v>
      </c>
      <c r="AP259" s="22">
        <v>4.25273258216014</v>
      </c>
      <c r="AQ259" s="22">
        <v>0.451609921291541</v>
      </c>
      <c r="AR259" s="22">
        <v>3.79997119100734</v>
      </c>
      <c r="AS259" s="22">
        <v>22.9633877676633</v>
      </c>
      <c r="AT259" s="22">
        <v>4.79201291397084</v>
      </c>
      <c r="AU259" s="22">
        <v>0.310139413042081</v>
      </c>
      <c r="AV259" s="23">
        <f t="shared" ref="AV259:AW259" si="521">(AC259-AC$289)/AC$290</f>
        <v>1.111342004</v>
      </c>
      <c r="AW259" s="24">
        <f t="shared" si="521"/>
        <v>1.077227404</v>
      </c>
      <c r="AX259" s="24">
        <f t="shared" si="5"/>
        <v>1.021533764</v>
      </c>
      <c r="AY259" s="25">
        <f t="shared" si="6"/>
        <v>1.113514671</v>
      </c>
      <c r="AZ259" s="23">
        <f t="shared" si="7"/>
        <v>1.434914435</v>
      </c>
      <c r="BA259" s="25">
        <f t="shared" si="8"/>
        <v>1.427133436</v>
      </c>
      <c r="BB259" s="23">
        <f t="shared" si="9"/>
        <v>0.9112335176</v>
      </c>
      <c r="BC259" s="24">
        <f t="shared" si="10"/>
        <v>0.9664513095</v>
      </c>
      <c r="BD259" s="25">
        <f t="shared" si="11"/>
        <v>1.377869082</v>
      </c>
      <c r="BE259" s="26">
        <f t="shared" ref="BE259:BF259" si="522">((S259-S$289)/S$290)</f>
        <v>-0.2390670223</v>
      </c>
      <c r="BF259" s="26">
        <f t="shared" si="522"/>
        <v>0.5318409837</v>
      </c>
    </row>
    <row r="260">
      <c r="A260" s="16" t="s">
        <v>82</v>
      </c>
      <c r="B260" s="20">
        <f t="shared" si="3"/>
        <v>-0.9882865126</v>
      </c>
      <c r="C260" s="16" t="s">
        <v>68</v>
      </c>
      <c r="D260" s="16" t="s">
        <v>69</v>
      </c>
      <c r="E260" s="16">
        <v>203.0</v>
      </c>
      <c r="F260" s="21" t="s">
        <v>102</v>
      </c>
      <c r="G260" s="16" t="s">
        <v>71</v>
      </c>
      <c r="H260" s="21" t="s">
        <v>103</v>
      </c>
      <c r="I260" s="21" t="s">
        <v>73</v>
      </c>
      <c r="J260" s="21" t="s">
        <v>74</v>
      </c>
      <c r="K260" s="21" t="s">
        <v>99</v>
      </c>
      <c r="L260" s="16" t="s">
        <v>76</v>
      </c>
      <c r="M260" s="21" t="s">
        <v>77</v>
      </c>
      <c r="N260" s="16" t="s">
        <v>91</v>
      </c>
      <c r="O260" s="16" t="s">
        <v>86</v>
      </c>
      <c r="P260" s="16" t="s">
        <v>80</v>
      </c>
      <c r="Q260" s="21" t="s">
        <v>81</v>
      </c>
      <c r="R260" s="21" t="s">
        <v>104</v>
      </c>
      <c r="S260" s="22">
        <v>625.083647727966</v>
      </c>
      <c r="T260" s="22">
        <v>402.642029762268</v>
      </c>
      <c r="U260" s="22">
        <v>3.72522210100512</v>
      </c>
      <c r="V260" s="22">
        <v>20.540099071944</v>
      </c>
      <c r="W260" s="22">
        <v>4.53211860744443</v>
      </c>
      <c r="X260" s="22">
        <v>0.380424782053265</v>
      </c>
      <c r="Y260" s="22">
        <v>0.129816453898478</v>
      </c>
      <c r="Z260" s="22">
        <v>0.0238667563049375</v>
      </c>
      <c r="AA260" s="22">
        <v>0.154488693129748</v>
      </c>
      <c r="AB260" s="22">
        <v>0.44449658926697</v>
      </c>
      <c r="AC260" s="22">
        <v>0.130231211035728</v>
      </c>
      <c r="AD260" s="22">
        <v>0.154730249864031</v>
      </c>
      <c r="AE260" s="22">
        <v>0.446983992857807</v>
      </c>
      <c r="AF260" s="22">
        <v>0.137851380947707</v>
      </c>
      <c r="AG260" s="22">
        <v>0.169573295783677</v>
      </c>
      <c r="AH260" s="22">
        <v>0.337808191632985</v>
      </c>
      <c r="AI260" s="22">
        <v>10.0</v>
      </c>
      <c r="AJ260" s="22">
        <v>3.72522210100515</v>
      </c>
      <c r="AK260" s="22">
        <v>20.540099071944</v>
      </c>
      <c r="AL260" s="22">
        <v>4.53211860744443</v>
      </c>
      <c r="AM260" s="22">
        <v>0.380404440919747</v>
      </c>
      <c r="AN260" s="22">
        <v>3.60306350532208</v>
      </c>
      <c r="AO260" s="22">
        <v>18.3258500651276</v>
      </c>
      <c r="AP260" s="22">
        <v>4.28087024623821</v>
      </c>
      <c r="AQ260" s="22">
        <v>0.446983992857806</v>
      </c>
      <c r="AR260" s="22">
        <v>3.81388820622018</v>
      </c>
      <c r="AS260" s="22">
        <v>22.0104335674671</v>
      </c>
      <c r="AT260" s="22">
        <v>4.69152785001508</v>
      </c>
      <c r="AU260" s="22">
        <v>0.337808191632985</v>
      </c>
      <c r="AV260" s="23">
        <f t="shared" ref="AV260:AW260" si="523">(AC260-AC$289)/AC$290</f>
        <v>1.235311826</v>
      </c>
      <c r="AW260" s="24">
        <f t="shared" si="523"/>
        <v>1.110021373</v>
      </c>
      <c r="AX260" s="24">
        <f t="shared" si="5"/>
        <v>1.045320949</v>
      </c>
      <c r="AY260" s="25">
        <f t="shared" si="6"/>
        <v>0.9671426144</v>
      </c>
      <c r="AZ260" s="23">
        <f t="shared" si="7"/>
        <v>1.301579151</v>
      </c>
      <c r="BA260" s="25">
        <f t="shared" si="8"/>
        <v>1.128878371</v>
      </c>
      <c r="BB260" s="23">
        <f t="shared" si="9"/>
        <v>0.931862545</v>
      </c>
      <c r="BC260" s="24">
        <f t="shared" si="10"/>
        <v>0.8266477848</v>
      </c>
      <c r="BD260" s="25">
        <f t="shared" si="11"/>
        <v>1.043457438</v>
      </c>
      <c r="BE260" s="26">
        <f t="shared" ref="BE260:BF260" si="524">((S260-S$289)/S$290)</f>
        <v>0.1286984378</v>
      </c>
      <c r="BF260" s="26">
        <f t="shared" si="524"/>
        <v>1.152231148</v>
      </c>
    </row>
    <row r="261">
      <c r="A261" s="16" t="s">
        <v>82</v>
      </c>
      <c r="B261" s="20">
        <f t="shared" si="3"/>
        <v>-1.0510096</v>
      </c>
      <c r="C261" s="16" t="s">
        <v>68</v>
      </c>
      <c r="D261" s="16" t="s">
        <v>69</v>
      </c>
      <c r="E261" s="16">
        <v>261.0</v>
      </c>
      <c r="F261" s="21" t="s">
        <v>102</v>
      </c>
      <c r="G261" s="16" t="s">
        <v>100</v>
      </c>
      <c r="H261" s="21" t="s">
        <v>105</v>
      </c>
      <c r="I261" s="21" t="s">
        <v>88</v>
      </c>
      <c r="J261" s="21" t="s">
        <v>97</v>
      </c>
      <c r="K261" s="21" t="s">
        <v>99</v>
      </c>
      <c r="L261" s="16" t="s">
        <v>84</v>
      </c>
      <c r="M261" s="21" t="s">
        <v>77</v>
      </c>
      <c r="N261" s="16" t="s">
        <v>78</v>
      </c>
      <c r="O261" s="16" t="s">
        <v>79</v>
      </c>
      <c r="P261" s="16" t="s">
        <v>80</v>
      </c>
      <c r="Q261" s="21" t="s">
        <v>94</v>
      </c>
      <c r="R261" s="21" t="s">
        <v>94</v>
      </c>
      <c r="S261" s="22">
        <v>1334.26085019111</v>
      </c>
      <c r="T261" s="22">
        <v>334.82867193222</v>
      </c>
      <c r="U261" s="22">
        <v>3.71667536821976</v>
      </c>
      <c r="V261" s="22">
        <v>21.0835308180059</v>
      </c>
      <c r="W261" s="22">
        <v>4.59168060932007</v>
      </c>
      <c r="X261" s="22">
        <v>0.362440936075479</v>
      </c>
      <c r="Y261" s="22">
        <v>0.126138628481917</v>
      </c>
      <c r="Z261" s="22">
        <v>0.0232391266391329</v>
      </c>
      <c r="AA261" s="22">
        <v>0.152443847495177</v>
      </c>
      <c r="AB261" s="22">
        <v>0.448990640406947</v>
      </c>
      <c r="AC261" s="22">
        <v>0.127334044481278</v>
      </c>
      <c r="AD261" s="22">
        <v>0.153453718107434</v>
      </c>
      <c r="AE261" s="22">
        <v>0.450784919068849</v>
      </c>
      <c r="AF261" s="22">
        <v>0.135850669761339</v>
      </c>
      <c r="AG261" s="22">
        <v>0.168957397510705</v>
      </c>
      <c r="AH261" s="22">
        <v>0.343094202752355</v>
      </c>
      <c r="AI261" s="22">
        <v>10.0</v>
      </c>
      <c r="AJ261" s="22">
        <v>3.71667536821979</v>
      </c>
      <c r="AK261" s="22">
        <v>21.0835308180059</v>
      </c>
      <c r="AL261" s="22">
        <v>4.59168060932007</v>
      </c>
      <c r="AM261" s="22">
        <v>0.362357792288556</v>
      </c>
      <c r="AN261" s="22">
        <v>3.52290856398221</v>
      </c>
      <c r="AO261" s="22">
        <v>18.0247191519177</v>
      </c>
      <c r="AP261" s="22">
        <v>4.245552867639</v>
      </c>
      <c r="AQ261" s="22">
        <v>0.450784919068849</v>
      </c>
      <c r="AR261" s="22">
        <v>3.7585351967306</v>
      </c>
      <c r="AS261" s="22">
        <v>21.8508380415406</v>
      </c>
      <c r="AT261" s="22">
        <v>4.67448799779619</v>
      </c>
      <c r="AU261" s="22">
        <v>0.343094202752355</v>
      </c>
      <c r="AV261" s="23">
        <f t="shared" ref="AV261:AW261" si="525">(AC261-AC$289)/AC$290</f>
        <v>1.122174798</v>
      </c>
      <c r="AW261" s="24">
        <f t="shared" si="525"/>
        <v>1.068859569</v>
      </c>
      <c r="AX261" s="24">
        <f t="shared" si="5"/>
        <v>0.9507106982</v>
      </c>
      <c r="AY261" s="25">
        <f t="shared" si="6"/>
        <v>0.9423214309</v>
      </c>
      <c r="AZ261" s="23">
        <f t="shared" si="7"/>
        <v>1.28580836</v>
      </c>
      <c r="BA261" s="25">
        <f t="shared" si="8"/>
        <v>1.219534463</v>
      </c>
      <c r="BB261" s="23">
        <f t="shared" si="9"/>
        <v>0.9149125614</v>
      </c>
      <c r="BC261" s="24">
        <f t="shared" si="10"/>
        <v>0.7999388723</v>
      </c>
      <c r="BD261" s="25">
        <f t="shared" si="11"/>
        <v>1.150496823</v>
      </c>
      <c r="BE261" s="26">
        <f t="shared" ref="BE261:BF261" si="526">((S261-S$289)/S$290)</f>
        <v>1.490280901</v>
      </c>
      <c r="BF261" s="26">
        <f t="shared" si="526"/>
        <v>0.6160671236</v>
      </c>
    </row>
    <row r="262">
      <c r="A262" s="16" t="s">
        <v>82</v>
      </c>
      <c r="B262" s="20">
        <f t="shared" si="3"/>
        <v>-1.063122229</v>
      </c>
      <c r="C262" s="16" t="s">
        <v>68</v>
      </c>
      <c r="D262" s="16" t="s">
        <v>69</v>
      </c>
      <c r="E262" s="16">
        <v>267.0</v>
      </c>
      <c r="F262" s="21" t="s">
        <v>102</v>
      </c>
      <c r="G262" s="16" t="s">
        <v>100</v>
      </c>
      <c r="H262" s="21" t="s">
        <v>105</v>
      </c>
      <c r="I262" s="21" t="s">
        <v>88</v>
      </c>
      <c r="J262" s="21" t="s">
        <v>74</v>
      </c>
      <c r="K262" s="21" t="s">
        <v>99</v>
      </c>
      <c r="L262" s="16" t="s">
        <v>76</v>
      </c>
      <c r="M262" s="21" t="s">
        <v>77</v>
      </c>
      <c r="N262" s="16" t="s">
        <v>78</v>
      </c>
      <c r="O262" s="16" t="s">
        <v>86</v>
      </c>
      <c r="P262" s="16" t="s">
        <v>80</v>
      </c>
      <c r="Q262" s="21" t="s">
        <v>94</v>
      </c>
      <c r="R262" s="21" t="s">
        <v>104</v>
      </c>
      <c r="S262" s="22">
        <v>1393.91837787628</v>
      </c>
      <c r="T262" s="22">
        <v>426.494845390319</v>
      </c>
      <c r="U262" s="22">
        <v>3.69346152524795</v>
      </c>
      <c r="V262" s="22">
        <v>20.9379704476178</v>
      </c>
      <c r="W262" s="22">
        <v>4.57580271074025</v>
      </c>
      <c r="X262" s="22">
        <v>0.366933899721281</v>
      </c>
      <c r="Y262" s="22">
        <v>0.12070687244107</v>
      </c>
      <c r="Z262" s="22">
        <v>0.0210859586058516</v>
      </c>
      <c r="AA262" s="22">
        <v>0.145210049947831</v>
      </c>
      <c r="AB262" s="22">
        <v>0.500043150147859</v>
      </c>
      <c r="AC262" s="22">
        <v>0.121367837557329</v>
      </c>
      <c r="AD262" s="22">
        <v>0.145574431804373</v>
      </c>
      <c r="AE262" s="22">
        <v>0.505737308108813</v>
      </c>
      <c r="AF262" s="22">
        <v>0.136255358701665</v>
      </c>
      <c r="AG262" s="22">
        <v>0.170211905285306</v>
      </c>
      <c r="AH262" s="22">
        <v>0.333302943101429</v>
      </c>
      <c r="AI262" s="22">
        <v>10.0</v>
      </c>
      <c r="AJ262" s="22">
        <v>3.69346152524798</v>
      </c>
      <c r="AK262" s="22">
        <v>20.9379704476178</v>
      </c>
      <c r="AL262" s="22">
        <v>4.57580271074025</v>
      </c>
      <c r="AM262" s="22">
        <v>0.366760064219704</v>
      </c>
      <c r="AN262" s="22">
        <v>3.35784350575298</v>
      </c>
      <c r="AO262" s="22">
        <v>16.2212337532777</v>
      </c>
      <c r="AP262" s="22">
        <v>4.02755927992099</v>
      </c>
      <c r="AQ262" s="22">
        <v>0.505737308108813</v>
      </c>
      <c r="AR262" s="22">
        <v>3.7697315907463</v>
      </c>
      <c r="AS262" s="22">
        <v>22.1765274017981</v>
      </c>
      <c r="AT262" s="22">
        <v>4.7091960462268</v>
      </c>
      <c r="AU262" s="22">
        <v>0.333302943101429</v>
      </c>
      <c r="AV262" s="23">
        <f t="shared" ref="AV262:AW262" si="527">(AC262-AC$289)/AC$290</f>
        <v>0.8891889103</v>
      </c>
      <c r="AW262" s="24">
        <f t="shared" si="527"/>
        <v>0.8147917461</v>
      </c>
      <c r="AX262" s="24">
        <f t="shared" si="5"/>
        <v>0.9698477544</v>
      </c>
      <c r="AY262" s="25">
        <f t="shared" si="6"/>
        <v>0.9928790782</v>
      </c>
      <c r="AZ262" s="23">
        <f t="shared" si="7"/>
        <v>1.242973201</v>
      </c>
      <c r="BA262" s="25">
        <f t="shared" si="8"/>
        <v>1.195367575</v>
      </c>
      <c r="BB262" s="23">
        <f t="shared" si="9"/>
        <v>0.6698559505</v>
      </c>
      <c r="BC262" s="24">
        <f t="shared" si="10"/>
        <v>0.8494116962</v>
      </c>
      <c r="BD262" s="25">
        <f t="shared" si="11"/>
        <v>1.124385799</v>
      </c>
      <c r="BE262" s="26">
        <f t="shared" ref="BE262:BF262" si="528">((S262-S$289)/S$290)</f>
        <v>1.604820177</v>
      </c>
      <c r="BF262" s="26">
        <f t="shared" si="528"/>
        <v>1.340822629</v>
      </c>
    </row>
    <row r="263">
      <c r="A263" s="16" t="s">
        <v>67</v>
      </c>
      <c r="B263" s="20">
        <f t="shared" si="3"/>
        <v>-1.117625001</v>
      </c>
      <c r="C263" s="16" t="s">
        <v>68</v>
      </c>
      <c r="D263" s="16" t="s">
        <v>69</v>
      </c>
      <c r="E263" s="16">
        <v>222.0</v>
      </c>
      <c r="F263" s="21" t="s">
        <v>102</v>
      </c>
      <c r="G263" s="16" t="s">
        <v>100</v>
      </c>
      <c r="H263" s="21" t="s">
        <v>105</v>
      </c>
      <c r="I263" s="21" t="s">
        <v>73</v>
      </c>
      <c r="J263" s="21" t="s">
        <v>74</v>
      </c>
      <c r="K263" s="21" t="s">
        <v>99</v>
      </c>
      <c r="L263" s="16" t="s">
        <v>84</v>
      </c>
      <c r="M263" s="21" t="s">
        <v>77</v>
      </c>
      <c r="N263" s="16" t="s">
        <v>95</v>
      </c>
      <c r="O263" s="16" t="s">
        <v>92</v>
      </c>
      <c r="P263" s="16" t="s">
        <v>80</v>
      </c>
      <c r="Q263" s="21" t="s">
        <v>87</v>
      </c>
      <c r="R263" s="21" t="s">
        <v>89</v>
      </c>
      <c r="S263" s="22">
        <v>1378.78851866722</v>
      </c>
      <c r="T263" s="22">
        <v>328.949169874191</v>
      </c>
      <c r="U263" s="22">
        <v>3.93355436994568</v>
      </c>
      <c r="V263" s="22">
        <v>22.9864041343512</v>
      </c>
      <c r="W263" s="22">
        <v>4.79441384679621</v>
      </c>
      <c r="X263" s="22">
        <v>0.305422985570257</v>
      </c>
      <c r="Y263" s="22">
        <v>0.0865560720950584</v>
      </c>
      <c r="Z263" s="22">
        <v>0.0103587584802277</v>
      </c>
      <c r="AA263" s="22">
        <v>0.101777986226039</v>
      </c>
      <c r="AB263" s="22">
        <v>0.75573665973933</v>
      </c>
      <c r="AC263" s="22">
        <v>0.086913093443609</v>
      </c>
      <c r="AD263" s="22">
        <v>0.101952370739245</v>
      </c>
      <c r="AE263" s="22">
        <v>0.758753082197501</v>
      </c>
      <c r="AF263" s="22">
        <v>0.167821522676851</v>
      </c>
      <c r="AG263" s="22">
        <v>0.201902843473691</v>
      </c>
      <c r="AH263" s="22">
        <v>0.0626022213926661</v>
      </c>
      <c r="AI263" s="22">
        <v>10.0</v>
      </c>
      <c r="AJ263" s="22">
        <v>3.93355436994571</v>
      </c>
      <c r="AK263" s="22">
        <v>22.9864041343512</v>
      </c>
      <c r="AL263" s="22">
        <v>4.7944138467962</v>
      </c>
      <c r="AM263" s="22">
        <v>0.304921212223948</v>
      </c>
      <c r="AN263" s="22">
        <v>2.40459558527317</v>
      </c>
      <c r="AO263" s="22">
        <v>7.95624839562664</v>
      </c>
      <c r="AP263" s="22">
        <v>2.82068225711912</v>
      </c>
      <c r="AQ263" s="22">
        <v>0.7587530821975</v>
      </c>
      <c r="AR263" s="22">
        <v>4.64306212739325</v>
      </c>
      <c r="AS263" s="22">
        <v>31.2031576954251</v>
      </c>
      <c r="AT263" s="22">
        <v>5.58597866943878</v>
      </c>
      <c r="AU263" s="22">
        <v>0.0626022213926662</v>
      </c>
      <c r="AV263" s="23">
        <f t="shared" ref="AV263:AW263" si="529">(AC263-AC$289)/AC$290</f>
        <v>-0.4563006502</v>
      </c>
      <c r="AW263" s="24">
        <f t="shared" si="529"/>
        <v>-0.5918029183</v>
      </c>
      <c r="AX263" s="24">
        <f t="shared" si="5"/>
        <v>2.462558305</v>
      </c>
      <c r="AY263" s="25">
        <f t="shared" si="6"/>
        <v>2.270048744</v>
      </c>
      <c r="AZ263" s="23">
        <f t="shared" si="7"/>
        <v>1.686002617</v>
      </c>
      <c r="BA263" s="25">
        <f t="shared" si="8"/>
        <v>1.528103728</v>
      </c>
      <c r="BB263" s="23">
        <f t="shared" si="9"/>
        <v>-0.4584514657</v>
      </c>
      <c r="BC263" s="24">
        <f t="shared" si="10"/>
        <v>2.217195782</v>
      </c>
      <c r="BD263" s="25">
        <f t="shared" si="11"/>
        <v>1.491168174</v>
      </c>
      <c r="BE263" s="26">
        <f t="shared" ref="BE263:BF263" si="530">((S263-S$289)/S$290)</f>
        <v>1.575771653</v>
      </c>
      <c r="BF263" s="26">
        <f t="shared" si="530"/>
        <v>0.5695810391</v>
      </c>
    </row>
    <row r="264">
      <c r="A264" s="16" t="s">
        <v>67</v>
      </c>
      <c r="B264" s="20">
        <f t="shared" si="3"/>
        <v>-1.173370707</v>
      </c>
      <c r="C264" s="16" t="s">
        <v>68</v>
      </c>
      <c r="D264" s="16" t="s">
        <v>69</v>
      </c>
      <c r="E264" s="16">
        <v>217.0</v>
      </c>
      <c r="F264" s="21" t="s">
        <v>102</v>
      </c>
      <c r="G264" s="16" t="s">
        <v>100</v>
      </c>
      <c r="H264" s="21" t="s">
        <v>105</v>
      </c>
      <c r="I264" s="21" t="s">
        <v>73</v>
      </c>
      <c r="J264" s="21" t="s">
        <v>97</v>
      </c>
      <c r="K264" s="21" t="s">
        <v>99</v>
      </c>
      <c r="L264" s="16" t="s">
        <v>84</v>
      </c>
      <c r="M264" s="21" t="s">
        <v>77</v>
      </c>
      <c r="N264" s="16" t="s">
        <v>78</v>
      </c>
      <c r="O264" s="16" t="s">
        <v>86</v>
      </c>
      <c r="P264" s="16" t="s">
        <v>80</v>
      </c>
      <c r="Q264" s="21" t="s">
        <v>98</v>
      </c>
      <c r="R264" s="21" t="s">
        <v>98</v>
      </c>
      <c r="S264" s="22">
        <v>2731.08142614364</v>
      </c>
      <c r="T264" s="22">
        <v>432.598212957382</v>
      </c>
      <c r="U264" s="22">
        <v>3.67755701227814</v>
      </c>
      <c r="V264" s="22">
        <v>20.1461687758282</v>
      </c>
      <c r="W264" s="22">
        <v>4.48844837063191</v>
      </c>
      <c r="X264" s="22">
        <v>0.391015865758426</v>
      </c>
      <c r="Y264" s="22">
        <v>0.109460127741863</v>
      </c>
      <c r="Z264" s="22">
        <v>0.0170814852274827</v>
      </c>
      <c r="AA264" s="22">
        <v>0.130696156131244</v>
      </c>
      <c r="AB264" s="22">
        <v>0.597212286950968</v>
      </c>
      <c r="AC264" s="22">
        <v>0.110138209756059</v>
      </c>
      <c r="AD264" s="22">
        <v>0.131141023244669</v>
      </c>
      <c r="AE264" s="22">
        <v>0.600842539136362</v>
      </c>
      <c r="AF264" s="22">
        <v>0.139990119557765</v>
      </c>
      <c r="AG264" s="22">
        <v>0.17091200661932</v>
      </c>
      <c r="AH264" s="22">
        <v>0.328286316216604</v>
      </c>
      <c r="AI264" s="22">
        <v>10.0</v>
      </c>
      <c r="AJ264" s="22">
        <v>3.67755701227817</v>
      </c>
      <c r="AK264" s="22">
        <v>20.1461687758282</v>
      </c>
      <c r="AL264" s="22">
        <v>4.48844837063191</v>
      </c>
      <c r="AM264" s="22">
        <v>0.39080621356918</v>
      </c>
      <c r="AN264" s="22">
        <v>3.04715713658442</v>
      </c>
      <c r="AO264" s="22">
        <v>13.1640890442324</v>
      </c>
      <c r="AP264" s="22">
        <v>3.62823497643584</v>
      </c>
      <c r="AQ264" s="22">
        <v>0.600842539136362</v>
      </c>
      <c r="AR264" s="22">
        <v>3.87305997443177</v>
      </c>
      <c r="AS264" s="22">
        <v>22.3593318435288</v>
      </c>
      <c r="AT264" s="22">
        <v>4.72856551646785</v>
      </c>
      <c r="AU264" s="22">
        <v>0.328286316216604</v>
      </c>
      <c r="AV264" s="23">
        <f t="shared" ref="AV264:AW264" si="531">(AC264-AC$289)/AC$290</f>
        <v>0.4506615793</v>
      </c>
      <c r="AW264" s="24">
        <f t="shared" si="531"/>
        <v>0.3493860552</v>
      </c>
      <c r="AX264" s="24">
        <f t="shared" si="5"/>
        <v>1.146458284</v>
      </c>
      <c r="AY264" s="25">
        <f t="shared" si="6"/>
        <v>1.021093711</v>
      </c>
      <c r="AZ264" s="23">
        <f t="shared" si="7"/>
        <v>1.213625524</v>
      </c>
      <c r="BA264" s="25">
        <f t="shared" si="8"/>
        <v>1.062410272</v>
      </c>
      <c r="BB264" s="23">
        <f t="shared" si="9"/>
        <v>0.2457403479</v>
      </c>
      <c r="BC264" s="24">
        <f t="shared" si="10"/>
        <v>0.8747594765</v>
      </c>
      <c r="BD264" s="25">
        <f t="shared" si="11"/>
        <v>0.981761809</v>
      </c>
      <c r="BE264" s="26">
        <f t="shared" ref="BE264:BF264" si="532">((S264-S$289)/S$290)</f>
        <v>4.172102022</v>
      </c>
      <c r="BF264" s="26">
        <f t="shared" si="532"/>
        <v>1.389078699</v>
      </c>
    </row>
    <row r="265">
      <c r="A265" s="16" t="s">
        <v>82</v>
      </c>
      <c r="B265" s="20">
        <f t="shared" si="3"/>
        <v>-1.201407612</v>
      </c>
      <c r="C265" s="16" t="s">
        <v>68</v>
      </c>
      <c r="D265" s="16" t="s">
        <v>69</v>
      </c>
      <c r="E265" s="16">
        <v>114.0</v>
      </c>
      <c r="F265" s="21" t="s">
        <v>70</v>
      </c>
      <c r="G265" s="16" t="s">
        <v>100</v>
      </c>
      <c r="H265" s="21" t="s">
        <v>101</v>
      </c>
      <c r="I265" s="21" t="s">
        <v>88</v>
      </c>
      <c r="J265" s="21" t="s">
        <v>97</v>
      </c>
      <c r="K265" s="21" t="s">
        <v>99</v>
      </c>
      <c r="L265" s="16" t="s">
        <v>84</v>
      </c>
      <c r="M265" s="21" t="s">
        <v>77</v>
      </c>
      <c r="N265" s="16" t="s">
        <v>78</v>
      </c>
      <c r="O265" s="16" t="s">
        <v>92</v>
      </c>
      <c r="P265" s="16" t="s">
        <v>80</v>
      </c>
      <c r="Q265" s="21" t="s">
        <v>98</v>
      </c>
      <c r="R265" s="21" t="s">
        <v>94</v>
      </c>
      <c r="S265" s="22">
        <v>799.757350444793</v>
      </c>
      <c r="T265" s="22">
        <v>138.631474494934</v>
      </c>
      <c r="U265" s="22">
        <v>3.88825973741105</v>
      </c>
      <c r="V265" s="22">
        <v>24.3140281231036</v>
      </c>
      <c r="W265" s="22">
        <v>4.93092568622805</v>
      </c>
      <c r="X265" s="22">
        <v>0.271274058157582</v>
      </c>
      <c r="Y265" s="22">
        <v>0.138614611204152</v>
      </c>
      <c r="Z265" s="22">
        <v>0.0300993549679178</v>
      </c>
      <c r="AA265" s="22">
        <v>0.173491656767459</v>
      </c>
      <c r="AB265" s="22">
        <v>0.339884531267096</v>
      </c>
      <c r="AC265" s="22">
        <v>0.139977169629975</v>
      </c>
      <c r="AD265" s="22">
        <v>0.174528781045952</v>
      </c>
      <c r="AE265" s="22">
        <v>0.344031487079083</v>
      </c>
      <c r="AF265" s="22">
        <v>0.1467356689873</v>
      </c>
      <c r="AG265" s="22">
        <v>0.186711491429519</v>
      </c>
      <c r="AH265" s="22">
        <v>0.252500687635178</v>
      </c>
      <c r="AI265" s="22">
        <v>10.0</v>
      </c>
      <c r="AJ265" s="22">
        <v>3.88825973741106</v>
      </c>
      <c r="AK265" s="22">
        <v>24.3140281231036</v>
      </c>
      <c r="AL265" s="22">
        <v>4.93092568622805</v>
      </c>
      <c r="AM265" s="22">
        <v>0.271190252652417</v>
      </c>
      <c r="AN265" s="22">
        <v>3.74438928760185</v>
      </c>
      <c r="AO265" s="22">
        <v>21.7962451367409</v>
      </c>
      <c r="AP265" s="22">
        <v>4.66864489297921</v>
      </c>
      <c r="AQ265" s="22">
        <v>0.344031487079083</v>
      </c>
      <c r="AR265" s="22">
        <v>3.92517914541028</v>
      </c>
      <c r="AS265" s="22">
        <v>24.9453538520929</v>
      </c>
      <c r="AT265" s="22">
        <v>4.99453239573965</v>
      </c>
      <c r="AU265" s="22">
        <v>0.252500687635178</v>
      </c>
      <c r="AV265" s="23">
        <f t="shared" ref="AV265:AW265" si="533">(AC265-AC$289)/AC$290</f>
        <v>1.615900505</v>
      </c>
      <c r="AW265" s="24">
        <f t="shared" si="533"/>
        <v>1.748425604</v>
      </c>
      <c r="AX265" s="24">
        <f t="shared" si="5"/>
        <v>1.235541206</v>
      </c>
      <c r="AY265" s="25">
        <f t="shared" si="6"/>
        <v>1.408515657</v>
      </c>
      <c r="AZ265" s="23">
        <f t="shared" si="7"/>
        <v>1.602423056</v>
      </c>
      <c r="BA265" s="25">
        <f t="shared" si="8"/>
        <v>1.735880995</v>
      </c>
      <c r="BB265" s="23">
        <f t="shared" si="9"/>
        <v>1.39097256</v>
      </c>
      <c r="BC265" s="24">
        <f t="shared" si="10"/>
        <v>1.257685595</v>
      </c>
      <c r="BD265" s="25">
        <f t="shared" si="11"/>
        <v>1.691235302</v>
      </c>
      <c r="BE265" s="26">
        <f t="shared" ref="BE265:BF265" si="534">((S265-S$289)/S$290)</f>
        <v>0.4640626451</v>
      </c>
      <c r="BF265" s="26">
        <f t="shared" si="534"/>
        <v>-0.9351593935</v>
      </c>
    </row>
    <row r="266">
      <c r="A266" s="16" t="s">
        <v>82</v>
      </c>
      <c r="B266" s="20">
        <f t="shared" si="3"/>
        <v>-1.247114767</v>
      </c>
      <c r="C266" s="16" t="s">
        <v>68</v>
      </c>
      <c r="D266" s="16" t="s">
        <v>69</v>
      </c>
      <c r="E266" s="16">
        <v>251.0</v>
      </c>
      <c r="F266" s="21" t="s">
        <v>102</v>
      </c>
      <c r="G266" s="16" t="s">
        <v>100</v>
      </c>
      <c r="H266" s="21" t="s">
        <v>105</v>
      </c>
      <c r="I266" s="21" t="s">
        <v>73</v>
      </c>
      <c r="J266" s="21" t="s">
        <v>83</v>
      </c>
      <c r="K266" s="21" t="s">
        <v>99</v>
      </c>
      <c r="L266" s="16" t="s">
        <v>90</v>
      </c>
      <c r="M266" s="21" t="s">
        <v>77</v>
      </c>
      <c r="N266" s="16" t="s">
        <v>78</v>
      </c>
      <c r="O266" s="16" t="s">
        <v>86</v>
      </c>
      <c r="P266" s="16" t="s">
        <v>80</v>
      </c>
      <c r="Q266" s="21" t="s">
        <v>93</v>
      </c>
      <c r="R266" s="21" t="s">
        <v>104</v>
      </c>
      <c r="S266" s="22">
        <v>514.184910774231</v>
      </c>
      <c r="T266" s="22">
        <v>377.75365114212</v>
      </c>
      <c r="U266" s="22">
        <v>3.91896756494686</v>
      </c>
      <c r="V266" s="22">
        <v>23.044148751409</v>
      </c>
      <c r="W266" s="22">
        <v>4.80043214215231</v>
      </c>
      <c r="X266" s="22">
        <v>0.303267605709182</v>
      </c>
      <c r="Y266" s="22">
        <v>0.137828680938618</v>
      </c>
      <c r="Z266" s="22">
        <v>0.0272133999755436</v>
      </c>
      <c r="AA266" s="22">
        <v>0.164964844665594</v>
      </c>
      <c r="AB266" s="22">
        <v>0.358298005444978</v>
      </c>
      <c r="AC266" s="22">
        <v>0.138769191811504</v>
      </c>
      <c r="AD266" s="22">
        <v>0.165617980660005</v>
      </c>
      <c r="AE266" s="22">
        <v>0.363377350767565</v>
      </c>
      <c r="AF266" s="22">
        <v>0.1440550326375</v>
      </c>
      <c r="AG266" s="22">
        <v>0.178086909286347</v>
      </c>
      <c r="AH266" s="22">
        <v>0.270705324400164</v>
      </c>
      <c r="AI266" s="22">
        <v>10.0</v>
      </c>
      <c r="AJ266" s="22">
        <v>3.91896756494689</v>
      </c>
      <c r="AK266" s="22">
        <v>23.044148751409</v>
      </c>
      <c r="AL266" s="22">
        <v>4.80043214215231</v>
      </c>
      <c r="AM266" s="22">
        <v>0.303175090551739</v>
      </c>
      <c r="AN266" s="22">
        <v>3.83928097345189</v>
      </c>
      <c r="AO266" s="22">
        <v>20.9956171780888</v>
      </c>
      <c r="AP266" s="22">
        <v>4.58209746492683</v>
      </c>
      <c r="AQ266" s="22">
        <v>0.363377350767565</v>
      </c>
      <c r="AR266" s="22">
        <v>3.98552256963776</v>
      </c>
      <c r="AS266" s="22">
        <v>24.2760301853755</v>
      </c>
      <c r="AT266" s="22">
        <v>4.92707115692228</v>
      </c>
      <c r="AU266" s="22">
        <v>0.270705324400164</v>
      </c>
      <c r="AV266" s="23">
        <f t="shared" ref="AV266:AW266" si="535">(AC266-AC$289)/AC$290</f>
        <v>1.568727856</v>
      </c>
      <c r="AW266" s="24">
        <f t="shared" si="535"/>
        <v>1.461096579</v>
      </c>
      <c r="AX266" s="24">
        <f t="shared" si="5"/>
        <v>1.338681154</v>
      </c>
      <c r="AY266" s="25">
        <f t="shared" si="6"/>
        <v>1.310247916</v>
      </c>
      <c r="AZ266" s="23">
        <f t="shared" si="7"/>
        <v>1.659086431</v>
      </c>
      <c r="BA266" s="25">
        <f t="shared" si="8"/>
        <v>1.537263849</v>
      </c>
      <c r="BB266" s="23">
        <f t="shared" si="9"/>
        <v>1.304700937</v>
      </c>
      <c r="BC266" s="24">
        <f t="shared" si="10"/>
        <v>1.165702049</v>
      </c>
      <c r="BD266" s="25">
        <f t="shared" si="11"/>
        <v>1.501524878</v>
      </c>
      <c r="BE266" s="26">
        <f t="shared" ref="BE266:BF266" si="536">((S266-S$289)/S$290)</f>
        <v>-0.08422123149</v>
      </c>
      <c r="BF266" s="26">
        <f t="shared" si="536"/>
        <v>0.9554520224</v>
      </c>
    </row>
    <row r="267">
      <c r="A267" s="16" t="s">
        <v>67</v>
      </c>
      <c r="B267" s="20">
        <f t="shared" si="3"/>
        <v>-1.247584562</v>
      </c>
      <c r="C267" s="16" t="s">
        <v>68</v>
      </c>
      <c r="D267" s="16" t="s">
        <v>69</v>
      </c>
      <c r="E267" s="16">
        <v>232.0</v>
      </c>
      <c r="F267" s="21" t="s">
        <v>102</v>
      </c>
      <c r="G267" s="16" t="s">
        <v>100</v>
      </c>
      <c r="H267" s="21" t="s">
        <v>105</v>
      </c>
      <c r="I267" s="21" t="s">
        <v>88</v>
      </c>
      <c r="J267" s="21" t="s">
        <v>74</v>
      </c>
      <c r="K267" s="21" t="s">
        <v>99</v>
      </c>
      <c r="L267" s="16" t="s">
        <v>84</v>
      </c>
      <c r="M267" s="21" t="s">
        <v>85</v>
      </c>
      <c r="N267" s="16" t="s">
        <v>91</v>
      </c>
      <c r="O267" s="16" t="s">
        <v>86</v>
      </c>
      <c r="P267" s="16" t="s">
        <v>80</v>
      </c>
      <c r="Q267" s="21" t="s">
        <v>94</v>
      </c>
      <c r="S267" s="22">
        <v>1528.63745832443</v>
      </c>
      <c r="T267" s="22">
        <v>422.57737660408</v>
      </c>
      <c r="U267" s="22">
        <v>3.71770165436041</v>
      </c>
      <c r="V267" s="22">
        <v>22.3111077619632</v>
      </c>
      <c r="W267" s="22">
        <v>4.72346353452244</v>
      </c>
      <c r="X267" s="22">
        <v>0.325496278772777</v>
      </c>
      <c r="Y267" s="22">
        <v>0.115672510266789</v>
      </c>
      <c r="Z267" s="22">
        <v>0.0207079680589024</v>
      </c>
      <c r="AA267" s="22">
        <v>0.143902633954012</v>
      </c>
      <c r="AB267" s="22">
        <v>0.509005463252</v>
      </c>
      <c r="AC267" s="22">
        <v>0.116662579073648</v>
      </c>
      <c r="AD267" s="22">
        <v>0.144607946174319</v>
      </c>
      <c r="AE267" s="22">
        <v>0.512278457369938</v>
      </c>
      <c r="AF267" s="22">
        <v>0.144307259980019</v>
      </c>
      <c r="AG267" s="22">
        <v>0.184305518715633</v>
      </c>
      <c r="AH267" s="22">
        <v>0.218326568103921</v>
      </c>
      <c r="AI267" s="22">
        <v>10.0</v>
      </c>
      <c r="AJ267" s="22">
        <v>3.71770165436042</v>
      </c>
      <c r="AK267" s="22">
        <v>22.3111077619632</v>
      </c>
      <c r="AL267" s="22">
        <v>4.72346353452244</v>
      </c>
      <c r="AM267" s="22">
        <v>0.325231426717372</v>
      </c>
      <c r="AN267" s="22">
        <v>3.22766468770443</v>
      </c>
      <c r="AO267" s="22">
        <v>16.0065594253938</v>
      </c>
      <c r="AP267" s="22">
        <v>4.00081984415618</v>
      </c>
      <c r="AQ267" s="22">
        <v>0.512278457369938</v>
      </c>
      <c r="AR267" s="22">
        <v>3.99250085944748</v>
      </c>
      <c r="AS267" s="22">
        <v>26.0010181570942</v>
      </c>
      <c r="AT267" s="22">
        <v>5.09911935113253</v>
      </c>
      <c r="AU267" s="22">
        <v>0.21832656810392</v>
      </c>
      <c r="AV267" s="23">
        <f t="shared" ref="AV267:AW267" si="537">(AC267-AC$289)/AC$290</f>
        <v>0.7054442234</v>
      </c>
      <c r="AW267" s="24">
        <f t="shared" si="537"/>
        <v>0.783627388</v>
      </c>
      <c r="AX267" s="24">
        <f t="shared" si="5"/>
        <v>1.350608559</v>
      </c>
      <c r="AY267" s="25">
        <f t="shared" si="6"/>
        <v>1.560862754</v>
      </c>
      <c r="AZ267" s="23">
        <f t="shared" si="7"/>
        <v>1.287702107</v>
      </c>
      <c r="BA267" s="25">
        <f t="shared" si="8"/>
        <v>1.420114106</v>
      </c>
      <c r="BB267" s="23">
        <f t="shared" si="9"/>
        <v>0.6406861201</v>
      </c>
      <c r="BC267" s="24">
        <f t="shared" si="10"/>
        <v>1.430359006</v>
      </c>
      <c r="BD267" s="25">
        <f t="shared" si="11"/>
        <v>1.37070299</v>
      </c>
      <c r="BE267" s="26">
        <f t="shared" ref="BE267:BF267" si="538">((S267-S$289)/S$290)</f>
        <v>1.863473637</v>
      </c>
      <c r="BF267" s="26">
        <f t="shared" si="538"/>
        <v>1.309849294</v>
      </c>
    </row>
    <row r="268">
      <c r="A268" s="16" t="s">
        <v>67</v>
      </c>
      <c r="B268" s="20">
        <f t="shared" si="3"/>
        <v>-1.261779249</v>
      </c>
      <c r="C268" s="16" t="s">
        <v>68</v>
      </c>
      <c r="D268" s="16" t="s">
        <v>69</v>
      </c>
      <c r="E268" s="16">
        <v>84.0</v>
      </c>
      <c r="F268" s="21" t="s">
        <v>70</v>
      </c>
      <c r="G268" s="16" t="s">
        <v>100</v>
      </c>
      <c r="H268" s="21" t="s">
        <v>101</v>
      </c>
      <c r="I268" s="21" t="s">
        <v>73</v>
      </c>
      <c r="J268" s="21" t="s">
        <v>74</v>
      </c>
      <c r="K268" s="21" t="s">
        <v>99</v>
      </c>
      <c r="L268" s="16" t="s">
        <v>84</v>
      </c>
      <c r="M268" s="21" t="s">
        <v>77</v>
      </c>
      <c r="N268" s="16" t="s">
        <v>91</v>
      </c>
      <c r="O268" s="16" t="s">
        <v>86</v>
      </c>
      <c r="P268" s="16" t="s">
        <v>80</v>
      </c>
      <c r="Q268" s="21" t="s">
        <v>89</v>
      </c>
      <c r="R268" s="21" t="s">
        <v>98</v>
      </c>
      <c r="S268" s="22">
        <v>532.743800640106</v>
      </c>
      <c r="T268" s="22">
        <v>136.39655637741</v>
      </c>
      <c r="U268" s="22">
        <v>4.00479741193633</v>
      </c>
      <c r="V268" s="22">
        <v>25.3382548158693</v>
      </c>
      <c r="W268" s="22">
        <v>5.03371183281972</v>
      </c>
      <c r="X268" s="22">
        <v>0.250571430378158</v>
      </c>
      <c r="Y268" s="22">
        <v>0.134725755703864</v>
      </c>
      <c r="Z268" s="22">
        <v>0.0270707105306539</v>
      </c>
      <c r="AA268" s="22">
        <v>0.164531791853896</v>
      </c>
      <c r="AB268" s="22">
        <v>0.413713923865038</v>
      </c>
      <c r="AC268" s="22">
        <v>0.135975376388871</v>
      </c>
      <c r="AD268" s="22">
        <v>0.165531859059292</v>
      </c>
      <c r="AE268" s="22">
        <v>0.416376153176103</v>
      </c>
      <c r="AF268" s="22">
        <v>0.157645537309892</v>
      </c>
      <c r="AG268" s="22">
        <v>0.199501858123301</v>
      </c>
      <c r="AH268" s="22">
        <v>0.159279859701313</v>
      </c>
      <c r="AI268" s="22">
        <v>10.0</v>
      </c>
      <c r="AJ268" s="22">
        <v>4.00479741193634</v>
      </c>
      <c r="AK268" s="22">
        <v>25.3382548158693</v>
      </c>
      <c r="AL268" s="22">
        <v>5.03371183281972</v>
      </c>
      <c r="AM268" s="22">
        <v>0.250334696238083</v>
      </c>
      <c r="AN268" s="22">
        <v>3.63734131840231</v>
      </c>
      <c r="AO268" s="22">
        <v>19.6069823479468</v>
      </c>
      <c r="AP268" s="22">
        <v>4.42797722983607</v>
      </c>
      <c r="AQ268" s="22">
        <v>0.416376153176103</v>
      </c>
      <c r="AR268" s="22">
        <v>4.21701812303964</v>
      </c>
      <c r="AS268" s="22">
        <v>28.4800969048341</v>
      </c>
      <c r="AT268" s="22">
        <v>5.33667470479831</v>
      </c>
      <c r="AU268" s="22">
        <v>0.159279859701313</v>
      </c>
      <c r="AV268" s="23">
        <f t="shared" ref="AV268:AW268" si="539">(AC268-AC$289)/AC$290</f>
        <v>1.459626785</v>
      </c>
      <c r="AW268" s="24">
        <f t="shared" si="539"/>
        <v>1.458319585</v>
      </c>
      <c r="AX268" s="24">
        <f t="shared" si="5"/>
        <v>1.734357064</v>
      </c>
      <c r="AY268" s="25">
        <f t="shared" si="6"/>
        <v>1.906898913</v>
      </c>
      <c r="AZ268" s="23">
        <f t="shared" si="7"/>
        <v>1.817463275</v>
      </c>
      <c r="BA268" s="25">
        <f t="shared" si="8"/>
        <v>1.892326214</v>
      </c>
      <c r="BB268" s="23">
        <f t="shared" si="9"/>
        <v>1.068356219</v>
      </c>
      <c r="BC268" s="24">
        <f t="shared" si="10"/>
        <v>1.728707483</v>
      </c>
      <c r="BD268" s="25">
        <f t="shared" si="11"/>
        <v>1.814935051</v>
      </c>
      <c r="BE268" s="26">
        <f t="shared" ref="BE268:BF268" si="540">((S268-S$289)/S$290)</f>
        <v>-0.04858915126</v>
      </c>
      <c r="BF268" s="26">
        <f t="shared" si="540"/>
        <v>-0.9528296982</v>
      </c>
    </row>
    <row r="269">
      <c r="A269" s="16" t="s">
        <v>67</v>
      </c>
      <c r="B269" s="20">
        <f t="shared" si="3"/>
        <v>-1.272869502</v>
      </c>
      <c r="C269" s="16" t="s">
        <v>68</v>
      </c>
      <c r="D269" s="16" t="s">
        <v>69</v>
      </c>
      <c r="E269" s="16">
        <v>103.0</v>
      </c>
      <c r="F269" s="21" t="s">
        <v>70</v>
      </c>
      <c r="G269" s="16" t="s">
        <v>100</v>
      </c>
      <c r="H269" s="21" t="s">
        <v>101</v>
      </c>
      <c r="I269" s="21" t="s">
        <v>73</v>
      </c>
      <c r="J269" s="21" t="s">
        <v>97</v>
      </c>
      <c r="K269" s="21" t="s">
        <v>99</v>
      </c>
      <c r="L269" s="16" t="s">
        <v>84</v>
      </c>
      <c r="M269" s="21" t="s">
        <v>77</v>
      </c>
      <c r="N269" s="16" t="s">
        <v>91</v>
      </c>
      <c r="O269" s="16" t="s">
        <v>86</v>
      </c>
      <c r="P269" s="16" t="s">
        <v>80</v>
      </c>
      <c r="Q269" s="21" t="s">
        <v>89</v>
      </c>
      <c r="R269" s="21" t="s">
        <v>89</v>
      </c>
      <c r="S269" s="22">
        <v>777.503470420837</v>
      </c>
      <c r="T269" s="22">
        <v>134.546033382415</v>
      </c>
      <c r="U269" s="22">
        <v>3.94119714937368</v>
      </c>
      <c r="V269" s="22">
        <v>24.9981269983639</v>
      </c>
      <c r="W269" s="22">
        <v>4.99981269632812</v>
      </c>
      <c r="X269" s="22">
        <v>0.260534450551703</v>
      </c>
      <c r="Y269" s="22">
        <v>0.141023295605149</v>
      </c>
      <c r="Z269" s="22">
        <v>0.0307034454366537</v>
      </c>
      <c r="AA269" s="22">
        <v>0.17522398647632</v>
      </c>
      <c r="AB269" s="22">
        <v>0.335037677400602</v>
      </c>
      <c r="AC269" s="22">
        <v>0.142326440696823</v>
      </c>
      <c r="AD269" s="22">
        <v>0.176205512419151</v>
      </c>
      <c r="AE269" s="22">
        <v>0.338684312155551</v>
      </c>
      <c r="AF269" s="22">
        <v>0.149003968206373</v>
      </c>
      <c r="AG269" s="22">
        <v>0.191468970405126</v>
      </c>
      <c r="AH269" s="22">
        <v>0.22561957642503</v>
      </c>
      <c r="AI269" s="22">
        <v>10.0</v>
      </c>
      <c r="AJ269" s="22">
        <v>3.94119714937369</v>
      </c>
      <c r="AK269" s="22">
        <v>24.9981269983639</v>
      </c>
      <c r="AL269" s="22">
        <v>4.99981269632812</v>
      </c>
      <c r="AM269" s="22">
        <v>0.260397821164444</v>
      </c>
      <c r="AN269" s="22">
        <v>3.80723228864004</v>
      </c>
      <c r="AO269" s="22">
        <v>22.2170582791468</v>
      </c>
      <c r="AP269" s="22">
        <v>4.7134974572123</v>
      </c>
      <c r="AQ269" s="22">
        <v>0.338684312155551</v>
      </c>
      <c r="AR269" s="22">
        <v>3.98585614952051</v>
      </c>
      <c r="AS269" s="22">
        <v>26.2327835952475</v>
      </c>
      <c r="AT269" s="22">
        <v>5.12179495833712</v>
      </c>
      <c r="AU269" s="22">
        <v>0.22561957642503</v>
      </c>
      <c r="AV269" s="23">
        <f t="shared" ref="AV269:AW269" si="541">(AC269-AC$289)/AC$290</f>
        <v>1.707641708</v>
      </c>
      <c r="AW269" s="24">
        <f t="shared" si="541"/>
        <v>1.802491857</v>
      </c>
      <c r="AX269" s="24">
        <f t="shared" si="5"/>
        <v>1.339251314</v>
      </c>
      <c r="AY269" s="25">
        <f t="shared" si="6"/>
        <v>1.593893287</v>
      </c>
      <c r="AZ269" s="23">
        <f t="shared" si="7"/>
        <v>1.700105395</v>
      </c>
      <c r="BA269" s="25">
        <f t="shared" si="8"/>
        <v>1.840730177</v>
      </c>
      <c r="BB269" s="23">
        <f t="shared" si="9"/>
        <v>1.414817939</v>
      </c>
      <c r="BC269" s="24">
        <f t="shared" si="10"/>
        <v>1.39350923</v>
      </c>
      <c r="BD269" s="25">
        <f t="shared" si="11"/>
        <v>1.75524803</v>
      </c>
      <c r="BE269" s="26">
        <f t="shared" ref="BE269:BF269" si="542">((S269-S$289)/S$290)</f>
        <v>0.4213363806</v>
      </c>
      <c r="BF269" s="26">
        <f t="shared" si="542"/>
        <v>-0.9674607958</v>
      </c>
    </row>
    <row r="270">
      <c r="A270" s="16" t="s">
        <v>82</v>
      </c>
      <c r="B270" s="20">
        <f t="shared" si="3"/>
        <v>-1.310409789</v>
      </c>
      <c r="C270" s="16" t="s">
        <v>68</v>
      </c>
      <c r="D270" s="16" t="s">
        <v>69</v>
      </c>
      <c r="E270" s="16">
        <v>280.0</v>
      </c>
      <c r="F270" s="21" t="s">
        <v>102</v>
      </c>
      <c r="G270" s="16" t="s">
        <v>100</v>
      </c>
      <c r="H270" s="21" t="s">
        <v>105</v>
      </c>
      <c r="I270" s="21" t="s">
        <v>73</v>
      </c>
      <c r="J270" s="21" t="s">
        <v>83</v>
      </c>
      <c r="K270" s="21" t="s">
        <v>99</v>
      </c>
      <c r="L270" s="16" t="s">
        <v>84</v>
      </c>
      <c r="M270" s="21" t="s">
        <v>77</v>
      </c>
      <c r="N270" s="16" t="s">
        <v>78</v>
      </c>
      <c r="O270" s="16" t="s">
        <v>86</v>
      </c>
      <c r="P270" s="16" t="s">
        <v>80</v>
      </c>
      <c r="Q270" s="21" t="s">
        <v>87</v>
      </c>
      <c r="R270" s="21" t="s">
        <v>94</v>
      </c>
      <c r="S270" s="22">
        <v>1474.38949751853</v>
      </c>
      <c r="T270" s="22">
        <v>331.895102739334</v>
      </c>
      <c r="U270" s="22">
        <v>3.90366816484916</v>
      </c>
      <c r="V270" s="22">
        <v>22.8233197942602</v>
      </c>
      <c r="W270" s="22">
        <v>4.77737582719427</v>
      </c>
      <c r="X270" s="22">
        <v>0.31000852699754</v>
      </c>
      <c r="Y270" s="22">
        <v>0.127061798585642</v>
      </c>
      <c r="Z270" s="22">
        <v>0.0230546019829954</v>
      </c>
      <c r="AA270" s="22">
        <v>0.151837419574344</v>
      </c>
      <c r="AB270" s="22">
        <v>0.45636399386127</v>
      </c>
      <c r="AC270" s="22">
        <v>0.127929198328761</v>
      </c>
      <c r="AD270" s="22">
        <v>0.152445200560839</v>
      </c>
      <c r="AE270" s="22">
        <v>0.460620262789241</v>
      </c>
      <c r="AF270" s="22">
        <v>0.148415051596769</v>
      </c>
      <c r="AG270" s="22">
        <v>0.182874704340047</v>
      </c>
      <c r="AH270" s="22">
        <v>0.230964614522447</v>
      </c>
      <c r="AI270" s="22">
        <v>10.0</v>
      </c>
      <c r="AJ270" s="22">
        <v>3.90366816484919</v>
      </c>
      <c r="AK270" s="22">
        <v>22.8233197942602</v>
      </c>
      <c r="AL270" s="22">
        <v>4.77737582719427</v>
      </c>
      <c r="AM270" s="22">
        <v>0.309852669304106</v>
      </c>
      <c r="AN270" s="22">
        <v>3.53937448709596</v>
      </c>
      <c r="AO270" s="22">
        <v>17.7885761522138</v>
      </c>
      <c r="AP270" s="22">
        <v>4.21765054884989</v>
      </c>
      <c r="AQ270" s="22">
        <v>0.46062026278924</v>
      </c>
      <c r="AR270" s="22">
        <v>4.10614976084426</v>
      </c>
      <c r="AS270" s="22">
        <v>25.5988791034568</v>
      </c>
      <c r="AT270" s="22">
        <v>5.05953348674132</v>
      </c>
      <c r="AU270" s="22">
        <v>0.230964614522447</v>
      </c>
      <c r="AV270" s="23">
        <f t="shared" ref="AV270:AW270" si="543">(AC270-AC$289)/AC$290</f>
        <v>1.145416105</v>
      </c>
      <c r="AW270" s="24">
        <f t="shared" si="543"/>
        <v>1.03633989</v>
      </c>
      <c r="AX270" s="24">
        <f t="shared" si="5"/>
        <v>1.544859083</v>
      </c>
      <c r="AY270" s="25">
        <f t="shared" si="6"/>
        <v>1.503199812</v>
      </c>
      <c r="AZ270" s="23">
        <f t="shared" si="7"/>
        <v>1.630855335</v>
      </c>
      <c r="BA270" s="25">
        <f t="shared" si="8"/>
        <v>1.502171083</v>
      </c>
      <c r="BB270" s="23">
        <f t="shared" si="9"/>
        <v>0.8710524847</v>
      </c>
      <c r="BC270" s="24">
        <f t="shared" si="10"/>
        <v>1.366502069</v>
      </c>
      <c r="BD270" s="25">
        <f t="shared" si="11"/>
        <v>1.461918415</v>
      </c>
      <c r="BE270" s="26">
        <f t="shared" ref="BE270:BF270" si="544">((S270-S$289)/S$290)</f>
        <v>1.759320441</v>
      </c>
      <c r="BF270" s="26">
        <f t="shared" si="544"/>
        <v>0.5928729579</v>
      </c>
    </row>
    <row r="271">
      <c r="A271" s="16" t="s">
        <v>82</v>
      </c>
      <c r="B271" s="20">
        <f t="shared" si="3"/>
        <v>-1.345649186</v>
      </c>
      <c r="C271" s="16" t="s">
        <v>68</v>
      </c>
      <c r="D271" s="16" t="s">
        <v>69</v>
      </c>
      <c r="E271" s="16">
        <v>278.0</v>
      </c>
      <c r="F271" s="21" t="s">
        <v>102</v>
      </c>
      <c r="G271" s="16" t="s">
        <v>100</v>
      </c>
      <c r="H271" s="21" t="s">
        <v>105</v>
      </c>
      <c r="I271" s="21" t="s">
        <v>88</v>
      </c>
      <c r="J271" s="21" t="s">
        <v>83</v>
      </c>
      <c r="K271" s="21" t="s">
        <v>99</v>
      </c>
      <c r="L271" s="16" t="s">
        <v>84</v>
      </c>
      <c r="M271" s="21" t="s">
        <v>77</v>
      </c>
      <c r="N271" s="16" t="s">
        <v>78</v>
      </c>
      <c r="O271" s="16" t="s">
        <v>92</v>
      </c>
      <c r="P271" s="16" t="s">
        <v>80</v>
      </c>
      <c r="Q271" s="21" t="s">
        <v>94</v>
      </c>
      <c r="R271" s="21" t="s">
        <v>98</v>
      </c>
      <c r="S271" s="22">
        <v>2203.60719156265</v>
      </c>
      <c r="T271" s="22">
        <v>419.989243984222</v>
      </c>
      <c r="U271" s="22">
        <v>3.74297080037307</v>
      </c>
      <c r="V271" s="22">
        <v>21.9800482760653</v>
      </c>
      <c r="W271" s="22">
        <v>4.68828841647624</v>
      </c>
      <c r="X271" s="22">
        <v>0.335475497324135</v>
      </c>
      <c r="Y271" s="22">
        <v>0.120336475389888</v>
      </c>
      <c r="Z271" s="22">
        <v>0.0216499723784064</v>
      </c>
      <c r="AA271" s="22">
        <v>0.147139295833595</v>
      </c>
      <c r="AB271" s="22">
        <v>0.486670148982927</v>
      </c>
      <c r="AC271" s="22">
        <v>0.121529760450897</v>
      </c>
      <c r="AD271" s="22">
        <v>0.148142192352762</v>
      </c>
      <c r="AE271" s="22">
        <v>0.488147112347669</v>
      </c>
      <c r="AF271" s="22">
        <v>0.142286418250587</v>
      </c>
      <c r="AG271" s="22">
        <v>0.178895249604199</v>
      </c>
      <c r="AH271" s="22">
        <v>0.263544875119164</v>
      </c>
      <c r="AI271" s="22">
        <v>10.0</v>
      </c>
      <c r="AJ271" s="22">
        <v>3.74297080037308</v>
      </c>
      <c r="AK271" s="22">
        <v>21.9800482760653</v>
      </c>
      <c r="AL271" s="22">
        <v>4.68828841647624</v>
      </c>
      <c r="AM271" s="22">
        <v>0.335243862646344</v>
      </c>
      <c r="AN271" s="22">
        <v>3.36232337247496</v>
      </c>
      <c r="AO271" s="22">
        <v>16.7985273299295</v>
      </c>
      <c r="AP271" s="22">
        <v>4.09860065509309</v>
      </c>
      <c r="AQ271" s="22">
        <v>0.488147112347669</v>
      </c>
      <c r="AR271" s="22">
        <v>3.93659090493313</v>
      </c>
      <c r="AS271" s="22">
        <v>24.4969091855452</v>
      </c>
      <c r="AT271" s="22">
        <v>4.94943523904952</v>
      </c>
      <c r="AU271" s="22">
        <v>0.263544875119164</v>
      </c>
      <c r="AV271" s="23">
        <f t="shared" ref="AV271:AW271" si="545">(AC271-AC$289)/AC$290</f>
        <v>0.8955121487</v>
      </c>
      <c r="AW271" s="24">
        <f t="shared" si="545"/>
        <v>0.8975892618</v>
      </c>
      <c r="AX271" s="24">
        <f t="shared" si="5"/>
        <v>1.255046369</v>
      </c>
      <c r="AY271" s="25">
        <f t="shared" si="6"/>
        <v>1.342824665</v>
      </c>
      <c r="AZ271" s="23">
        <f t="shared" si="7"/>
        <v>1.334329798</v>
      </c>
      <c r="BA271" s="25">
        <f t="shared" si="8"/>
        <v>1.366575967</v>
      </c>
      <c r="BB271" s="23">
        <f t="shared" si="9"/>
        <v>0.7482982864</v>
      </c>
      <c r="BC271" s="24">
        <f t="shared" si="10"/>
        <v>1.201882035</v>
      </c>
      <c r="BD271" s="25">
        <f t="shared" si="11"/>
        <v>1.311316618</v>
      </c>
      <c r="BE271" s="26">
        <f t="shared" ref="BE271:BF271" si="546">((S271-S$289)/S$290)</f>
        <v>3.159379581</v>
      </c>
      <c r="BF271" s="26">
        <f t="shared" si="546"/>
        <v>1.289386311</v>
      </c>
    </row>
    <row r="272">
      <c r="A272" s="16" t="s">
        <v>67</v>
      </c>
      <c r="B272" s="20">
        <f t="shared" si="3"/>
        <v>-1.372054368</v>
      </c>
      <c r="C272" s="16" t="s">
        <v>68</v>
      </c>
      <c r="D272" s="16" t="s">
        <v>69</v>
      </c>
      <c r="E272" s="16">
        <v>72.0</v>
      </c>
      <c r="F272" s="21" t="s">
        <v>70</v>
      </c>
      <c r="G272" s="16" t="s">
        <v>100</v>
      </c>
      <c r="H272" s="21" t="s">
        <v>101</v>
      </c>
      <c r="I272" s="21" t="s">
        <v>88</v>
      </c>
      <c r="J272" s="21" t="s">
        <v>74</v>
      </c>
      <c r="K272" s="21" t="s">
        <v>99</v>
      </c>
      <c r="L272" s="16" t="s">
        <v>76</v>
      </c>
      <c r="M272" s="21" t="s">
        <v>77</v>
      </c>
      <c r="N272" s="16" t="s">
        <v>91</v>
      </c>
      <c r="O272" s="16" t="s">
        <v>92</v>
      </c>
      <c r="P272" s="16" t="s">
        <v>80</v>
      </c>
      <c r="Q272" s="21" t="s">
        <v>94</v>
      </c>
      <c r="R272" s="21" t="s">
        <v>104</v>
      </c>
      <c r="S272" s="22">
        <v>707.744425058364</v>
      </c>
      <c r="T272" s="22">
        <v>138.227128982543</v>
      </c>
      <c r="U272" s="22">
        <v>4.07974129871181</v>
      </c>
      <c r="V272" s="22">
        <v>26.1238849203157</v>
      </c>
      <c r="W272" s="22">
        <v>5.11115299324093</v>
      </c>
      <c r="X272" s="22">
        <v>0.216990074771922</v>
      </c>
      <c r="Y272" s="22">
        <v>0.143429498380584</v>
      </c>
      <c r="Z272" s="22">
        <v>0.0318789599963702</v>
      </c>
      <c r="AA272" s="22">
        <v>0.178546800577244</v>
      </c>
      <c r="AB272" s="22">
        <v>0.300855628196965</v>
      </c>
      <c r="AC272" s="22">
        <v>0.144986012940694</v>
      </c>
      <c r="AD272" s="22">
        <v>0.179842605179436</v>
      </c>
      <c r="AE272" s="22">
        <v>0.303479260315773</v>
      </c>
      <c r="AF272" s="22">
        <v>0.151134070213874</v>
      </c>
      <c r="AG272" s="22">
        <v>0.191199947472835</v>
      </c>
      <c r="AH272" s="22">
        <v>0.216129647979959</v>
      </c>
      <c r="AI272" s="22">
        <v>10.0</v>
      </c>
      <c r="AJ272" s="22">
        <v>4.07974129871182</v>
      </c>
      <c r="AK272" s="22">
        <v>26.1238849203157</v>
      </c>
      <c r="AL272" s="22">
        <v>5.11115299324093</v>
      </c>
      <c r="AM272" s="22">
        <v>0.216940036751001</v>
      </c>
      <c r="AN272" s="22">
        <v>3.87837584616357</v>
      </c>
      <c r="AO272" s="22">
        <v>23.1436974274583</v>
      </c>
      <c r="AP272" s="22">
        <v>4.81078968854993</v>
      </c>
      <c r="AQ272" s="22">
        <v>0.303479260315773</v>
      </c>
      <c r="AR272" s="22">
        <v>4.04283637822115</v>
      </c>
      <c r="AS272" s="22">
        <v>26.1591187869362</v>
      </c>
      <c r="AT272" s="22">
        <v>5.11459859489835</v>
      </c>
      <c r="AU272" s="22">
        <v>0.216129647979959</v>
      </c>
      <c r="AV272" s="23">
        <f t="shared" ref="AV272:AW272" si="547">(AC272-AC$289)/AC$290</f>
        <v>1.811500459</v>
      </c>
      <c r="AW272" s="24">
        <f t="shared" si="547"/>
        <v>1.919770022</v>
      </c>
      <c r="AX272" s="24">
        <f t="shared" si="5"/>
        <v>1.436642834</v>
      </c>
      <c r="AY272" s="25">
        <f t="shared" si="6"/>
        <v>1.583410669</v>
      </c>
      <c r="AZ272" s="23">
        <f t="shared" si="7"/>
        <v>1.955752888</v>
      </c>
      <c r="BA272" s="25">
        <f t="shared" si="8"/>
        <v>2.010195204</v>
      </c>
      <c r="BB272" s="23">
        <f t="shared" si="9"/>
        <v>1.571812582</v>
      </c>
      <c r="BC272" s="24">
        <f t="shared" si="10"/>
        <v>1.441459502</v>
      </c>
      <c r="BD272" s="25">
        <f t="shared" si="11"/>
        <v>2.013007495</v>
      </c>
      <c r="BE272" s="26">
        <f t="shared" ref="BE272:BF272" si="548">((S272-S$289)/S$290)</f>
        <v>0.2874027283</v>
      </c>
      <c r="BF272" s="26">
        <f t="shared" si="548"/>
        <v>-0.9383563377</v>
      </c>
    </row>
    <row r="273">
      <c r="A273" s="16" t="s">
        <v>82</v>
      </c>
      <c r="B273" s="20">
        <f t="shared" si="3"/>
        <v>-1.373628542</v>
      </c>
      <c r="C273" s="16" t="s">
        <v>68</v>
      </c>
      <c r="D273" s="16" t="s">
        <v>69</v>
      </c>
      <c r="E273" s="16">
        <v>257.0</v>
      </c>
      <c r="F273" s="21" t="s">
        <v>102</v>
      </c>
      <c r="G273" s="16" t="s">
        <v>100</v>
      </c>
      <c r="H273" s="21" t="s">
        <v>105</v>
      </c>
      <c r="I273" s="21" t="s">
        <v>88</v>
      </c>
      <c r="J273" s="21" t="s">
        <v>74</v>
      </c>
      <c r="K273" s="21" t="s">
        <v>99</v>
      </c>
      <c r="L273" s="16" t="s">
        <v>84</v>
      </c>
      <c r="M273" s="21" t="s">
        <v>85</v>
      </c>
      <c r="N273" s="16" t="s">
        <v>78</v>
      </c>
      <c r="O273" s="16" t="s">
        <v>92</v>
      </c>
      <c r="P273" s="16" t="s">
        <v>80</v>
      </c>
      <c r="Q273" s="21" t="s">
        <v>94</v>
      </c>
      <c r="S273" s="22">
        <v>1247.0755932331</v>
      </c>
      <c r="T273" s="22">
        <v>340.67255282402</v>
      </c>
      <c r="U273" s="22">
        <v>4.04895321219842</v>
      </c>
      <c r="V273" s="22">
        <v>24.1579582992708</v>
      </c>
      <c r="W273" s="22">
        <v>4.91507459752859</v>
      </c>
      <c r="X273" s="22">
        <v>0.269694007682727</v>
      </c>
      <c r="Y273" s="22">
        <v>0.126419387261253</v>
      </c>
      <c r="Z273" s="22">
        <v>0.0224174305592308</v>
      </c>
      <c r="AA273" s="22">
        <v>0.149724515558511</v>
      </c>
      <c r="AB273" s="22">
        <v>0.468473396269408</v>
      </c>
      <c r="AC273" s="22">
        <v>0.127323217005402</v>
      </c>
      <c r="AD273" s="22">
        <v>0.1504013970059</v>
      </c>
      <c r="AE273" s="22">
        <v>0.472416307381046</v>
      </c>
      <c r="AF273" s="22">
        <v>0.15280307433427</v>
      </c>
      <c r="AG273" s="22">
        <v>0.186198520569372</v>
      </c>
      <c r="AH273" s="22">
        <v>0.202186972151214</v>
      </c>
      <c r="AI273" s="22">
        <v>10.0</v>
      </c>
      <c r="AJ273" s="22">
        <v>4.04895321219845</v>
      </c>
      <c r="AK273" s="22">
        <v>24.1579582992708</v>
      </c>
      <c r="AL273" s="22">
        <v>4.91507459752859</v>
      </c>
      <c r="AM273" s="22">
        <v>0.269375988456711</v>
      </c>
      <c r="AN273" s="22">
        <v>3.5226090038163</v>
      </c>
      <c r="AO273" s="22">
        <v>17.3147974605243</v>
      </c>
      <c r="AP273" s="22">
        <v>4.16110531716326</v>
      </c>
      <c r="AQ273" s="22">
        <v>0.472416307381046</v>
      </c>
      <c r="AR273" s="22">
        <v>4.22755172324846</v>
      </c>
      <c r="AS273" s="22">
        <v>26.5378739721839</v>
      </c>
      <c r="AT273" s="22">
        <v>5.15149240241931</v>
      </c>
      <c r="AU273" s="22">
        <v>0.202186972151213</v>
      </c>
      <c r="AV273" s="23">
        <f t="shared" ref="AV273:AW273" si="549">(AC273-AC$289)/AC$290</f>
        <v>1.121751975</v>
      </c>
      <c r="AW273" s="24">
        <f t="shared" si="549"/>
        <v>0.9704373834</v>
      </c>
      <c r="AX273" s="24">
        <f t="shared" si="5"/>
        <v>1.752361263</v>
      </c>
      <c r="AY273" s="25">
        <f t="shared" si="6"/>
        <v>1.637152213</v>
      </c>
      <c r="AZ273" s="23">
        <f t="shared" si="7"/>
        <v>1.898941415</v>
      </c>
      <c r="BA273" s="25">
        <f t="shared" si="8"/>
        <v>1.711754913</v>
      </c>
      <c r="BB273" s="23">
        <f t="shared" si="9"/>
        <v>0.8184487897</v>
      </c>
      <c r="BC273" s="24">
        <f t="shared" si="10"/>
        <v>1.511908409</v>
      </c>
      <c r="BD273" s="25">
        <f t="shared" si="11"/>
        <v>1.701996176</v>
      </c>
      <c r="BE273" s="26">
        <f t="shared" ref="BE273:BF273" si="550">((S273-S$289)/S$290)</f>
        <v>1.32288985</v>
      </c>
      <c r="BF273" s="26">
        <f t="shared" si="550"/>
        <v>0.6622715706</v>
      </c>
    </row>
    <row r="274">
      <c r="A274" s="16" t="s">
        <v>67</v>
      </c>
      <c r="B274" s="20">
        <f t="shared" si="3"/>
        <v>-1.404374946</v>
      </c>
      <c r="C274" s="16" t="s">
        <v>68</v>
      </c>
      <c r="D274" s="16" t="s">
        <v>69</v>
      </c>
      <c r="E274" s="16">
        <v>73.0</v>
      </c>
      <c r="F274" s="21" t="s">
        <v>70</v>
      </c>
      <c r="G274" s="16" t="s">
        <v>100</v>
      </c>
      <c r="H274" s="21" t="s">
        <v>101</v>
      </c>
      <c r="I274" s="21" t="s">
        <v>88</v>
      </c>
      <c r="J274" s="21" t="s">
        <v>97</v>
      </c>
      <c r="K274" s="21" t="s">
        <v>99</v>
      </c>
      <c r="L274" s="16" t="s">
        <v>84</v>
      </c>
      <c r="M274" s="21" t="s">
        <v>77</v>
      </c>
      <c r="N274" s="16" t="s">
        <v>91</v>
      </c>
      <c r="O274" s="16" t="s">
        <v>86</v>
      </c>
      <c r="P274" s="16" t="s">
        <v>80</v>
      </c>
      <c r="Q274" s="21" t="s">
        <v>87</v>
      </c>
      <c r="R274" s="21" t="s">
        <v>94</v>
      </c>
      <c r="S274" s="22">
        <v>1495.69400262832</v>
      </c>
      <c r="T274" s="22">
        <v>144.941935777664</v>
      </c>
      <c r="U274" s="22">
        <v>3.94032091619167</v>
      </c>
      <c r="V274" s="22">
        <v>24.4194570048388</v>
      </c>
      <c r="W274" s="22">
        <v>4.94160469937032</v>
      </c>
      <c r="X274" s="22">
        <v>0.268103207841419</v>
      </c>
      <c r="Y274" s="22">
        <v>0.137355651041636</v>
      </c>
      <c r="Z274" s="22">
        <v>0.0287295432712914</v>
      </c>
      <c r="AA274" s="22">
        <v>0.169497915241726</v>
      </c>
      <c r="AB274" s="22">
        <v>0.369926168078188</v>
      </c>
      <c r="AC274" s="22">
        <v>0.138786270395191</v>
      </c>
      <c r="AD274" s="22">
        <v>0.170685954935702</v>
      </c>
      <c r="AE274" s="22">
        <v>0.372600085949473</v>
      </c>
      <c r="AF274" s="22">
        <v>0.155119267190783</v>
      </c>
      <c r="AG274" s="22">
        <v>0.194560048279796</v>
      </c>
      <c r="AH274" s="22">
        <v>0.188336470766848</v>
      </c>
      <c r="AI274" s="22">
        <v>10.0</v>
      </c>
      <c r="AJ274" s="22">
        <v>3.94032091619167</v>
      </c>
      <c r="AK274" s="22">
        <v>24.4194570048388</v>
      </c>
      <c r="AL274" s="22">
        <v>4.94160469937032</v>
      </c>
      <c r="AM274" s="22">
        <v>0.268030035995943</v>
      </c>
      <c r="AN274" s="22">
        <v>3.71253273307136</v>
      </c>
      <c r="AO274" s="22">
        <v>20.8469797803604</v>
      </c>
      <c r="AP274" s="22">
        <v>4.56584929453004</v>
      </c>
      <c r="AQ274" s="22">
        <v>0.372600085949473</v>
      </c>
      <c r="AR274" s="22">
        <v>4.14944039735348</v>
      </c>
      <c r="AS274" s="22">
        <v>27.0866255134128</v>
      </c>
      <c r="AT274" s="22">
        <v>5.20448129148456</v>
      </c>
      <c r="AU274" s="22">
        <v>0.188336470766848</v>
      </c>
      <c r="AV274" s="23">
        <f t="shared" ref="AV274:AW274" si="551">(AC274-AC$289)/AC$290</f>
        <v>1.56939479</v>
      </c>
      <c r="AW274" s="24">
        <f t="shared" si="551"/>
        <v>1.624513561</v>
      </c>
      <c r="AX274" s="24">
        <f t="shared" si="5"/>
        <v>1.618852133</v>
      </c>
      <c r="AY274" s="25">
        <f t="shared" si="6"/>
        <v>1.714338736</v>
      </c>
      <c r="AZ274" s="23">
        <f t="shared" si="7"/>
        <v>1.698488533</v>
      </c>
      <c r="BA274" s="25">
        <f t="shared" si="8"/>
        <v>1.752134942</v>
      </c>
      <c r="BB274" s="23">
        <f t="shared" si="9"/>
        <v>1.263572748</v>
      </c>
      <c r="BC274" s="24">
        <f t="shared" si="10"/>
        <v>1.581891582</v>
      </c>
      <c r="BD274" s="25">
        <f t="shared" si="11"/>
        <v>1.709979372</v>
      </c>
      <c r="BE274" s="26">
        <f t="shared" ref="BE274:BF274" si="552">((S274-S$289)/S$290)</f>
        <v>1.800223957</v>
      </c>
      <c r="BF274" s="26">
        <f t="shared" si="552"/>
        <v>-0.8852659445</v>
      </c>
    </row>
    <row r="275">
      <c r="A275" s="16" t="s">
        <v>82</v>
      </c>
      <c r="B275" s="20">
        <f t="shared" si="3"/>
        <v>-1.420829351</v>
      </c>
      <c r="C275" s="16" t="s">
        <v>68</v>
      </c>
      <c r="D275" s="16" t="s">
        <v>69</v>
      </c>
      <c r="E275" s="16">
        <v>273.0</v>
      </c>
      <c r="F275" s="21" t="s">
        <v>102</v>
      </c>
      <c r="G275" s="16" t="s">
        <v>100</v>
      </c>
      <c r="H275" s="21" t="s">
        <v>105</v>
      </c>
      <c r="I275" s="21" t="s">
        <v>73</v>
      </c>
      <c r="J275" s="21" t="s">
        <v>97</v>
      </c>
      <c r="K275" s="21" t="s">
        <v>99</v>
      </c>
      <c r="L275" s="16" t="s">
        <v>90</v>
      </c>
      <c r="M275" s="21" t="s">
        <v>77</v>
      </c>
      <c r="N275" s="16" t="s">
        <v>78</v>
      </c>
      <c r="O275" s="16" t="s">
        <v>86</v>
      </c>
      <c r="P275" s="16" t="s">
        <v>80</v>
      </c>
      <c r="Q275" s="21" t="s">
        <v>93</v>
      </c>
      <c r="R275" s="21" t="s">
        <v>93</v>
      </c>
      <c r="S275" s="22">
        <v>459.078068733215</v>
      </c>
      <c r="T275" s="22">
        <v>436.333009243011</v>
      </c>
      <c r="U275" s="22">
        <v>3.98677516359576</v>
      </c>
      <c r="V275" s="22">
        <v>24.2021038140008</v>
      </c>
      <c r="W275" s="22">
        <v>4.91956337635779</v>
      </c>
      <c r="X275" s="22">
        <v>0.268258493135679</v>
      </c>
      <c r="Y275" s="22">
        <v>0.13295730568381</v>
      </c>
      <c r="Z275" s="22">
        <v>0.0258897666715313</v>
      </c>
      <c r="AA275" s="22">
        <v>0.160902972848643</v>
      </c>
      <c r="AB275" s="22">
        <v>0.389509766268963</v>
      </c>
      <c r="AC275" s="22">
        <v>0.133964889900047</v>
      </c>
      <c r="AD275" s="22">
        <v>0.161629316375452</v>
      </c>
      <c r="AE275" s="22">
        <v>0.393672330609708</v>
      </c>
      <c r="AF275" s="22">
        <v>0.154046894824978</v>
      </c>
      <c r="AG275" s="22">
        <v>0.190338514324253</v>
      </c>
      <c r="AH275" s="22">
        <v>0.166909082699226</v>
      </c>
      <c r="AI275" s="22">
        <v>10.0</v>
      </c>
      <c r="AJ275" s="22">
        <v>3.9867751635958</v>
      </c>
      <c r="AK275" s="22">
        <v>24.2021038140008</v>
      </c>
      <c r="AL275" s="22">
        <v>4.91956337635779</v>
      </c>
      <c r="AM275" s="22">
        <v>0.268160044418331</v>
      </c>
      <c r="AN275" s="22">
        <v>3.70636195390159</v>
      </c>
      <c r="AO275" s="22">
        <v>19.9964981553044</v>
      </c>
      <c r="AP275" s="22">
        <v>4.47174441972083</v>
      </c>
      <c r="AQ275" s="22">
        <v>0.393672330609708</v>
      </c>
      <c r="AR275" s="22">
        <v>4.26196409015813</v>
      </c>
      <c r="AS275" s="22">
        <v>27.7310954435827</v>
      </c>
      <c r="AT275" s="22">
        <v>5.26603222963767</v>
      </c>
      <c r="AU275" s="22">
        <v>0.166909082699225</v>
      </c>
      <c r="AV275" s="23">
        <f t="shared" ref="AV275:AW275" si="553">(AC275-AC$289)/AC$290</f>
        <v>1.381115432</v>
      </c>
      <c r="AW275" s="24">
        <f t="shared" si="553"/>
        <v>1.332481979</v>
      </c>
      <c r="AX275" s="24">
        <f t="shared" si="5"/>
        <v>1.811179432</v>
      </c>
      <c r="AY275" s="25">
        <f t="shared" si="6"/>
        <v>1.803997209</v>
      </c>
      <c r="AZ275" s="23">
        <f t="shared" si="7"/>
        <v>1.784207864</v>
      </c>
      <c r="BA275" s="25">
        <f t="shared" si="8"/>
        <v>1.718587039</v>
      </c>
      <c r="BB275" s="23">
        <f t="shared" si="9"/>
        <v>1.169602441</v>
      </c>
      <c r="BC275" s="24">
        <f t="shared" si="10"/>
        <v>1.690158897</v>
      </c>
      <c r="BD275" s="25">
        <f t="shared" si="11"/>
        <v>1.709208258</v>
      </c>
      <c r="BE275" s="26">
        <f t="shared" ref="BE275:BF275" si="554">((S275-S$289)/S$290)</f>
        <v>-0.1900234336</v>
      </c>
      <c r="BF275" s="26">
        <f t="shared" si="554"/>
        <v>1.418607739</v>
      </c>
    </row>
    <row r="276">
      <c r="A276" s="16" t="s">
        <v>82</v>
      </c>
      <c r="B276" s="20">
        <f t="shared" si="3"/>
        <v>-1.429128681</v>
      </c>
      <c r="C276" s="16" t="s">
        <v>68</v>
      </c>
      <c r="D276" s="16" t="s">
        <v>69</v>
      </c>
      <c r="E276" s="16">
        <v>268.0</v>
      </c>
      <c r="F276" s="21" t="s">
        <v>102</v>
      </c>
      <c r="G276" s="16" t="s">
        <v>100</v>
      </c>
      <c r="H276" s="21" t="s">
        <v>105</v>
      </c>
      <c r="I276" s="21" t="s">
        <v>88</v>
      </c>
      <c r="J276" s="21" t="s">
        <v>74</v>
      </c>
      <c r="K276" s="21" t="s">
        <v>99</v>
      </c>
      <c r="L276" s="16" t="s">
        <v>90</v>
      </c>
      <c r="M276" s="21" t="s">
        <v>77</v>
      </c>
      <c r="N276" s="16" t="s">
        <v>78</v>
      </c>
      <c r="O276" s="16" t="s">
        <v>86</v>
      </c>
      <c r="P276" s="16" t="s">
        <v>80</v>
      </c>
      <c r="Q276" s="21" t="s">
        <v>94</v>
      </c>
      <c r="R276" s="21" t="s">
        <v>96</v>
      </c>
      <c r="S276" s="22">
        <v>923.530494689941</v>
      </c>
      <c r="T276" s="22">
        <v>339.398421287536</v>
      </c>
      <c r="U276" s="22">
        <v>4.00334989525368</v>
      </c>
      <c r="V276" s="22">
        <v>24.5045275361408</v>
      </c>
      <c r="W276" s="22">
        <v>4.95020479739383</v>
      </c>
      <c r="X276" s="22">
        <v>0.25899030725639</v>
      </c>
      <c r="Y276" s="22">
        <v>0.140375187318257</v>
      </c>
      <c r="Z276" s="22">
        <v>0.0289147155321353</v>
      </c>
      <c r="AA276" s="22">
        <v>0.170043275468732</v>
      </c>
      <c r="AB276" s="22">
        <v>0.314420066830377</v>
      </c>
      <c r="AC276" s="22">
        <v>0.141684560895384</v>
      </c>
      <c r="AD276" s="22">
        <v>0.171126887864794</v>
      </c>
      <c r="AE276" s="22">
        <v>0.316994615689582</v>
      </c>
      <c r="AF276" s="22">
        <v>0.145743738595756</v>
      </c>
      <c r="AG276" s="22">
        <v>0.181646862462087</v>
      </c>
      <c r="AH276" s="22">
        <v>0.240715606379371</v>
      </c>
      <c r="AI276" s="22">
        <v>10.0</v>
      </c>
      <c r="AJ276" s="22">
        <v>4.00334989525372</v>
      </c>
      <c r="AK276" s="22">
        <v>24.5045275361408</v>
      </c>
      <c r="AL276" s="22">
        <v>4.95020479739382</v>
      </c>
      <c r="AM276" s="22">
        <v>0.258894481576757</v>
      </c>
      <c r="AN276" s="22">
        <v>3.91993951810589</v>
      </c>
      <c r="AO276" s="22">
        <v>22.415590283083</v>
      </c>
      <c r="AP276" s="22">
        <v>4.73451056425931</v>
      </c>
      <c r="AQ276" s="22">
        <v>0.316994615689582</v>
      </c>
      <c r="AR276" s="22">
        <v>4.03224343448285</v>
      </c>
      <c r="AS276" s="22">
        <v>25.2562854247717</v>
      </c>
      <c r="AT276" s="22">
        <v>5.02556319478441</v>
      </c>
      <c r="AU276" s="22">
        <v>0.240715606379371</v>
      </c>
      <c r="AV276" s="23">
        <f t="shared" ref="AV276:AW276" si="555">(AC276-AC$289)/AC$290</f>
        <v>1.68257571</v>
      </c>
      <c r="AW276" s="24">
        <f t="shared" si="555"/>
        <v>1.638731456</v>
      </c>
      <c r="AX276" s="24">
        <f t="shared" si="5"/>
        <v>1.418537205</v>
      </c>
      <c r="AY276" s="25">
        <f t="shared" si="6"/>
        <v>1.453716822</v>
      </c>
      <c r="AZ276" s="23">
        <f t="shared" si="7"/>
        <v>1.814792257</v>
      </c>
      <c r="BA276" s="25">
        <f t="shared" si="8"/>
        <v>1.765224684</v>
      </c>
      <c r="BB276" s="23">
        <f t="shared" si="9"/>
        <v>1.511541732</v>
      </c>
      <c r="BC276" s="24">
        <f t="shared" si="10"/>
        <v>1.317232709</v>
      </c>
      <c r="BD276" s="25">
        <f t="shared" si="11"/>
        <v>1.76416473</v>
      </c>
      <c r="BE276" s="26">
        <f t="shared" ref="BE276:BF276" si="556">((S276-S$289)/S$290)</f>
        <v>0.7017004908</v>
      </c>
      <c r="BF276" s="26">
        <f t="shared" si="556"/>
        <v>0.6521976926</v>
      </c>
    </row>
    <row r="277">
      <c r="A277" s="16" t="s">
        <v>82</v>
      </c>
      <c r="B277" s="20">
        <f t="shared" si="3"/>
        <v>-1.490243158</v>
      </c>
      <c r="C277" s="16" t="s">
        <v>68</v>
      </c>
      <c r="D277" s="16" t="s">
        <v>69</v>
      </c>
      <c r="E277" s="16">
        <v>281.0</v>
      </c>
      <c r="F277" s="21" t="s">
        <v>102</v>
      </c>
      <c r="G277" s="16" t="s">
        <v>100</v>
      </c>
      <c r="H277" s="21" t="s">
        <v>105</v>
      </c>
      <c r="I277" s="21" t="s">
        <v>73</v>
      </c>
      <c r="J277" s="21" t="s">
        <v>83</v>
      </c>
      <c r="K277" s="21" t="s">
        <v>99</v>
      </c>
      <c r="L277" s="16" t="s">
        <v>76</v>
      </c>
      <c r="M277" s="21" t="s">
        <v>77</v>
      </c>
      <c r="N277" s="16" t="s">
        <v>95</v>
      </c>
      <c r="O277" s="16" t="s">
        <v>79</v>
      </c>
      <c r="P277" s="16" t="s">
        <v>80</v>
      </c>
      <c r="Q277" s="21" t="s">
        <v>104</v>
      </c>
      <c r="R277" s="21" t="s">
        <v>94</v>
      </c>
      <c r="S277" s="22">
        <v>621.58092546463</v>
      </c>
      <c r="T277" s="22">
        <v>324.923127889633</v>
      </c>
      <c r="U277" s="22">
        <v>4.06631543521665</v>
      </c>
      <c r="V277" s="22">
        <v>25.5949125529688</v>
      </c>
      <c r="W277" s="22">
        <v>5.05914148378644</v>
      </c>
      <c r="X277" s="22">
        <v>0.226137296348752</v>
      </c>
      <c r="Y277" s="22">
        <v>0.143390940579654</v>
      </c>
      <c r="Z277" s="22">
        <v>0.0303817370361524</v>
      </c>
      <c r="AA277" s="22">
        <v>0.174303577232805</v>
      </c>
      <c r="AB277" s="22">
        <v>0.283587450606463</v>
      </c>
      <c r="AC277" s="22">
        <v>0.144550389099865</v>
      </c>
      <c r="AD277" s="22">
        <v>0.175164811598585</v>
      </c>
      <c r="AE277" s="22">
        <v>0.287867431789472</v>
      </c>
      <c r="AF277" s="22">
        <v>0.148522373801113</v>
      </c>
      <c r="AG277" s="22">
        <v>0.186329532489694</v>
      </c>
      <c r="AH277" s="22">
        <v>0.201633256224308</v>
      </c>
      <c r="AI277" s="22">
        <v>10.0</v>
      </c>
      <c r="AJ277" s="22">
        <v>4.06631543521668</v>
      </c>
      <c r="AK277" s="22">
        <v>25.5949125529688</v>
      </c>
      <c r="AL277" s="22">
        <v>5.05914148378644</v>
      </c>
      <c r="AM277" s="22">
        <v>0.226043330371743</v>
      </c>
      <c r="AN277" s="22">
        <v>3.9992274317632</v>
      </c>
      <c r="AO277" s="22">
        <v>23.4859108456547</v>
      </c>
      <c r="AP277" s="22">
        <v>4.84622645422753</v>
      </c>
      <c r="AQ277" s="22">
        <v>0.287867431789472</v>
      </c>
      <c r="AR277" s="22">
        <v>4.10911900849775</v>
      </c>
      <c r="AS277" s="22">
        <v>26.5752319595064</v>
      </c>
      <c r="AT277" s="22">
        <v>5.15511706554821</v>
      </c>
      <c r="AU277" s="22">
        <v>0.201633256224308</v>
      </c>
      <c r="AV277" s="23">
        <f t="shared" ref="AV277:AW277" si="557">(AC277-AC$289)/AC$290</f>
        <v>1.794488946</v>
      </c>
      <c r="AW277" s="24">
        <f t="shared" si="557"/>
        <v>1.768934428</v>
      </c>
      <c r="AX277" s="24">
        <f t="shared" si="5"/>
        <v>1.549934168</v>
      </c>
      <c r="AY277" s="25">
        <f t="shared" si="6"/>
        <v>1.642432097</v>
      </c>
      <c r="AZ277" s="23">
        <f t="shared" si="7"/>
        <v>1.93097892</v>
      </c>
      <c r="BA277" s="25">
        <f t="shared" si="8"/>
        <v>1.931031306</v>
      </c>
      <c r="BB277" s="23">
        <f t="shared" si="9"/>
        <v>1.641432518</v>
      </c>
      <c r="BC277" s="24">
        <f t="shared" si="10"/>
        <v>1.5147062</v>
      </c>
      <c r="BD277" s="25">
        <f t="shared" si="11"/>
        <v>1.959013484</v>
      </c>
      <c r="BE277" s="26">
        <f t="shared" ref="BE277:BF277" si="558">((S277-S$289)/S$290)</f>
        <v>0.1219733976</v>
      </c>
      <c r="BF277" s="26">
        <f t="shared" si="558"/>
        <v>0.5377492741</v>
      </c>
    </row>
    <row r="278">
      <c r="A278" s="16" t="s">
        <v>82</v>
      </c>
      <c r="B278" s="20">
        <f t="shared" si="3"/>
        <v>-1.531335747</v>
      </c>
      <c r="C278" s="16" t="s">
        <v>68</v>
      </c>
      <c r="D278" s="16" t="s">
        <v>69</v>
      </c>
      <c r="E278" s="16">
        <v>282.0</v>
      </c>
      <c r="F278" s="21" t="s">
        <v>102</v>
      </c>
      <c r="G278" s="16" t="s">
        <v>100</v>
      </c>
      <c r="H278" s="21" t="s">
        <v>105</v>
      </c>
      <c r="I278" s="21" t="s">
        <v>88</v>
      </c>
      <c r="J278" s="21" t="s">
        <v>83</v>
      </c>
      <c r="K278" s="21" t="s">
        <v>99</v>
      </c>
      <c r="L278" s="16" t="s">
        <v>90</v>
      </c>
      <c r="M278" s="21" t="s">
        <v>77</v>
      </c>
      <c r="N278" s="16" t="s">
        <v>78</v>
      </c>
      <c r="O278" s="16" t="s">
        <v>79</v>
      </c>
      <c r="P278" s="16" t="s">
        <v>80</v>
      </c>
      <c r="Q278" s="21" t="s">
        <v>93</v>
      </c>
      <c r="R278" s="21" t="s">
        <v>104</v>
      </c>
      <c r="S278" s="22">
        <v>912.212431430816</v>
      </c>
      <c r="T278" s="22">
        <v>337.288290023803</v>
      </c>
      <c r="U278" s="22">
        <v>4.12516117602133</v>
      </c>
      <c r="V278" s="22">
        <v>25.6428387290524</v>
      </c>
      <c r="W278" s="22">
        <v>5.06387586035168</v>
      </c>
      <c r="X278" s="22">
        <v>0.224545156576172</v>
      </c>
      <c r="Y278" s="22">
        <v>0.140753177098773</v>
      </c>
      <c r="Z278" s="22">
        <v>0.0288050707330862</v>
      </c>
      <c r="AA278" s="22">
        <v>0.169720566617856</v>
      </c>
      <c r="AB278" s="22">
        <v>0.31701979062572</v>
      </c>
      <c r="AC278" s="22">
        <v>0.141916373729709</v>
      </c>
      <c r="AD278" s="22">
        <v>0.170620552535087</v>
      </c>
      <c r="AE278" s="22">
        <v>0.32103042952429</v>
      </c>
      <c r="AF278" s="22">
        <v>0.150168442417596</v>
      </c>
      <c r="AG278" s="22">
        <v>0.186182229385593</v>
      </c>
      <c r="AH278" s="22">
        <v>0.202326573153699</v>
      </c>
      <c r="AI278" s="22">
        <v>10.0</v>
      </c>
      <c r="AJ278" s="22">
        <v>4.12516117602136</v>
      </c>
      <c r="AK278" s="22">
        <v>25.6428387290524</v>
      </c>
      <c r="AL278" s="22">
        <v>5.06387586035168</v>
      </c>
      <c r="AM278" s="22">
        <v>0.22446783509253</v>
      </c>
      <c r="AN278" s="22">
        <v>3.92635300652222</v>
      </c>
      <c r="AO278" s="22">
        <v>22.2831386927212</v>
      </c>
      <c r="AP278" s="22">
        <v>4.72050195347075</v>
      </c>
      <c r="AQ278" s="22">
        <v>0.32103042952429</v>
      </c>
      <c r="AR278" s="22">
        <v>4.15466024022047</v>
      </c>
      <c r="AS278" s="22">
        <v>26.533230385678</v>
      </c>
      <c r="AT278" s="22">
        <v>5.1510416796681</v>
      </c>
      <c r="AU278" s="22">
        <v>0.202326573153699</v>
      </c>
      <c r="AV278" s="23">
        <f t="shared" ref="AV278:AW278" si="559">(AC278-AC$289)/AC$290</f>
        <v>1.691628215</v>
      </c>
      <c r="AW278" s="24">
        <f t="shared" si="559"/>
        <v>1.622404659</v>
      </c>
      <c r="AX278" s="24">
        <f t="shared" si="5"/>
        <v>1.627773972</v>
      </c>
      <c r="AY278" s="25">
        <f t="shared" si="6"/>
        <v>1.636495666</v>
      </c>
      <c r="AZ278" s="23">
        <f t="shared" si="7"/>
        <v>2.039563556</v>
      </c>
      <c r="BA278" s="25">
        <f t="shared" si="8"/>
        <v>1.938237244</v>
      </c>
      <c r="BB278" s="23">
        <f t="shared" si="9"/>
        <v>1.493544283</v>
      </c>
      <c r="BC278" s="24">
        <f t="shared" si="10"/>
        <v>1.51120304</v>
      </c>
      <c r="BD278" s="25">
        <f t="shared" si="11"/>
        <v>1.968358158</v>
      </c>
      <c r="BE278" s="26">
        <f t="shared" ref="BE278:BF278" si="560">((S278-S$289)/S$290)</f>
        <v>0.6799704121</v>
      </c>
      <c r="BF278" s="26">
        <f t="shared" si="560"/>
        <v>0.635514011</v>
      </c>
    </row>
    <row r="279">
      <c r="A279" s="16" t="s">
        <v>67</v>
      </c>
      <c r="B279" s="20">
        <f t="shared" si="3"/>
        <v>-1.727123261</v>
      </c>
      <c r="C279" s="16" t="s">
        <v>68</v>
      </c>
      <c r="D279" s="16" t="s">
        <v>69</v>
      </c>
      <c r="E279" s="16">
        <v>166.0</v>
      </c>
      <c r="F279" s="21" t="s">
        <v>102</v>
      </c>
      <c r="G279" s="16" t="s">
        <v>71</v>
      </c>
      <c r="H279" s="21" t="s">
        <v>103</v>
      </c>
      <c r="I279" s="21" t="s">
        <v>88</v>
      </c>
      <c r="J279" s="21" t="s">
        <v>83</v>
      </c>
      <c r="K279" s="21" t="s">
        <v>99</v>
      </c>
      <c r="L279" s="16" t="s">
        <v>76</v>
      </c>
      <c r="M279" s="21" t="s">
        <v>77</v>
      </c>
      <c r="N279" s="16" t="s">
        <v>91</v>
      </c>
      <c r="O279" s="16" t="s">
        <v>79</v>
      </c>
      <c r="P279" s="16" t="s">
        <v>80</v>
      </c>
      <c r="Q279" s="21" t="s">
        <v>104</v>
      </c>
      <c r="R279" s="21" t="s">
        <v>94</v>
      </c>
      <c r="S279" s="22">
        <v>1149.1337890625</v>
      </c>
      <c r="T279" s="22">
        <v>430.395687580108</v>
      </c>
      <c r="U279" s="22">
        <v>4.1354401067362</v>
      </c>
      <c r="V279" s="22">
        <v>25.7525126429734</v>
      </c>
      <c r="W279" s="22">
        <v>5.07469335457557</v>
      </c>
      <c r="X279" s="22">
        <v>0.222992651577059</v>
      </c>
      <c r="Y279" s="22">
        <v>0.150468468187517</v>
      </c>
      <c r="Z279" s="22">
        <v>0.0331442030826936</v>
      </c>
      <c r="AA279" s="22">
        <v>0.18205549451388</v>
      </c>
      <c r="AB279" s="22">
        <v>0.224697703110313</v>
      </c>
      <c r="AC279" s="22">
        <v>0.151183839643085</v>
      </c>
      <c r="AD279" s="22">
        <v>0.182587722152334</v>
      </c>
      <c r="AE279" s="22">
        <v>0.226322578647814</v>
      </c>
      <c r="AF279" s="22">
        <v>0.148269454765699</v>
      </c>
      <c r="AG279" s="22">
        <v>0.184265943902392</v>
      </c>
      <c r="AH279" s="22">
        <v>0.219160886403007</v>
      </c>
      <c r="AI279" s="22">
        <v>10.0</v>
      </c>
      <c r="AJ279" s="22">
        <v>4.13544010673624</v>
      </c>
      <c r="AK279" s="22">
        <v>25.7525126429734</v>
      </c>
      <c r="AL279" s="22">
        <v>5.07469335457557</v>
      </c>
      <c r="AM279" s="22">
        <v>0.222922978636493</v>
      </c>
      <c r="AN279" s="22">
        <v>4.18275289679225</v>
      </c>
      <c r="AO279" s="22">
        <v>25.5185983664755</v>
      </c>
      <c r="AP279" s="22">
        <v>5.05159364621458</v>
      </c>
      <c r="AQ279" s="22">
        <v>0.226322578647814</v>
      </c>
      <c r="AR279" s="22">
        <v>4.10212158185131</v>
      </c>
      <c r="AS279" s="22">
        <v>25.9898532720609</v>
      </c>
      <c r="AT279" s="22">
        <v>5.09802444796619</v>
      </c>
      <c r="AU279" s="22">
        <v>0.219160886403007</v>
      </c>
      <c r="AV279" s="23">
        <f t="shared" ref="AV279:AW279" si="561">(AC279-AC$289)/AC$290</f>
        <v>2.053531313</v>
      </c>
      <c r="AW279" s="24">
        <f t="shared" si="561"/>
        <v>2.008286401</v>
      </c>
      <c r="AX279" s="24">
        <f t="shared" si="5"/>
        <v>1.537974055</v>
      </c>
      <c r="AY279" s="25">
        <f t="shared" si="6"/>
        <v>1.559267858</v>
      </c>
      <c r="AZ279" s="23">
        <f t="shared" si="7"/>
        <v>2.058530671</v>
      </c>
      <c r="BA279" s="25">
        <f t="shared" si="8"/>
        <v>1.954701965</v>
      </c>
      <c r="BB279" s="23">
        <f t="shared" si="9"/>
        <v>1.915887794</v>
      </c>
      <c r="BC279" s="24">
        <f t="shared" si="10"/>
        <v>1.426143401</v>
      </c>
      <c r="BD279" s="25">
        <f t="shared" si="11"/>
        <v>1.977521105</v>
      </c>
      <c r="BE279" s="26">
        <f t="shared" ref="BE279:BF279" si="562">((S279-S$289)/S$290)</f>
        <v>1.134846802</v>
      </c>
      <c r="BF279" s="26">
        <f t="shared" si="562"/>
        <v>1.371664506</v>
      </c>
    </row>
    <row r="280">
      <c r="A280" s="16" t="s">
        <v>67</v>
      </c>
      <c r="B280" s="20">
        <f t="shared" si="3"/>
        <v>-1.768838926</v>
      </c>
      <c r="C280" s="16" t="s">
        <v>68</v>
      </c>
      <c r="D280" s="16" t="s">
        <v>69</v>
      </c>
      <c r="E280" s="16">
        <v>102.0</v>
      </c>
      <c r="F280" s="21" t="s">
        <v>70</v>
      </c>
      <c r="G280" s="16" t="s">
        <v>100</v>
      </c>
      <c r="H280" s="21" t="s">
        <v>101</v>
      </c>
      <c r="I280" s="21" t="s">
        <v>88</v>
      </c>
      <c r="J280" s="21" t="s">
        <v>83</v>
      </c>
      <c r="K280" s="21" t="s">
        <v>99</v>
      </c>
      <c r="L280" s="16" t="s">
        <v>84</v>
      </c>
      <c r="M280" s="21" t="s">
        <v>77</v>
      </c>
      <c r="N280" s="16" t="s">
        <v>91</v>
      </c>
      <c r="O280" s="16" t="s">
        <v>86</v>
      </c>
      <c r="P280" s="16" t="s">
        <v>80</v>
      </c>
      <c r="Q280" s="21" t="s">
        <v>98</v>
      </c>
      <c r="R280" s="21" t="s">
        <v>94</v>
      </c>
      <c r="S280" s="22">
        <v>1183.09108257293</v>
      </c>
      <c r="T280" s="22">
        <v>142.808247566223</v>
      </c>
      <c r="U280" s="22">
        <v>4.23111630501093</v>
      </c>
      <c r="V280" s="22">
        <v>28.1819400887212</v>
      </c>
      <c r="W280" s="22">
        <v>5.30866650758184</v>
      </c>
      <c r="X280" s="22">
        <v>0.155330100036235</v>
      </c>
      <c r="Y280" s="22">
        <v>0.150838342901267</v>
      </c>
      <c r="Z280" s="22">
        <v>0.0351742963544534</v>
      </c>
      <c r="AA280" s="22">
        <v>0.187548117437774</v>
      </c>
      <c r="AB280" s="22">
        <v>0.228584893260378</v>
      </c>
      <c r="AC280" s="22">
        <v>0.152701057189271</v>
      </c>
      <c r="AD280" s="22">
        <v>0.189243485876454</v>
      </c>
      <c r="AE280" s="22">
        <v>0.228757842680768</v>
      </c>
      <c r="AF280" s="22">
        <v>0.162290078405833</v>
      </c>
      <c r="AG280" s="22">
        <v>0.20370420547293</v>
      </c>
      <c r="AH280" s="22">
        <v>0.110248576341255</v>
      </c>
      <c r="AI280" s="22">
        <v>10.0</v>
      </c>
      <c r="AJ280" s="22">
        <v>4.23111630501093</v>
      </c>
      <c r="AK280" s="22">
        <v>28.1819400887212</v>
      </c>
      <c r="AL280" s="22">
        <v>5.30866650758184</v>
      </c>
      <c r="AM280" s="22">
        <v>0.155250107804686</v>
      </c>
      <c r="AN280" s="22">
        <v>4.08475327981303</v>
      </c>
      <c r="AO280" s="22">
        <v>25.6265091839027</v>
      </c>
      <c r="AP280" s="22">
        <v>5.06226324719514</v>
      </c>
      <c r="AQ280" s="22">
        <v>0.228757842680768</v>
      </c>
      <c r="AR280" s="22">
        <v>4.34125959735606</v>
      </c>
      <c r="AS280" s="22">
        <v>29.6925545434326</v>
      </c>
      <c r="AT280" s="22">
        <v>5.44908749640089</v>
      </c>
      <c r="AU280" s="22">
        <v>0.110248576341255</v>
      </c>
      <c r="AV280" s="23">
        <f t="shared" ref="AV280:AW280" si="563">(AC280-AC$289)/AC$290</f>
        <v>2.112780058</v>
      </c>
      <c r="AW280" s="24">
        <f t="shared" si="563"/>
        <v>2.222901701</v>
      </c>
      <c r="AX280" s="24">
        <f t="shared" si="5"/>
        <v>1.946712584</v>
      </c>
      <c r="AY280" s="25">
        <f t="shared" si="6"/>
        <v>2.070645552</v>
      </c>
      <c r="AZ280" s="23">
        <f t="shared" si="7"/>
        <v>2.235076417</v>
      </c>
      <c r="BA280" s="25">
        <f t="shared" si="8"/>
        <v>2.310819811</v>
      </c>
      <c r="BB280" s="23">
        <f t="shared" si="9"/>
        <v>1.905027892</v>
      </c>
      <c r="BC280" s="24">
        <f t="shared" si="10"/>
        <v>1.976450483</v>
      </c>
      <c r="BD280" s="25">
        <f t="shared" si="11"/>
        <v>2.378906569</v>
      </c>
      <c r="BE280" s="26">
        <f t="shared" ref="BE280:BF280" si="564">((S280-S$289)/S$290)</f>
        <v>1.200042997</v>
      </c>
      <c r="BF280" s="26">
        <f t="shared" si="564"/>
        <v>-0.9021358783</v>
      </c>
    </row>
    <row r="281">
      <c r="A281" s="16" t="s">
        <v>67</v>
      </c>
      <c r="B281" s="20">
        <f t="shared" si="3"/>
        <v>-1.804549091</v>
      </c>
      <c r="C281" s="16" t="s">
        <v>68</v>
      </c>
      <c r="D281" s="16" t="s">
        <v>69</v>
      </c>
      <c r="E281" s="16">
        <v>95.0</v>
      </c>
      <c r="F281" s="21" t="s">
        <v>70</v>
      </c>
      <c r="G281" s="16" t="s">
        <v>100</v>
      </c>
      <c r="H281" s="21" t="s">
        <v>101</v>
      </c>
      <c r="I281" s="21" t="s">
        <v>73</v>
      </c>
      <c r="J281" s="21" t="s">
        <v>97</v>
      </c>
      <c r="K281" s="21" t="s">
        <v>75</v>
      </c>
      <c r="L281" s="16" t="s">
        <v>90</v>
      </c>
      <c r="M281" s="21" t="s">
        <v>77</v>
      </c>
      <c r="N281" s="16" t="s">
        <v>95</v>
      </c>
      <c r="O281" s="16" t="s">
        <v>79</v>
      </c>
      <c r="P281" s="16" t="s">
        <v>80</v>
      </c>
      <c r="Q281" s="21" t="s">
        <v>93</v>
      </c>
      <c r="R281" s="21" t="s">
        <v>104</v>
      </c>
      <c r="S281" s="22">
        <v>92.8550381660461</v>
      </c>
      <c r="T281" s="22">
        <v>133.171962499618</v>
      </c>
      <c r="U281" s="22">
        <v>4.7202287057315</v>
      </c>
      <c r="V281" s="22">
        <v>38.4663400681887</v>
      </c>
      <c r="W281" s="22">
        <v>6.20212383528326</v>
      </c>
      <c r="X281" s="22">
        <v>-0.138159653646317</v>
      </c>
      <c r="Y281" s="22">
        <v>0.170207071574401</v>
      </c>
      <c r="Z281" s="22">
        <v>0.0484597319120529</v>
      </c>
      <c r="AA281" s="22">
        <v>0.220135712486758</v>
      </c>
      <c r="AB281" s="22">
        <v>-0.0495205155807696</v>
      </c>
      <c r="AC281" s="22">
        <v>0.173312861755443</v>
      </c>
      <c r="AD281" s="22">
        <v>0.223498609733462</v>
      </c>
      <c r="AE281" s="22">
        <v>-0.0639457782255772</v>
      </c>
      <c r="AF281" s="22">
        <v>0.125946206766291</v>
      </c>
      <c r="AG281" s="22">
        <v>0.16641283525395</v>
      </c>
      <c r="AH281" s="22">
        <v>0.415033222649786</v>
      </c>
      <c r="AI281" s="22">
        <v>10.0</v>
      </c>
      <c r="AJ281" s="22">
        <v>4.7202287057315</v>
      </c>
      <c r="AK281" s="22">
        <v>38.4663400681887</v>
      </c>
      <c r="AL281" s="22">
        <v>6.20212383528326</v>
      </c>
      <c r="AM281" s="22">
        <v>-0.138076821840443</v>
      </c>
      <c r="AN281" s="22">
        <v>4.63611905195812</v>
      </c>
      <c r="AO281" s="22">
        <v>35.7435122063063</v>
      </c>
      <c r="AP281" s="22">
        <v>5.97858781037013</v>
      </c>
      <c r="AQ281" s="22">
        <v>-0.0639457782255776</v>
      </c>
      <c r="AR281" s="22">
        <v>3.36906103099829</v>
      </c>
      <c r="AS281" s="22">
        <v>19.8162381349919</v>
      </c>
      <c r="AT281" s="22">
        <v>4.45154334304316</v>
      </c>
      <c r="AU281" s="22">
        <v>0.415033222649786</v>
      </c>
      <c r="AV281" s="23">
        <f t="shared" ref="AV281:AW281" si="565">(AC281-AC$289)/AC$290</f>
        <v>2.917690052</v>
      </c>
      <c r="AW281" s="24">
        <f t="shared" si="565"/>
        <v>3.327459195</v>
      </c>
      <c r="AX281" s="24">
        <f t="shared" si="5"/>
        <v>0.2850152117</v>
      </c>
      <c r="AY281" s="25">
        <f t="shared" si="6"/>
        <v>0.6175680169</v>
      </c>
      <c r="AZ281" s="23">
        <f t="shared" si="7"/>
        <v>3.137607193</v>
      </c>
      <c r="BA281" s="25">
        <f t="shared" si="8"/>
        <v>3.67070275</v>
      </c>
      <c r="BB281" s="23">
        <f t="shared" si="9"/>
        <v>3.210320685</v>
      </c>
      <c r="BC281" s="24">
        <f t="shared" si="10"/>
        <v>0.4364487201</v>
      </c>
      <c r="BD281" s="25">
        <f t="shared" si="11"/>
        <v>4.118705168</v>
      </c>
      <c r="BE281" s="26">
        <f t="shared" ref="BE281:BF281" si="566">((S281-S$289)/S$290)</f>
        <v>-0.8931521499</v>
      </c>
      <c r="BF281" s="26">
        <f t="shared" si="566"/>
        <v>-0.9783248408</v>
      </c>
    </row>
    <row r="282">
      <c r="A282" s="16" t="s">
        <v>82</v>
      </c>
      <c r="B282" s="20">
        <f t="shared" si="3"/>
        <v>-1.830188219</v>
      </c>
      <c r="C282" s="16" t="s">
        <v>68</v>
      </c>
      <c r="D282" s="16" t="s">
        <v>69</v>
      </c>
      <c r="E282" s="16">
        <v>130.0</v>
      </c>
      <c r="F282" s="21" t="s">
        <v>70</v>
      </c>
      <c r="G282" s="16" t="s">
        <v>100</v>
      </c>
      <c r="H282" s="21" t="s">
        <v>101</v>
      </c>
      <c r="I282" s="21" t="s">
        <v>88</v>
      </c>
      <c r="J282" s="21" t="s">
        <v>74</v>
      </c>
      <c r="K282" s="21" t="s">
        <v>99</v>
      </c>
      <c r="L282" s="16" t="s">
        <v>90</v>
      </c>
      <c r="M282" s="21" t="s">
        <v>77</v>
      </c>
      <c r="N282" s="16" t="s">
        <v>95</v>
      </c>
      <c r="O282" s="16" t="s">
        <v>86</v>
      </c>
      <c r="P282" s="16" t="s">
        <v>80</v>
      </c>
      <c r="Q282" s="21" t="s">
        <v>96</v>
      </c>
      <c r="R282" s="21" t="s">
        <v>93</v>
      </c>
      <c r="S282" s="22">
        <v>430.56721830368</v>
      </c>
      <c r="T282" s="22">
        <v>131.281583070755</v>
      </c>
      <c r="U282" s="22">
        <v>4.3467268861283</v>
      </c>
      <c r="V282" s="22">
        <v>29.1173390096881</v>
      </c>
      <c r="W282" s="22">
        <v>5.39604846250366</v>
      </c>
      <c r="X282" s="22">
        <v>0.1272499481507</v>
      </c>
      <c r="Y282" s="22">
        <v>0.165218388294327</v>
      </c>
      <c r="Z282" s="22">
        <v>0.041216496925237</v>
      </c>
      <c r="AA282" s="22">
        <v>0.203018464493348</v>
      </c>
      <c r="AB282" s="22">
        <v>0.0960720847230409</v>
      </c>
      <c r="AC282" s="22">
        <v>0.166894934215053</v>
      </c>
      <c r="AD282" s="22">
        <v>0.204400364367893</v>
      </c>
      <c r="AE282" s="22">
        <v>0.100269974830934</v>
      </c>
      <c r="AF282" s="22">
        <v>0.163545555615967</v>
      </c>
      <c r="AG282" s="22">
        <v>0.204001873031248</v>
      </c>
      <c r="AH282" s="22">
        <v>0.10764633607413</v>
      </c>
      <c r="AI282" s="22">
        <v>10.0</v>
      </c>
      <c r="AJ282" s="22">
        <v>4.3467268861283</v>
      </c>
      <c r="AK282" s="22">
        <v>29.1173390096881</v>
      </c>
      <c r="AL282" s="22">
        <v>5.39604846250366</v>
      </c>
      <c r="AM282" s="22">
        <v>0.127211650013672</v>
      </c>
      <c r="AN282" s="22">
        <v>4.4644394902527</v>
      </c>
      <c r="AO282" s="22">
        <v>29.8958498757017</v>
      </c>
      <c r="AP282" s="22">
        <v>5.46770974684115</v>
      </c>
      <c r="AQ282" s="22">
        <v>0.100269974830934</v>
      </c>
      <c r="AR282" s="22">
        <v>4.37484361272715</v>
      </c>
      <c r="AS282" s="22">
        <v>29.7793958330469</v>
      </c>
      <c r="AT282" s="22">
        <v>5.4570501035859</v>
      </c>
      <c r="AU282" s="22">
        <v>0.10764633607413</v>
      </c>
      <c r="AV282" s="23">
        <f t="shared" ref="AV282:AW282" si="567">(AC282-AC$289)/AC$290</f>
        <v>2.667064058</v>
      </c>
      <c r="AW282" s="24">
        <f t="shared" si="567"/>
        <v>2.711635702</v>
      </c>
      <c r="AX282" s="24">
        <f t="shared" si="5"/>
        <v>2.004114921</v>
      </c>
      <c r="AY282" s="25">
        <f t="shared" si="6"/>
        <v>2.082244323</v>
      </c>
      <c r="AZ282" s="23">
        <f t="shared" si="7"/>
        <v>2.448405924</v>
      </c>
      <c r="BA282" s="25">
        <f t="shared" si="8"/>
        <v>2.443819145</v>
      </c>
      <c r="BB282" s="23">
        <f t="shared" si="9"/>
        <v>2.478011196</v>
      </c>
      <c r="BC282" s="24">
        <f t="shared" si="10"/>
        <v>1.989598962</v>
      </c>
      <c r="BD282" s="25">
        <f t="shared" si="11"/>
        <v>2.545209982</v>
      </c>
      <c r="BE282" s="26">
        <f t="shared" ref="BE282:BF282" si="568">((S282-S$289)/S$290)</f>
        <v>-0.2447627482</v>
      </c>
      <c r="BF282" s="26">
        <f t="shared" si="568"/>
        <v>-0.9932710619</v>
      </c>
    </row>
    <row r="283">
      <c r="A283" s="16" t="s">
        <v>82</v>
      </c>
      <c r="B283" s="20">
        <f t="shared" si="3"/>
        <v>-1.885811913</v>
      </c>
      <c r="C283" s="16" t="s">
        <v>68</v>
      </c>
      <c r="D283" s="16" t="s">
        <v>69</v>
      </c>
      <c r="E283" s="16">
        <v>193.0</v>
      </c>
      <c r="F283" s="21" t="s">
        <v>102</v>
      </c>
      <c r="G283" s="16" t="s">
        <v>71</v>
      </c>
      <c r="H283" s="21" t="s">
        <v>103</v>
      </c>
      <c r="I283" s="21" t="s">
        <v>88</v>
      </c>
      <c r="J283" s="21" t="s">
        <v>83</v>
      </c>
      <c r="K283" s="21" t="s">
        <v>99</v>
      </c>
      <c r="L283" s="16" t="s">
        <v>84</v>
      </c>
      <c r="M283" s="21" t="s">
        <v>77</v>
      </c>
      <c r="N283" s="16" t="s">
        <v>78</v>
      </c>
      <c r="O283" s="16" t="s">
        <v>79</v>
      </c>
      <c r="P283" s="16" t="s">
        <v>80</v>
      </c>
      <c r="Q283" s="21" t="s">
        <v>87</v>
      </c>
      <c r="R283" s="21" t="s">
        <v>87</v>
      </c>
      <c r="S283" s="22">
        <v>3748.43111824989</v>
      </c>
      <c r="T283" s="22">
        <v>399.775560379028</v>
      </c>
      <c r="U283" s="22">
        <v>3.94086683690288</v>
      </c>
      <c r="V283" s="22">
        <v>22.8781391140461</v>
      </c>
      <c r="W283" s="22">
        <v>4.78310977440891</v>
      </c>
      <c r="X283" s="22">
        <v>0.309855448867173</v>
      </c>
      <c r="Y283" s="22">
        <v>0.12675561976523</v>
      </c>
      <c r="Z283" s="22">
        <v>0.0229659320285971</v>
      </c>
      <c r="AA283" s="22">
        <v>0.151545148482546</v>
      </c>
      <c r="AB283" s="22">
        <v>0.462785700185351</v>
      </c>
      <c r="AC283" s="22">
        <v>0.12734639665483</v>
      </c>
      <c r="AD283" s="22">
        <v>0.152001494117796</v>
      </c>
      <c r="AE283" s="22">
        <v>0.463817672889808</v>
      </c>
      <c r="AF283" s="22">
        <v>0.159057227585773</v>
      </c>
      <c r="AG283" s="22">
        <v>0.193535755731169</v>
      </c>
      <c r="AH283" s="22">
        <v>0.13862188637037</v>
      </c>
      <c r="AI283" s="22">
        <v>10.0</v>
      </c>
      <c r="AJ283" s="22">
        <v>3.9408668369029</v>
      </c>
      <c r="AK283" s="22">
        <v>22.8781391140461</v>
      </c>
      <c r="AL283" s="22">
        <v>4.78310977440891</v>
      </c>
      <c r="AM283" s="22">
        <v>0.309656636478397</v>
      </c>
      <c r="AN283" s="22">
        <v>3.52325030745047</v>
      </c>
      <c r="AO283" s="22">
        <v>17.6851761200599</v>
      </c>
      <c r="AP283" s="22">
        <v>4.20537467059237</v>
      </c>
      <c r="AQ283" s="22">
        <v>0.463817672889808</v>
      </c>
      <c r="AR283" s="22">
        <v>4.40058329654008</v>
      </c>
      <c r="AS283" s="22">
        <v>28.6705550415769</v>
      </c>
      <c r="AT283" s="22">
        <v>5.35448924189571</v>
      </c>
      <c r="AU283" s="22">
        <v>0.13862188637037</v>
      </c>
      <c r="AV283" s="23">
        <f t="shared" ref="AV283:AW283" si="569">(AC283-AC$289)/AC$290</f>
        <v>1.122657161</v>
      </c>
      <c r="AW283" s="24">
        <f t="shared" si="569"/>
        <v>1.022032563</v>
      </c>
      <c r="AX283" s="24">
        <f t="shared" si="5"/>
        <v>2.048109601</v>
      </c>
      <c r="AY283" s="25">
        <f t="shared" si="6"/>
        <v>1.932848545</v>
      </c>
      <c r="AZ283" s="23">
        <f t="shared" si="7"/>
        <v>1.699495889</v>
      </c>
      <c r="BA283" s="25">
        <f t="shared" si="8"/>
        <v>1.510898413</v>
      </c>
      <c r="BB283" s="23">
        <f t="shared" si="9"/>
        <v>0.856793842</v>
      </c>
      <c r="BC283" s="24">
        <f t="shared" si="10"/>
        <v>1.833087135</v>
      </c>
      <c r="BD283" s="25">
        <f t="shared" si="11"/>
        <v>1.463081137</v>
      </c>
      <c r="BE283" s="26">
        <f t="shared" ref="BE283:BF283" si="570">((S283-S$289)/S$290)</f>
        <v>6.125359254</v>
      </c>
      <c r="BF283" s="26">
        <f t="shared" si="570"/>
        <v>1.129567504</v>
      </c>
    </row>
    <row r="284">
      <c r="A284" s="16" t="s">
        <v>67</v>
      </c>
      <c r="B284" s="20">
        <f t="shared" si="3"/>
        <v>-2.410879478</v>
      </c>
      <c r="C284" s="16" t="s">
        <v>68</v>
      </c>
      <c r="D284" s="16" t="s">
        <v>69</v>
      </c>
      <c r="E284" s="16">
        <v>226.0</v>
      </c>
      <c r="F284" s="21" t="s">
        <v>102</v>
      </c>
      <c r="G284" s="16" t="s">
        <v>100</v>
      </c>
      <c r="H284" s="21" t="s">
        <v>105</v>
      </c>
      <c r="I284" s="21" t="s">
        <v>73</v>
      </c>
      <c r="J284" s="21" t="s">
        <v>83</v>
      </c>
      <c r="K284" s="21" t="s">
        <v>99</v>
      </c>
      <c r="L284" s="16" t="s">
        <v>76</v>
      </c>
      <c r="M284" s="21" t="s">
        <v>77</v>
      </c>
      <c r="N284" s="16" t="s">
        <v>91</v>
      </c>
      <c r="O284" s="16" t="s">
        <v>86</v>
      </c>
      <c r="P284" s="16" t="s">
        <v>80</v>
      </c>
      <c r="Q284" s="21" t="s">
        <v>81</v>
      </c>
      <c r="R284" s="21" t="s">
        <v>81</v>
      </c>
      <c r="S284" s="22">
        <v>820.145262241363</v>
      </c>
      <c r="T284" s="22">
        <v>337.074963808059</v>
      </c>
      <c r="U284" s="22">
        <v>4.71168881756025</v>
      </c>
      <c r="V284" s="22">
        <v>33.1064706935338</v>
      </c>
      <c r="W284" s="22">
        <v>5.75382226815651</v>
      </c>
      <c r="X284" s="22">
        <v>-9.35794895741943E-4</v>
      </c>
      <c r="Y284" s="22">
        <v>0.156701541850379</v>
      </c>
      <c r="Z284" s="22">
        <v>0.0358643687920421</v>
      </c>
      <c r="AA284" s="22">
        <v>0.189378902711052</v>
      </c>
      <c r="AB284" s="22">
        <v>0.154304974461371</v>
      </c>
      <c r="AC284" s="22">
        <v>0.158325649635648</v>
      </c>
      <c r="AD284" s="22">
        <v>0.190830571826789</v>
      </c>
      <c r="AE284" s="22">
        <v>0.154793129490165</v>
      </c>
      <c r="AF284" s="22">
        <v>0.180003373915638</v>
      </c>
      <c r="AG284" s="22">
        <v>0.219808397984613</v>
      </c>
      <c r="AH284" s="22">
        <v>-0.111034670164282</v>
      </c>
      <c r="AI284" s="22">
        <v>10.0</v>
      </c>
      <c r="AJ284" s="22">
        <v>4.71168881756029</v>
      </c>
      <c r="AK284" s="22">
        <v>33.1064706935338</v>
      </c>
      <c r="AL284" s="22">
        <v>5.75382226815651</v>
      </c>
      <c r="AM284" s="22">
        <v>-0.0010963603835703</v>
      </c>
      <c r="AN284" s="22">
        <v>4.38034297325327</v>
      </c>
      <c r="AO284" s="22">
        <v>27.8746599903579</v>
      </c>
      <c r="AP284" s="22">
        <v>5.27964582054117</v>
      </c>
      <c r="AQ284" s="22">
        <v>0.154793129490165</v>
      </c>
      <c r="AR284" s="22">
        <v>4.9800933449997</v>
      </c>
      <c r="AS284" s="22">
        <v>36.9830085043786</v>
      </c>
      <c r="AT284" s="22">
        <v>6.08136567757429</v>
      </c>
      <c r="AU284" s="22">
        <v>-0.111034670164282</v>
      </c>
      <c r="AV284" s="23">
        <f t="shared" ref="AV284:AW284" si="571">(AC284-AC$289)/AC$290</f>
        <v>2.332425585</v>
      </c>
      <c r="AW284" s="24">
        <f t="shared" si="571"/>
        <v>2.274077335</v>
      </c>
      <c r="AX284" s="24">
        <f t="shared" si="5"/>
        <v>3.038617464</v>
      </c>
      <c r="AY284" s="25">
        <f t="shared" si="6"/>
        <v>2.991656635</v>
      </c>
      <c r="AZ284" s="23">
        <f t="shared" si="7"/>
        <v>3.121849032</v>
      </c>
      <c r="BA284" s="25">
        <f t="shared" si="8"/>
        <v>2.98836725</v>
      </c>
      <c r="BB284" s="23">
        <f t="shared" si="9"/>
        <v>2.234868728</v>
      </c>
      <c r="BC284" s="24">
        <f t="shared" si="10"/>
        <v>3.094540236</v>
      </c>
      <c r="BD284" s="25">
        <f t="shared" si="11"/>
        <v>3.30623829</v>
      </c>
      <c r="BE284" s="26">
        <f t="shared" ref="BE284:BF284" si="572">((S284-S$289)/S$290)</f>
        <v>0.5032063501</v>
      </c>
      <c r="BF284" s="26">
        <f t="shared" si="572"/>
        <v>0.6338273545</v>
      </c>
    </row>
    <row r="285">
      <c r="A285" s="16" t="s">
        <v>67</v>
      </c>
      <c r="B285" s="20">
        <f t="shared" si="3"/>
        <v>-2.666227325</v>
      </c>
      <c r="C285" s="16" t="s">
        <v>68</v>
      </c>
      <c r="D285" s="16" t="s">
        <v>69</v>
      </c>
      <c r="E285" s="16">
        <v>245.0</v>
      </c>
      <c r="F285" s="21" t="s">
        <v>102</v>
      </c>
      <c r="G285" s="16" t="s">
        <v>100</v>
      </c>
      <c r="H285" s="21" t="s">
        <v>105</v>
      </c>
      <c r="I285" s="21" t="s">
        <v>73</v>
      </c>
      <c r="J285" s="21" t="s">
        <v>97</v>
      </c>
      <c r="K285" s="21" t="s">
        <v>99</v>
      </c>
      <c r="L285" s="16" t="s">
        <v>90</v>
      </c>
      <c r="M285" s="21" t="s">
        <v>77</v>
      </c>
      <c r="N285" s="16" t="s">
        <v>91</v>
      </c>
      <c r="O285" s="16" t="s">
        <v>92</v>
      </c>
      <c r="P285" s="16" t="s">
        <v>80</v>
      </c>
      <c r="Q285" s="21" t="s">
        <v>104</v>
      </c>
      <c r="R285" s="21" t="s">
        <v>93</v>
      </c>
      <c r="S285" s="22">
        <v>485.526055812835</v>
      </c>
      <c r="T285" s="22">
        <v>405.6375644207</v>
      </c>
      <c r="U285" s="22">
        <v>4.80016512292533</v>
      </c>
      <c r="V285" s="22">
        <v>36.2525792096806</v>
      </c>
      <c r="W285" s="22">
        <v>6.02101147729188</v>
      </c>
      <c r="X285" s="22">
        <v>-0.0960206503569423</v>
      </c>
      <c r="Y285" s="22">
        <v>0.163298057715282</v>
      </c>
      <c r="Z285" s="22">
        <v>0.0420414054673299</v>
      </c>
      <c r="AA285" s="22">
        <v>0.205040009430671</v>
      </c>
      <c r="AB285" s="22">
        <v>0.00864817455639943</v>
      </c>
      <c r="AC285" s="22">
        <v>0.163730247772169</v>
      </c>
      <c r="AD285" s="22">
        <v>0.204916000852311</v>
      </c>
      <c r="AE285" s="22">
        <v>0.0254169395187876</v>
      </c>
      <c r="AF285" s="22">
        <v>0.179531148771314</v>
      </c>
      <c r="AG285" s="22">
        <v>0.225837228142791</v>
      </c>
      <c r="AH285" s="22">
        <v>-0.172816639427307</v>
      </c>
      <c r="AI285" s="22">
        <v>10.0</v>
      </c>
      <c r="AJ285" s="22">
        <v>4.80016512292538</v>
      </c>
      <c r="AK285" s="22">
        <v>36.2525792096806</v>
      </c>
      <c r="AL285" s="22">
        <v>6.02101147729188</v>
      </c>
      <c r="AM285" s="22">
        <v>-0.0962305658397106</v>
      </c>
      <c r="AN285" s="22">
        <v>4.52987018836365</v>
      </c>
      <c r="AO285" s="22">
        <v>32.1414465394601</v>
      </c>
      <c r="AP285" s="22">
        <v>5.66934269024726</v>
      </c>
      <c r="AQ285" s="22">
        <v>0.0254169395187875</v>
      </c>
      <c r="AR285" s="22">
        <v>4.96702844934006</v>
      </c>
      <c r="AS285" s="22">
        <v>39.0395447728048</v>
      </c>
      <c r="AT285" s="22">
        <v>6.24816331195054</v>
      </c>
      <c r="AU285" s="22">
        <v>-0.172816639427307</v>
      </c>
      <c r="AV285" s="23">
        <f t="shared" ref="AV285:AW285" si="573">(AC285-AC$289)/AC$290</f>
        <v>2.543480131</v>
      </c>
      <c r="AW285" s="24">
        <f t="shared" si="573"/>
        <v>2.728262416</v>
      </c>
      <c r="AX285" s="24">
        <f t="shared" si="5"/>
        <v>3.016286735</v>
      </c>
      <c r="AY285" s="25">
        <f t="shared" si="6"/>
        <v>3.234623219</v>
      </c>
      <c r="AZ285" s="23">
        <f t="shared" si="7"/>
        <v>3.285109232</v>
      </c>
      <c r="BA285" s="25">
        <f t="shared" si="8"/>
        <v>3.395041453</v>
      </c>
      <c r="BB285" s="23">
        <f t="shared" si="9"/>
        <v>2.811813447</v>
      </c>
      <c r="BC285" s="24">
        <f t="shared" si="10"/>
        <v>3.406709312</v>
      </c>
      <c r="BD285" s="25">
        <f t="shared" si="11"/>
        <v>3.870504099</v>
      </c>
      <c r="BE285" s="26">
        <f t="shared" ref="BE285:BF285" si="574">((S285-S$289)/S$290)</f>
        <v>-0.1392447068</v>
      </c>
      <c r="BF285" s="26">
        <f t="shared" si="574"/>
        <v>1.175915241</v>
      </c>
    </row>
    <row r="286">
      <c r="A286" s="16" t="s">
        <v>67</v>
      </c>
      <c r="B286" s="20">
        <f t="shared" si="3"/>
        <v>-2.862779978</v>
      </c>
      <c r="C286" s="16" t="s">
        <v>68</v>
      </c>
      <c r="D286" s="16" t="s">
        <v>69</v>
      </c>
      <c r="E286" s="16">
        <v>246.0</v>
      </c>
      <c r="F286" s="21" t="s">
        <v>102</v>
      </c>
      <c r="G286" s="16" t="s">
        <v>100</v>
      </c>
      <c r="H286" s="21" t="s">
        <v>105</v>
      </c>
      <c r="I286" s="21" t="s">
        <v>88</v>
      </c>
      <c r="J286" s="21" t="s">
        <v>83</v>
      </c>
      <c r="K286" s="21" t="s">
        <v>99</v>
      </c>
      <c r="L286" s="16" t="s">
        <v>84</v>
      </c>
      <c r="M286" s="21" t="s">
        <v>77</v>
      </c>
      <c r="N286" s="16" t="s">
        <v>91</v>
      </c>
      <c r="O286" s="16" t="s">
        <v>86</v>
      </c>
      <c r="P286" s="16" t="s">
        <v>80</v>
      </c>
      <c r="Q286" s="21" t="s">
        <v>87</v>
      </c>
      <c r="R286" s="21" t="s">
        <v>89</v>
      </c>
      <c r="S286" s="22">
        <v>3588.86856555938</v>
      </c>
      <c r="T286" s="22">
        <v>447.790979385376</v>
      </c>
      <c r="U286" s="22">
        <v>4.67821609114916</v>
      </c>
      <c r="V286" s="22">
        <v>32.0933751766475</v>
      </c>
      <c r="W286" s="22">
        <v>5.66510151512287</v>
      </c>
      <c r="X286" s="22">
        <v>0.0295413500088979</v>
      </c>
      <c r="Y286" s="22">
        <v>0.160911127932633</v>
      </c>
      <c r="Z286" s="22">
        <v>0.0368403135665473</v>
      </c>
      <c r="AA286" s="22">
        <v>0.191938306667917</v>
      </c>
      <c r="AB286" s="22">
        <v>0.126500840555347</v>
      </c>
      <c r="AC286" s="22">
        <v>0.162087911010652</v>
      </c>
      <c r="AD286" s="22">
        <v>0.192803865315724</v>
      </c>
      <c r="AE286" s="22">
        <v>0.133000003976301</v>
      </c>
      <c r="AF286" s="22">
        <v>0.172783361916568</v>
      </c>
      <c r="AG286" s="22">
        <v>0.210811876249917</v>
      </c>
      <c r="AH286" s="22">
        <v>-0.0226777774241959</v>
      </c>
      <c r="AI286" s="22">
        <v>10.0</v>
      </c>
      <c r="AJ286" s="22">
        <v>4.67821609114919</v>
      </c>
      <c r="AK286" s="22">
        <v>32.0933751766475</v>
      </c>
      <c r="AL286" s="22">
        <v>5.66510151512287</v>
      </c>
      <c r="AM286" s="22">
        <v>0.0293802884727343</v>
      </c>
      <c r="AN286" s="22">
        <v>4.48443220462843</v>
      </c>
      <c r="AO286" s="22">
        <v>28.4541192979368</v>
      </c>
      <c r="AP286" s="22">
        <v>5.33424027373504</v>
      </c>
      <c r="AQ286" s="22">
        <v>0.133000003976301</v>
      </c>
      <c r="AR286" s="22">
        <v>4.78033967969214</v>
      </c>
      <c r="AS286" s="22">
        <v>34.0176119267137</v>
      </c>
      <c r="AT286" s="22">
        <v>5.83246190958104</v>
      </c>
      <c r="AU286" s="22">
        <v>-0.0226777774241959</v>
      </c>
      <c r="AV286" s="23">
        <f t="shared" ref="AV286:AW286" si="575">(AC286-AC$289)/AC$290</f>
        <v>2.479345365</v>
      </c>
      <c r="AW286" s="24">
        <f t="shared" si="575"/>
        <v>2.337706243</v>
      </c>
      <c r="AX286" s="24">
        <f t="shared" si="5"/>
        <v>2.697195298</v>
      </c>
      <c r="AY286" s="25">
        <f t="shared" si="6"/>
        <v>2.629089753</v>
      </c>
      <c r="AZ286" s="23">
        <f t="shared" si="7"/>
        <v>3.060083749</v>
      </c>
      <c r="BA286" s="25">
        <f t="shared" si="8"/>
        <v>2.853330204</v>
      </c>
      <c r="BB286" s="23">
        <f t="shared" si="9"/>
        <v>2.332053757</v>
      </c>
      <c r="BC286" s="24">
        <f t="shared" si="10"/>
        <v>2.648094615</v>
      </c>
      <c r="BD286" s="25">
        <f t="shared" si="11"/>
        <v>3.125473329</v>
      </c>
      <c r="BE286" s="26">
        <f t="shared" ref="BE286:BF286" si="576">((S286-S$289)/S$290)</f>
        <v>5.81900765</v>
      </c>
      <c r="BF286" s="26">
        <f t="shared" si="576"/>
        <v>1.509199793</v>
      </c>
    </row>
    <row r="287">
      <c r="A287" s="16" t="s">
        <v>67</v>
      </c>
      <c r="B287" s="20">
        <f t="shared" si="3"/>
        <v>-6.451645937</v>
      </c>
      <c r="C287" s="16" t="s">
        <v>68</v>
      </c>
      <c r="D287" s="16" t="s">
        <v>69</v>
      </c>
      <c r="E287" s="16">
        <v>20.0</v>
      </c>
      <c r="F287" s="21" t="s">
        <v>70</v>
      </c>
      <c r="G287" s="16" t="s">
        <v>71</v>
      </c>
      <c r="H287" s="21" t="s">
        <v>72</v>
      </c>
      <c r="I287" s="21" t="s">
        <v>73</v>
      </c>
      <c r="J287" s="21" t="s">
        <v>97</v>
      </c>
      <c r="K287" s="21" t="s">
        <v>75</v>
      </c>
      <c r="L287" s="16" t="s">
        <v>90</v>
      </c>
      <c r="M287" s="21" t="s">
        <v>77</v>
      </c>
      <c r="N287" s="16" t="s">
        <v>95</v>
      </c>
      <c r="O287" s="16" t="s">
        <v>86</v>
      </c>
      <c r="P287" s="16" t="s">
        <v>80</v>
      </c>
      <c r="Q287" s="21" t="s">
        <v>104</v>
      </c>
      <c r="R287" s="21" t="s">
        <v>96</v>
      </c>
      <c r="S287" s="22">
        <v>64.0889587402343</v>
      </c>
      <c r="T287" s="22">
        <v>133.056752204895</v>
      </c>
      <c r="U287" s="22">
        <v>5.85964148727259</v>
      </c>
      <c r="V287" s="22">
        <v>56.754099331856</v>
      </c>
      <c r="W287" s="22">
        <v>7.53353166395788</v>
      </c>
      <c r="X287" s="22">
        <v>-0.673094319363451</v>
      </c>
      <c r="Y287" s="22">
        <v>0.312928708817133</v>
      </c>
      <c r="Z287" s="22">
        <v>0.140110426598215</v>
      </c>
      <c r="AA287" s="22">
        <v>0.374313273339612</v>
      </c>
      <c r="AB287" s="22">
        <v>-1.99270724232662</v>
      </c>
      <c r="AC287" s="22">
        <v>0.315297672208001</v>
      </c>
      <c r="AD287" s="22">
        <v>0.376738167014455</v>
      </c>
      <c r="AE287" s="22">
        <v>-2.00749416536026</v>
      </c>
      <c r="AF287" s="22">
        <v>0.290882844763995</v>
      </c>
      <c r="AG287" s="22">
        <v>0.349675995899397</v>
      </c>
      <c r="AH287" s="22">
        <v>-1.57040650200953</v>
      </c>
      <c r="AI287" s="22">
        <v>10.0</v>
      </c>
      <c r="AJ287" s="22">
        <v>5.85964148727259</v>
      </c>
      <c r="AK287" s="22">
        <v>56.7540993318559</v>
      </c>
      <c r="AL287" s="22">
        <v>7.53353166395788</v>
      </c>
      <c r="AM287" s="22">
        <v>-0.673921140664169</v>
      </c>
      <c r="AN287" s="22">
        <v>8.43421273156401</v>
      </c>
      <c r="AO287" s="22">
        <v>101.560963788217</v>
      </c>
      <c r="AP287" s="22">
        <v>10.0777459676366</v>
      </c>
      <c r="AQ287" s="22">
        <v>-2.00749416536026</v>
      </c>
      <c r="AR287" s="22">
        <v>7.78111609743685</v>
      </c>
      <c r="AS287" s="22">
        <v>87.4941897398241</v>
      </c>
      <c r="AT287" s="22">
        <v>9.35383289030887</v>
      </c>
      <c r="AU287" s="22">
        <v>-1.57040650200953</v>
      </c>
      <c r="AV287" s="23">
        <f t="shared" ref="AV287:AW287" si="577">(AC287-AC$289)/AC$290</f>
        <v>8.462327957</v>
      </c>
      <c r="AW287" s="24">
        <f t="shared" si="577"/>
        <v>8.268673305</v>
      </c>
      <c r="AX287" s="24">
        <f t="shared" si="5"/>
        <v>7.826170448</v>
      </c>
      <c r="AY287" s="25">
        <f t="shared" si="6"/>
        <v>7.758511893</v>
      </c>
      <c r="AZ287" s="23">
        <f t="shared" si="7"/>
        <v>5.240099587</v>
      </c>
      <c r="BA287" s="25">
        <f t="shared" si="8"/>
        <v>5.697166393</v>
      </c>
      <c r="BB287" s="23">
        <f t="shared" si="9"/>
        <v>11.87744852</v>
      </c>
      <c r="BC287" s="24">
        <f t="shared" si="10"/>
        <v>10.46838672</v>
      </c>
      <c r="BD287" s="25">
        <f t="shared" si="11"/>
        <v>7.296937717</v>
      </c>
      <c r="BE287" s="26">
        <f t="shared" ref="BE287:BF287" si="578">((S287-S$289)/S$290)</f>
        <v>-0.9483814905</v>
      </c>
      <c r="BF287" s="26">
        <f t="shared" si="578"/>
        <v>-0.9792357471</v>
      </c>
      <c r="BH287" s="21" t="s">
        <v>106</v>
      </c>
    </row>
    <row r="288">
      <c r="B288" s="27"/>
      <c r="AV288" s="23"/>
      <c r="AW288" s="24"/>
      <c r="AX288" s="24"/>
      <c r="AY288" s="25"/>
      <c r="AZ288" s="23"/>
      <c r="BA288" s="25"/>
      <c r="BB288" s="23"/>
      <c r="BC288" s="24"/>
      <c r="BD288" s="25"/>
      <c r="BE288" s="26"/>
      <c r="BF288" s="26"/>
    </row>
    <row r="289">
      <c r="B289" s="27"/>
      <c r="P289" s="28" t="s">
        <v>107</v>
      </c>
      <c r="Q289" s="29"/>
      <c r="R289" s="18"/>
      <c r="S289" s="30">
        <f t="shared" ref="S289:AU289" si="579">AVERAGE(S3:S287)</f>
        <v>558.0513522</v>
      </c>
      <c r="T289" s="30">
        <f t="shared" si="579"/>
        <v>256.9092696</v>
      </c>
      <c r="U289" s="30">
        <f t="shared" si="579"/>
        <v>3.019851691</v>
      </c>
      <c r="V289" s="30">
        <f t="shared" si="579"/>
        <v>14.79753578</v>
      </c>
      <c r="W289" s="30">
        <f t="shared" si="579"/>
        <v>3.790433699</v>
      </c>
      <c r="X289" s="30">
        <f t="shared" si="579"/>
        <v>0.5564342048</v>
      </c>
      <c r="Y289" s="30">
        <f t="shared" si="579"/>
        <v>0.09798804924</v>
      </c>
      <c r="Z289" s="30">
        <f t="shared" si="579"/>
        <v>0.01530678011</v>
      </c>
      <c r="AA289" s="30">
        <f t="shared" si="579"/>
        <v>0.1198620099</v>
      </c>
      <c r="AB289" s="30">
        <f t="shared" si="579"/>
        <v>0.6542596346</v>
      </c>
      <c r="AC289" s="30">
        <f t="shared" si="579"/>
        <v>0.09859785311</v>
      </c>
      <c r="AD289" s="30">
        <f t="shared" si="579"/>
        <v>0.1203056773</v>
      </c>
      <c r="AE289" s="30">
        <f t="shared" si="579"/>
        <v>0.6559482519</v>
      </c>
      <c r="AF289" s="30">
        <f t="shared" si="579"/>
        <v>0.1176238491</v>
      </c>
      <c r="AG289" s="30">
        <f t="shared" si="579"/>
        <v>0.1479553569</v>
      </c>
      <c r="AH289" s="30">
        <f t="shared" si="579"/>
        <v>0.50141161</v>
      </c>
      <c r="AI289" s="30">
        <f t="shared" si="579"/>
        <v>10</v>
      </c>
      <c r="AJ289" s="30">
        <f t="shared" si="579"/>
        <v>3.019851691</v>
      </c>
      <c r="AK289" s="30">
        <f t="shared" si="579"/>
        <v>14.79753578</v>
      </c>
      <c r="AL289" s="30">
        <f t="shared" si="579"/>
        <v>3.790433699</v>
      </c>
      <c r="AM289" s="30">
        <f t="shared" si="579"/>
        <v>0.5563294973</v>
      </c>
      <c r="AN289" s="30">
        <f t="shared" si="579"/>
        <v>2.683986681</v>
      </c>
      <c r="AO289" s="30">
        <f t="shared" si="579"/>
        <v>11.42933889</v>
      </c>
      <c r="AP289" s="30">
        <f t="shared" si="579"/>
        <v>3.274352296</v>
      </c>
      <c r="AQ289" s="30">
        <f t="shared" si="579"/>
        <v>0.6559482519</v>
      </c>
      <c r="AR289" s="30">
        <f t="shared" si="579"/>
        <v>3.202309019</v>
      </c>
      <c r="AS289" s="30">
        <f t="shared" si="579"/>
        <v>16.69103669</v>
      </c>
      <c r="AT289" s="30">
        <f t="shared" si="579"/>
        <v>4.027580169</v>
      </c>
      <c r="AU289" s="30">
        <f t="shared" si="579"/>
        <v>0.50141161</v>
      </c>
      <c r="AV289" s="23"/>
      <c r="AW289" s="24"/>
      <c r="AX289" s="24"/>
      <c r="AY289" s="25"/>
      <c r="AZ289" s="23"/>
      <c r="BA289" s="25"/>
      <c r="BB289" s="23"/>
      <c r="BC289" s="24"/>
      <c r="BD289" s="25"/>
      <c r="BE289" s="26"/>
      <c r="BF289" s="26"/>
    </row>
    <row r="290">
      <c r="B290" s="27"/>
      <c r="P290" s="28" t="s">
        <v>108</v>
      </c>
      <c r="Q290" s="29"/>
      <c r="R290" s="18"/>
      <c r="S290" s="30">
        <f t="shared" ref="S290:AU290" si="580">STDEV(S3:S287)</f>
        <v>520.8477795</v>
      </c>
      <c r="T290" s="30">
        <f t="shared" si="580"/>
        <v>126.4787542</v>
      </c>
      <c r="U290" s="30">
        <f t="shared" si="580"/>
        <v>0.5419343181</v>
      </c>
      <c r="V290" s="30">
        <f t="shared" si="580"/>
        <v>5.618599908</v>
      </c>
      <c r="W290" s="30">
        <f t="shared" si="580"/>
        <v>0.6570104691</v>
      </c>
      <c r="X290" s="30">
        <f t="shared" si="580"/>
        <v>0.1685665199</v>
      </c>
      <c r="Y290" s="30">
        <f t="shared" si="580"/>
        <v>0.02530119898</v>
      </c>
      <c r="Z290" s="30">
        <f t="shared" si="580"/>
        <v>0.01017182559</v>
      </c>
      <c r="AA290" s="30">
        <f t="shared" si="580"/>
        <v>0.03071136797</v>
      </c>
      <c r="AB290" s="30">
        <f t="shared" si="580"/>
        <v>0.2237689412</v>
      </c>
      <c r="AC290" s="30">
        <f t="shared" si="580"/>
        <v>0.02560758933</v>
      </c>
      <c r="AD290" s="30">
        <f t="shared" si="580"/>
        <v>0.03101253131</v>
      </c>
      <c r="AE290" s="30">
        <f t="shared" si="580"/>
        <v>0.2242436507</v>
      </c>
      <c r="AF290" s="30">
        <f t="shared" si="580"/>
        <v>0.02119277237</v>
      </c>
      <c r="AG290" s="30">
        <f t="shared" si="580"/>
        <v>0.02491899355</v>
      </c>
      <c r="AH290" s="30">
        <f t="shared" si="580"/>
        <v>0.1979118814</v>
      </c>
      <c r="AI290" s="30">
        <f t="shared" si="580"/>
        <v>0</v>
      </c>
      <c r="AJ290" s="30">
        <f t="shared" si="580"/>
        <v>0.5419343181</v>
      </c>
      <c r="AK290" s="30">
        <f t="shared" si="580"/>
        <v>5.618599908</v>
      </c>
      <c r="AL290" s="30">
        <f t="shared" si="580"/>
        <v>0.6570104691</v>
      </c>
      <c r="AM290" s="30">
        <f t="shared" si="580"/>
        <v>0.1685982101</v>
      </c>
      <c r="AN290" s="30">
        <f t="shared" si="580"/>
        <v>0.6978836895</v>
      </c>
      <c r="AO290" s="30">
        <f t="shared" si="580"/>
        <v>7.501544026</v>
      </c>
      <c r="AP290" s="30">
        <f t="shared" si="580"/>
        <v>0.8428812098</v>
      </c>
      <c r="AQ290" s="30">
        <f t="shared" si="580"/>
        <v>0.2242436507</v>
      </c>
      <c r="AR290" s="30">
        <f t="shared" si="580"/>
        <v>0.5850635517</v>
      </c>
      <c r="AS290" s="30">
        <f t="shared" si="580"/>
        <v>6.645563506</v>
      </c>
      <c r="AT290" s="30">
        <f t="shared" si="580"/>
        <v>0.6865044219</v>
      </c>
      <c r="AU290" s="30">
        <f t="shared" si="580"/>
        <v>0.1979118814</v>
      </c>
      <c r="AV290" s="23"/>
      <c r="AW290" s="24"/>
      <c r="AX290" s="24"/>
      <c r="AY290" s="25"/>
      <c r="AZ290" s="23"/>
      <c r="BA290" s="25"/>
      <c r="BB290" s="23"/>
      <c r="BC290" s="24"/>
      <c r="BD290" s="25"/>
      <c r="BE290" s="26"/>
      <c r="BF290" s="26"/>
    </row>
  </sheetData>
  <mergeCells count="8">
    <mergeCell ref="C1:D1"/>
    <mergeCell ref="F1:L1"/>
    <mergeCell ref="S1:T1"/>
    <mergeCell ref="U1:AU1"/>
    <mergeCell ref="AV1:AY1"/>
    <mergeCell ref="AZ1:BA1"/>
    <mergeCell ref="BB1:BD1"/>
    <mergeCell ref="BE1:BF1"/>
  </mergeCells>
  <drawing r:id="rId1"/>
</worksheet>
</file>