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-Score_BigDS" sheetId="1" r:id="rId4"/>
  </sheets>
  <definedNames/>
  <calcPr/>
  <extLst>
    <ext uri="GoogleSheetsCustomDataVersion2">
      <go:sheetsCustomData xmlns:go="http://customooxmlschemas.google.com/" r:id="rId5" roundtripDataChecksum="w0OrHYCikX8B+Gg9N5vyKQ58gmSZFwOwm9YGy5KpxdM="/>
    </ext>
  </extLst>
</workbook>
</file>

<file path=xl/sharedStrings.xml><?xml version="1.0" encoding="utf-8"?>
<sst xmlns="http://schemas.openxmlformats.org/spreadsheetml/2006/main" count="216" uniqueCount="48">
  <si>
    <t>model</t>
  </si>
  <si>
    <t>Z-Score_Composite</t>
  </si>
  <si>
    <t>train_dataset</t>
  </si>
  <si>
    <t>exp_dataset</t>
  </si>
  <si>
    <t>group_msec</t>
  </si>
  <si>
    <t>seconds_ahead</t>
  </si>
  <si>
    <t>forecast_steps</t>
  </si>
  <si>
    <t>timesteps_orig</t>
  </si>
  <si>
    <t>Epochs</t>
  </si>
  <si>
    <t>units_range</t>
  </si>
  <si>
    <t>batch_size</t>
  </si>
  <si>
    <t>best_layers</t>
  </si>
  <si>
    <t>best_activation</t>
  </si>
  <si>
    <t>best_optimizer</t>
  </si>
  <si>
    <t>train_time_m</t>
  </si>
  <si>
    <t>train_time_h</t>
  </si>
  <si>
    <t>pred_time_m</t>
  </si>
  <si>
    <t>step1_mae</t>
  </si>
  <si>
    <t>step1_mse</t>
  </si>
  <si>
    <t>step1_rmse</t>
  </si>
  <si>
    <t>step1_r2</t>
  </si>
  <si>
    <t>multi_mae</t>
  </si>
  <si>
    <t>multi_mse</t>
  </si>
  <si>
    <t>multi_rmse</t>
  </si>
  <si>
    <t>multi_r2</t>
  </si>
  <si>
    <t>Z_TIME</t>
  </si>
  <si>
    <t>Z-MAE@1</t>
  </si>
  <si>
    <t>Z-RMSE@1</t>
  </si>
  <si>
    <t>Z-R²@1</t>
  </si>
  <si>
    <t>Z-MAE@H</t>
  </si>
  <si>
    <t>Z-MSE@H</t>
  </si>
  <si>
    <t>Z-RMSE@H</t>
  </si>
  <si>
    <t>Z-R²@H</t>
  </si>
  <si>
    <t>LSTM</t>
  </si>
  <si>
    <t>11e12apr25</t>
  </si>
  <si>
    <t>16-256:16</t>
  </si>
  <si>
    <t>elu</t>
  </si>
  <si>
    <t>Nadam</t>
  </si>
  <si>
    <t>16-1024:16</t>
  </si>
  <si>
    <t>tanh</t>
  </si>
  <si>
    <t>adam</t>
  </si>
  <si>
    <t>nadam</t>
  </si>
  <si>
    <t>rmsprop</t>
  </si>
  <si>
    <t>GRU</t>
  </si>
  <si>
    <t>relu</t>
  </si>
  <si>
    <t>12-1024:16</t>
  </si>
  <si>
    <t>Médias</t>
  </si>
  <si>
    <t>Desvio padrão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</si>
</sst>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"/>
    <numFmt numFmtId="165" formatCode="dd/mm/yyyy hh:mm:ss"/>
    <numFmt numFmtId="166" formatCode="0.0000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b/>
      <color rgb="FF000000"/>
      <name val="Arial"/>
    </font>
    <font>
      <i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0" fontId="3" numFmtId="0" xfId="0" applyAlignment="1" applyBorder="1" applyFont="1">
      <alignment horizontal="center" shrinkToFit="0" wrapText="0"/>
    </xf>
    <xf borderId="3" fillId="0" fontId="3" numFmtId="164" xfId="0" applyAlignment="1" applyBorder="1" applyFont="1" applyNumberFormat="1">
      <alignment horizontal="center" shrinkToFit="0" wrapText="0"/>
    </xf>
    <xf borderId="3" fillId="2" fontId="3" numFmtId="0" xfId="0" applyAlignment="1" applyBorder="1" applyFill="1" applyFont="1">
      <alignment horizontal="center" shrinkToFit="0" wrapText="0"/>
    </xf>
    <xf borderId="3" fillId="0" fontId="3" numFmtId="165" xfId="0" applyAlignment="1" applyBorder="1" applyFont="1" applyNumberFormat="1">
      <alignment horizontal="right" shrinkToFit="0" wrapText="0"/>
    </xf>
    <xf borderId="3" fillId="0" fontId="3" numFmtId="0" xfId="0" applyAlignment="1" applyBorder="1" applyFont="1">
      <alignment horizontal="center" shrinkToFit="0" wrapText="0"/>
    </xf>
    <xf borderId="3" fillId="0" fontId="3" numFmtId="3" xfId="0" applyAlignment="1" applyBorder="1" applyFont="1" applyNumberFormat="1">
      <alignment horizontal="center" shrinkToFit="0" wrapText="0"/>
    </xf>
    <xf borderId="3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3" fillId="3" fontId="4" numFmtId="0" xfId="0" applyAlignment="1" applyBorder="1" applyFill="1" applyFont="1">
      <alignment horizontal="center" shrinkToFit="0" wrapText="0"/>
    </xf>
    <xf borderId="3" fillId="0" fontId="5" numFmtId="166" xfId="0" applyAlignment="1" applyBorder="1" applyFont="1" applyNumberForma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0</xdr:colOff>
      <xdr:row>1</xdr:row>
      <xdr:rowOff>0</xdr:rowOff>
    </xdr:from>
    <xdr:ext cx="5419725" cy="2857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5.88"/>
    <col customWidth="1" min="2" max="2" width="16.75"/>
    <col customWidth="1" min="3" max="3" width="11.38"/>
    <col customWidth="1" min="4" max="4" width="16.25"/>
    <col customWidth="1" min="5" max="5" width="10.88"/>
    <col customWidth="1" min="6" max="6" width="13.5"/>
    <col customWidth="1" min="7" max="7" width="12.75"/>
    <col customWidth="1" min="8" max="8" width="12.88"/>
    <col customWidth="1" min="9" max="9" width="7.0"/>
    <col customWidth="1" min="10" max="10" width="13.0"/>
    <col customWidth="1" min="11" max="11" width="10.5"/>
    <col customWidth="1" min="12" max="12" width="12.75"/>
    <col customWidth="1" min="13" max="13" width="11.63"/>
    <col customWidth="1" min="14" max="14" width="12.5"/>
    <col customWidth="1" min="15" max="15" width="11.63"/>
    <col customWidth="1" min="16" max="16" width="10.13"/>
    <col customWidth="1" min="17" max="17" width="13.13"/>
    <col customWidth="1" min="18" max="19" width="10.88"/>
    <col customWidth="1" min="20" max="21" width="9.75"/>
    <col customWidth="1" min="22" max="22" width="10.5"/>
    <col customWidth="1" min="23" max="23" width="8.0"/>
    <col customWidth="1" min="24" max="25" width="9.25"/>
    <col customWidth="1" min="26" max="26" width="9.88"/>
    <col customWidth="1" min="27" max="28" width="10.5"/>
    <col customWidth="1" min="29" max="29" width="11.63"/>
    <col customWidth="1" min="30" max="30" width="9.0"/>
    <col customWidth="1" min="31" max="31" width="11.38"/>
    <col customWidth="1" min="32" max="32" width="11.25"/>
    <col customWidth="1" min="33" max="33" width="12.5"/>
    <col customWidth="1" min="34" max="34" width="10.13"/>
    <col customWidth="1" min="35" max="36" width="13.13"/>
    <col customWidth="1" min="37" max="37" width="13.75"/>
    <col customWidth="1" min="38" max="38" width="11.38"/>
    <col customWidth="1" min="39" max="40" width="13.5"/>
    <col customWidth="1" min="41" max="41" width="14.13"/>
    <col customWidth="1" min="42" max="42" width="11.75"/>
    <col customWidth="1" min="43" max="44" width="13.75"/>
    <col customWidth="1" min="45" max="45" width="14.38"/>
    <col customWidth="1" min="46" max="46" width="12.0"/>
    <col customWidth="1" min="47" max="47" width="8.75"/>
    <col customWidth="1" min="48" max="48" width="10.0"/>
    <col customWidth="1" min="49" max="49" width="9.13"/>
    <col customWidth="1" min="50" max="50" width="10.25"/>
    <col customWidth="1" min="51" max="51" width="11.38"/>
    <col customWidth="1" min="52" max="52" width="12.63"/>
    <col customWidth="1" min="53" max="53" width="7.0"/>
    <col customWidth="1" min="54" max="54" width="7.25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3" t="s">
        <v>26</v>
      </c>
      <c r="AB1" s="4" t="s">
        <v>27</v>
      </c>
      <c r="AC1" s="4" t="s">
        <v>27</v>
      </c>
      <c r="AD1" s="3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5" t="s">
        <v>33</v>
      </c>
      <c r="B2" s="6">
        <f t="shared" ref="B2:B37" si="2">((-1 * Z2)+(-1 * AA2)+(-1 * AB2)+(-1 * AC2)+(AD2)+(-1 * AE2)+(-1 * AF2)+(-1 * AG2)+ (AH2))</f>
        <v>15.06852256</v>
      </c>
      <c r="C2" s="7" t="s">
        <v>34</v>
      </c>
      <c r="D2" s="8">
        <v>45870.6144212963</v>
      </c>
      <c r="E2" s="9">
        <v>80.0</v>
      </c>
      <c r="F2" s="9">
        <v>4.0</v>
      </c>
      <c r="G2" s="9">
        <v>48.0</v>
      </c>
      <c r="H2" s="9">
        <v>60.0</v>
      </c>
      <c r="I2" s="9">
        <v>20.0</v>
      </c>
      <c r="J2" s="9" t="s">
        <v>35</v>
      </c>
      <c r="K2" s="10">
        <v>256.0</v>
      </c>
      <c r="L2" s="9">
        <v>2.0</v>
      </c>
      <c r="M2" s="9" t="s">
        <v>36</v>
      </c>
      <c r="N2" s="9" t="s">
        <v>37</v>
      </c>
      <c r="O2" s="9">
        <v>43.95</v>
      </c>
      <c r="P2" s="9">
        <v>0.7325</v>
      </c>
      <c r="Q2" s="9">
        <v>14.05</v>
      </c>
      <c r="R2" s="9">
        <v>1.2741</v>
      </c>
      <c r="S2" s="9">
        <v>2.499</v>
      </c>
      <c r="T2" s="9">
        <v>1.5808</v>
      </c>
      <c r="U2" s="9">
        <v>0.8617</v>
      </c>
      <c r="V2" s="9">
        <v>0.0149</v>
      </c>
      <c r="W2" s="9">
        <f>0.0003*G2</f>
        <v>0.0144</v>
      </c>
      <c r="X2" s="9">
        <v>0.0183</v>
      </c>
      <c r="Y2" s="9">
        <v>0.9174</v>
      </c>
      <c r="Z2" s="6">
        <f t="shared" ref="Z2:Z37" si="3">((O2-$O$39)/$O$40)</f>
        <v>-0.1191427734</v>
      </c>
      <c r="AA2" s="6">
        <f t="shared" ref="AA2:AH2" si="1">((R2-R$39)/R$40)</f>
        <v>-2.601078022</v>
      </c>
      <c r="AB2" s="6">
        <f t="shared" si="1"/>
        <v>-2.117239706</v>
      </c>
      <c r="AC2" s="6">
        <f t="shared" si="1"/>
        <v>-2.706736011</v>
      </c>
      <c r="AD2" s="6">
        <f t="shared" si="1"/>
        <v>2.172070638</v>
      </c>
      <c r="AE2" s="6">
        <f t="shared" si="1"/>
        <v>-1.734315841</v>
      </c>
      <c r="AF2" s="6">
        <f t="shared" si="1"/>
        <v>-0.9195445312</v>
      </c>
      <c r="AG2" s="6">
        <f t="shared" si="1"/>
        <v>-1.850596543</v>
      </c>
      <c r="AH2" s="6">
        <f t="shared" si="1"/>
        <v>0.847798492</v>
      </c>
      <c r="AI2" s="11"/>
      <c r="AJ2" s="12"/>
      <c r="AK2" s="11"/>
      <c r="AL2" s="11"/>
      <c r="AM2" s="11"/>
      <c r="AN2" s="11"/>
      <c r="AO2" s="11"/>
      <c r="AP2" s="11"/>
      <c r="AQ2" s="11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</row>
    <row r="3">
      <c r="A3" s="5" t="s">
        <v>33</v>
      </c>
      <c r="B3" s="6">
        <f t="shared" si="2"/>
        <v>1.399233527</v>
      </c>
      <c r="C3" s="7" t="s">
        <v>34</v>
      </c>
      <c r="D3" s="8">
        <v>45798.92424768519</v>
      </c>
      <c r="E3" s="9">
        <v>80.0</v>
      </c>
      <c r="F3" s="9">
        <v>4.0</v>
      </c>
      <c r="G3" s="9">
        <v>48.0</v>
      </c>
      <c r="H3" s="9">
        <v>60.0</v>
      </c>
      <c r="I3" s="9">
        <v>20.0</v>
      </c>
      <c r="J3" s="9" t="s">
        <v>38</v>
      </c>
      <c r="K3" s="9">
        <v>256.0</v>
      </c>
      <c r="L3" s="9">
        <v>2.0</v>
      </c>
      <c r="M3" s="9" t="s">
        <v>39</v>
      </c>
      <c r="N3" s="9" t="s">
        <v>40</v>
      </c>
      <c r="O3" s="9">
        <v>23.49</v>
      </c>
      <c r="P3" s="9">
        <v>0.3915</v>
      </c>
      <c r="Q3" s="9">
        <v>1.73</v>
      </c>
      <c r="R3" s="9">
        <v>1.9209</v>
      </c>
      <c r="S3" s="9">
        <v>5.9095</v>
      </c>
      <c r="T3" s="9">
        <v>2.431</v>
      </c>
      <c r="U3" s="9">
        <v>0.6448</v>
      </c>
      <c r="V3" s="9">
        <v>0.0309</v>
      </c>
      <c r="W3" s="9">
        <f>0.0014*G3</f>
        <v>0.0672</v>
      </c>
      <c r="X3" s="9">
        <v>0.038</v>
      </c>
      <c r="Y3" s="9">
        <v>0.8436</v>
      </c>
      <c r="Z3" s="6">
        <f t="shared" si="3"/>
        <v>-0.372559855</v>
      </c>
      <c r="AA3" s="6">
        <f t="shared" ref="AA3:AH3" si="4">((R3-R$39)/R$40)</f>
        <v>-0.3285847561</v>
      </c>
      <c r="AB3" s="6">
        <f t="shared" si="4"/>
        <v>-0.2878819496</v>
      </c>
      <c r="AC3" s="6">
        <f t="shared" si="4"/>
        <v>-0.245941195</v>
      </c>
      <c r="AD3" s="6">
        <f t="shared" si="4"/>
        <v>0.2754013206</v>
      </c>
      <c r="AE3" s="6">
        <f t="shared" si="4"/>
        <v>0.2213731261</v>
      </c>
      <c r="AF3" s="6">
        <f t="shared" si="4"/>
        <v>-0.4809101593</v>
      </c>
      <c r="AG3" s="6">
        <f t="shared" si="4"/>
        <v>0.2392809542</v>
      </c>
      <c r="AH3" s="6">
        <f t="shared" si="4"/>
        <v>-0.1313916282</v>
      </c>
      <c r="AI3" s="11"/>
      <c r="AJ3" s="12"/>
      <c r="AK3" s="11"/>
      <c r="AL3" s="11"/>
      <c r="AM3" s="11"/>
      <c r="AN3" s="11"/>
      <c r="AO3" s="11"/>
      <c r="AP3" s="11"/>
      <c r="AQ3" s="11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</row>
    <row r="4">
      <c r="A4" s="5" t="s">
        <v>33</v>
      </c>
      <c r="B4" s="6">
        <f t="shared" si="2"/>
        <v>2.191482647</v>
      </c>
      <c r="C4" s="7" t="s">
        <v>34</v>
      </c>
      <c r="D4" s="8">
        <v>45798.70575231482</v>
      </c>
      <c r="E4" s="9">
        <v>80.0</v>
      </c>
      <c r="F4" s="9">
        <v>4.0</v>
      </c>
      <c r="G4" s="9">
        <v>48.0</v>
      </c>
      <c r="H4" s="9">
        <v>60.0</v>
      </c>
      <c r="I4" s="9">
        <v>20.0</v>
      </c>
      <c r="J4" s="9" t="s">
        <v>38</v>
      </c>
      <c r="K4" s="9">
        <v>256.0</v>
      </c>
      <c r="L4" s="9">
        <v>1.0</v>
      </c>
      <c r="M4" s="9" t="s">
        <v>36</v>
      </c>
      <c r="N4" s="9" t="s">
        <v>41</v>
      </c>
      <c r="O4" s="9">
        <v>61.59</v>
      </c>
      <c r="P4" s="9">
        <v>1.0265</v>
      </c>
      <c r="Q4" s="9">
        <v>2.11</v>
      </c>
      <c r="R4" s="9">
        <v>1.8876</v>
      </c>
      <c r="S4" s="9">
        <v>6.6585</v>
      </c>
      <c r="T4" s="9">
        <v>2.5804</v>
      </c>
      <c r="U4" s="9">
        <v>0.5991</v>
      </c>
      <c r="V4" s="9">
        <v>0.0245</v>
      </c>
      <c r="W4" s="9">
        <f>0.001*G4</f>
        <v>0.048</v>
      </c>
      <c r="X4" s="9">
        <v>0.031</v>
      </c>
      <c r="Y4" s="9">
        <v>0.8961</v>
      </c>
      <c r="Z4" s="6">
        <f t="shared" si="3"/>
        <v>0.09934585412</v>
      </c>
      <c r="AA4" s="6">
        <f t="shared" ref="AA4:AH4" si="5">((R4-R$39)/R$40)</f>
        <v>-0.4455823222</v>
      </c>
      <c r="AB4" s="6">
        <f t="shared" si="5"/>
        <v>0.1138740859</v>
      </c>
      <c r="AC4" s="6">
        <f t="shared" si="5"/>
        <v>0.1864779365</v>
      </c>
      <c r="AD4" s="6">
        <f t="shared" si="5"/>
        <v>-0.1242196466</v>
      </c>
      <c r="AE4" s="6">
        <f t="shared" si="5"/>
        <v>-0.5609024607</v>
      </c>
      <c r="AF4" s="6">
        <f t="shared" si="5"/>
        <v>-0.6404135673</v>
      </c>
      <c r="AG4" s="6">
        <f t="shared" si="5"/>
        <v>-0.5033151106</v>
      </c>
      <c r="AH4" s="6">
        <f t="shared" si="5"/>
        <v>0.5651867093</v>
      </c>
      <c r="AI4" s="11"/>
      <c r="AJ4" s="12"/>
      <c r="AK4" s="11"/>
      <c r="AL4" s="11"/>
      <c r="AM4" s="11"/>
      <c r="AN4" s="11"/>
      <c r="AO4" s="11"/>
      <c r="AP4" s="11"/>
      <c r="AQ4" s="11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</row>
    <row r="5">
      <c r="A5" s="5" t="s">
        <v>33</v>
      </c>
      <c r="B5" s="6">
        <f t="shared" si="2"/>
        <v>-1.762109698</v>
      </c>
      <c r="C5" s="7" t="s">
        <v>34</v>
      </c>
      <c r="D5" s="8">
        <v>45798.58349537037</v>
      </c>
      <c r="E5" s="9">
        <v>40.0</v>
      </c>
      <c r="F5" s="9">
        <v>4.0</v>
      </c>
      <c r="G5" s="9">
        <v>100.0</v>
      </c>
      <c r="H5" s="9">
        <v>60.0</v>
      </c>
      <c r="I5" s="9">
        <v>20.0</v>
      </c>
      <c r="J5" s="9" t="s">
        <v>38</v>
      </c>
      <c r="K5" s="9">
        <v>256.0</v>
      </c>
      <c r="L5" s="9">
        <v>1.0</v>
      </c>
      <c r="M5" s="9" t="s">
        <v>39</v>
      </c>
      <c r="N5" s="9" t="s">
        <v>42</v>
      </c>
      <c r="O5" s="9">
        <v>60.73</v>
      </c>
      <c r="P5" s="9">
        <v>1.0122</v>
      </c>
      <c r="Q5" s="9">
        <v>3.25</v>
      </c>
      <c r="R5" s="9">
        <v>1.9926</v>
      </c>
      <c r="S5" s="9">
        <v>5.9348</v>
      </c>
      <c r="T5" s="9">
        <v>2.4361</v>
      </c>
      <c r="U5" s="9">
        <v>0.655</v>
      </c>
      <c r="V5" s="9">
        <v>0.0356</v>
      </c>
      <c r="W5" s="9">
        <f>0.0018*G5</f>
        <v>0.18</v>
      </c>
      <c r="X5" s="9">
        <v>0.0429</v>
      </c>
      <c r="Y5" s="9">
        <v>0.8076</v>
      </c>
      <c r="Z5" s="6">
        <f t="shared" si="3"/>
        <v>0.08869391423</v>
      </c>
      <c r="AA5" s="6">
        <f t="shared" ref="AA5:AH5" si="6">((R5-R$39)/R$40)</f>
        <v>-0.0766710777</v>
      </c>
      <c r="AB5" s="6">
        <f t="shared" si="6"/>
        <v>-0.2743112852</v>
      </c>
      <c r="AC5" s="6">
        <f t="shared" si="6"/>
        <v>-0.2311798993</v>
      </c>
      <c r="AD5" s="6">
        <f t="shared" si="6"/>
        <v>0.3645946218</v>
      </c>
      <c r="AE5" s="6">
        <f t="shared" si="6"/>
        <v>0.7958567602</v>
      </c>
      <c r="AF5" s="6">
        <f t="shared" si="6"/>
        <v>0.4561723623</v>
      </c>
      <c r="AG5" s="6">
        <f t="shared" si="6"/>
        <v>0.7590981996</v>
      </c>
      <c r="AH5" s="6">
        <f t="shared" si="6"/>
        <v>-0.6090453454</v>
      </c>
      <c r="AI5" s="11"/>
      <c r="AJ5" s="12"/>
      <c r="AK5" s="11"/>
      <c r="AL5" s="11"/>
      <c r="AM5" s="11"/>
      <c r="AN5" s="11"/>
      <c r="AO5" s="11"/>
      <c r="AP5" s="11"/>
      <c r="AQ5" s="11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</row>
    <row r="6">
      <c r="A6" s="5" t="s">
        <v>43</v>
      </c>
      <c r="B6" s="6">
        <f t="shared" si="2"/>
        <v>-3.848670104</v>
      </c>
      <c r="C6" s="7" t="s">
        <v>34</v>
      </c>
      <c r="D6" s="8">
        <v>45798.62825231482</v>
      </c>
      <c r="E6" s="9">
        <v>40.0</v>
      </c>
      <c r="F6" s="9">
        <v>4.0</v>
      </c>
      <c r="G6" s="9">
        <v>100.0</v>
      </c>
      <c r="H6" s="9">
        <v>60.0</v>
      </c>
      <c r="I6" s="9">
        <v>20.0</v>
      </c>
      <c r="J6" s="9" t="s">
        <v>38</v>
      </c>
      <c r="K6" s="9">
        <v>256.0</v>
      </c>
      <c r="L6" s="9">
        <v>1.0</v>
      </c>
      <c r="M6" s="9" t="s">
        <v>44</v>
      </c>
      <c r="N6" s="9" t="s">
        <v>42</v>
      </c>
      <c r="O6" s="9">
        <v>74.81</v>
      </c>
      <c r="P6" s="9">
        <v>1.2468</v>
      </c>
      <c r="Q6" s="9">
        <v>3.68</v>
      </c>
      <c r="R6" s="9">
        <v>2.0986</v>
      </c>
      <c r="S6" s="9">
        <v>6.5095</v>
      </c>
      <c r="T6" s="9">
        <v>2.5514</v>
      </c>
      <c r="U6" s="9">
        <v>0.6216</v>
      </c>
      <c r="V6" s="9">
        <v>0.0367</v>
      </c>
      <c r="W6" s="9">
        <f>0.002*G6</f>
        <v>0.2</v>
      </c>
      <c r="X6" s="9">
        <v>0.0442</v>
      </c>
      <c r="Y6" s="9">
        <v>0.795</v>
      </c>
      <c r="Z6" s="6">
        <f t="shared" si="3"/>
        <v>0.263088465</v>
      </c>
      <c r="AA6" s="6">
        <f t="shared" ref="AA6:AH6" si="7">((R6-R$39)/R$40)</f>
        <v>0.2957536073</v>
      </c>
      <c r="AB6" s="6">
        <f t="shared" si="7"/>
        <v>0.03395199074</v>
      </c>
      <c r="AC6" s="6">
        <f t="shared" si="7"/>
        <v>0.1025411573</v>
      </c>
      <c r="AD6" s="6">
        <f t="shared" si="7"/>
        <v>0.07253028253</v>
      </c>
      <c r="AE6" s="6">
        <f t="shared" si="7"/>
        <v>0.9303103767</v>
      </c>
      <c r="AF6" s="6">
        <f t="shared" si="7"/>
        <v>0.6223217455</v>
      </c>
      <c r="AG6" s="6">
        <f t="shared" si="7"/>
        <v>0.8970088974</v>
      </c>
      <c r="AH6" s="6">
        <f t="shared" si="7"/>
        <v>-0.7762241464</v>
      </c>
      <c r="AI6" s="11"/>
      <c r="AJ6" s="12"/>
      <c r="AK6" s="11"/>
      <c r="AL6" s="11"/>
      <c r="AM6" s="11"/>
      <c r="AN6" s="11"/>
      <c r="AO6" s="11"/>
      <c r="AP6" s="11"/>
      <c r="AQ6" s="11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</row>
    <row r="7">
      <c r="A7" s="5" t="s">
        <v>33</v>
      </c>
      <c r="B7" s="6">
        <f t="shared" si="2"/>
        <v>-7.231740346</v>
      </c>
      <c r="C7" s="7" t="s">
        <v>34</v>
      </c>
      <c r="D7" s="8">
        <v>45870.35130787037</v>
      </c>
      <c r="E7" s="9">
        <v>80.0</v>
      </c>
      <c r="F7" s="9">
        <v>4.0</v>
      </c>
      <c r="G7" s="9">
        <v>48.0</v>
      </c>
      <c r="H7" s="9">
        <v>30.0</v>
      </c>
      <c r="I7" s="9">
        <v>20.0</v>
      </c>
      <c r="J7" s="9" t="s">
        <v>35</v>
      </c>
      <c r="K7" s="10">
        <v>256.0</v>
      </c>
      <c r="L7" s="9">
        <v>2.0</v>
      </c>
      <c r="M7" s="9" t="s">
        <v>39</v>
      </c>
      <c r="N7" s="9" t="s">
        <v>37</v>
      </c>
      <c r="O7" s="9">
        <v>4.57</v>
      </c>
      <c r="P7" s="9">
        <v>0.07616667</v>
      </c>
      <c r="Q7" s="9">
        <v>2.03</v>
      </c>
      <c r="R7" s="9">
        <v>2.2973</v>
      </c>
      <c r="S7" s="9">
        <v>7.5285</v>
      </c>
      <c r="T7" s="9">
        <v>2.7438</v>
      </c>
      <c r="U7" s="9">
        <v>0.5593</v>
      </c>
      <c r="V7" s="9">
        <v>0.0434</v>
      </c>
      <c r="W7" s="9">
        <f>0.0026*G7</f>
        <v>0.1248</v>
      </c>
      <c r="X7" s="9">
        <v>0.0515</v>
      </c>
      <c r="Y7" s="9">
        <v>0.7243</v>
      </c>
      <c r="Z7" s="6">
        <f t="shared" si="3"/>
        <v>-0.6069025326</v>
      </c>
      <c r="AA7" s="6">
        <f t="shared" ref="AA7:AH7" si="8">((R7-R$39)/R$40)</f>
        <v>0.9938742195</v>
      </c>
      <c r="AB7" s="6">
        <f t="shared" si="8"/>
        <v>0.5805332995</v>
      </c>
      <c r="AC7" s="6">
        <f t="shared" si="8"/>
        <v>0.6594182716</v>
      </c>
      <c r="AD7" s="6">
        <f t="shared" si="8"/>
        <v>-0.4722484102</v>
      </c>
      <c r="AE7" s="6">
        <f t="shared" si="8"/>
        <v>1.749255132</v>
      </c>
      <c r="AF7" s="6">
        <f t="shared" si="8"/>
        <v>-0.002399935536</v>
      </c>
      <c r="AG7" s="6">
        <f t="shared" si="8"/>
        <v>1.671430508</v>
      </c>
      <c r="AH7" s="6">
        <f t="shared" si="8"/>
        <v>-1.714282974</v>
      </c>
      <c r="AI7" s="11"/>
      <c r="AJ7" s="12"/>
      <c r="AK7" s="11"/>
      <c r="AL7" s="11"/>
      <c r="AM7" s="11"/>
      <c r="AN7" s="11"/>
      <c r="AO7" s="11"/>
      <c r="AP7" s="11"/>
      <c r="AQ7" s="11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>
      <c r="A8" s="5" t="s">
        <v>43</v>
      </c>
      <c r="B8" s="6">
        <f t="shared" si="2"/>
        <v>6.960613463</v>
      </c>
      <c r="C8" s="7" t="s">
        <v>34</v>
      </c>
      <c r="D8" s="8">
        <v>45798.43530092593</v>
      </c>
      <c r="E8" s="9">
        <v>80.0</v>
      </c>
      <c r="F8" s="9">
        <v>4.0</v>
      </c>
      <c r="G8" s="9">
        <v>48.0</v>
      </c>
      <c r="H8" s="9">
        <v>60.0</v>
      </c>
      <c r="I8" s="9">
        <v>50.0</v>
      </c>
      <c r="J8" s="9" t="s">
        <v>38</v>
      </c>
      <c r="K8" s="9">
        <v>256.0</v>
      </c>
      <c r="L8" s="9">
        <v>2.0</v>
      </c>
      <c r="M8" s="9" t="s">
        <v>36</v>
      </c>
      <c r="N8" s="9" t="s">
        <v>37</v>
      </c>
      <c r="O8" s="9">
        <v>41.26</v>
      </c>
      <c r="P8" s="9">
        <v>0.6877</v>
      </c>
      <c r="Q8" s="9">
        <v>1.97</v>
      </c>
      <c r="R8" s="9">
        <v>1.8231</v>
      </c>
      <c r="S8" s="9">
        <v>5.3555</v>
      </c>
      <c r="T8" s="9">
        <v>2.3142</v>
      </c>
      <c r="U8" s="9">
        <v>0.6777</v>
      </c>
      <c r="V8" s="9">
        <v>0.0191</v>
      </c>
      <c r="W8" s="9">
        <f>0.0006*G8</f>
        <v>0.0288</v>
      </c>
      <c r="X8" s="9">
        <v>0.0239</v>
      </c>
      <c r="Y8" s="9">
        <v>0.9384</v>
      </c>
      <c r="Z8" s="6">
        <f t="shared" si="3"/>
        <v>-0.1524610505</v>
      </c>
      <c r="AA8" s="6">
        <f t="shared" ref="AA8:AH8" si="9">((R8-R$39)/R$40)</f>
        <v>-0.6721992296</v>
      </c>
      <c r="AB8" s="6">
        <f t="shared" si="9"/>
        <v>-0.5850419546</v>
      </c>
      <c r="AC8" s="6">
        <f t="shared" si="9"/>
        <v>-0.5840038091</v>
      </c>
      <c r="AD8" s="6">
        <f t="shared" si="9"/>
        <v>0.5630934393</v>
      </c>
      <c r="AE8" s="6">
        <f t="shared" si="9"/>
        <v>-1.220947487</v>
      </c>
      <c r="AF8" s="6">
        <f t="shared" si="9"/>
        <v>-0.7999169752</v>
      </c>
      <c r="AG8" s="6">
        <f t="shared" si="9"/>
        <v>-1.256519691</v>
      </c>
      <c r="AH8" s="6">
        <f t="shared" si="9"/>
        <v>1.126429827</v>
      </c>
      <c r="AI8" s="11"/>
      <c r="AJ8" s="12"/>
      <c r="AK8" s="11"/>
      <c r="AL8" s="11"/>
      <c r="AM8" s="11"/>
      <c r="AN8" s="11"/>
      <c r="AO8" s="11"/>
      <c r="AP8" s="11"/>
      <c r="AQ8" s="11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>
      <c r="A9" s="5" t="s">
        <v>33</v>
      </c>
      <c r="B9" s="6">
        <f t="shared" si="2"/>
        <v>4.992704835</v>
      </c>
      <c r="C9" s="7" t="s">
        <v>34</v>
      </c>
      <c r="D9" s="8">
        <v>45798.39981481482</v>
      </c>
      <c r="E9" s="9">
        <v>80.0</v>
      </c>
      <c r="F9" s="9">
        <v>4.0</v>
      </c>
      <c r="G9" s="9">
        <v>48.0</v>
      </c>
      <c r="H9" s="9">
        <v>60.0</v>
      </c>
      <c r="I9" s="9">
        <v>50.0</v>
      </c>
      <c r="J9" s="9" t="s">
        <v>38</v>
      </c>
      <c r="K9" s="9">
        <v>256.0</v>
      </c>
      <c r="L9" s="9">
        <v>1.0</v>
      </c>
      <c r="M9" s="9" t="s">
        <v>36</v>
      </c>
      <c r="N9" s="9" t="s">
        <v>42</v>
      </c>
      <c r="O9" s="9">
        <v>33.26</v>
      </c>
      <c r="P9" s="9">
        <v>0.5543</v>
      </c>
      <c r="Q9" s="9">
        <v>1.75</v>
      </c>
      <c r="R9" s="9">
        <v>1.784</v>
      </c>
      <c r="S9" s="9">
        <v>5.049</v>
      </c>
      <c r="T9" s="9">
        <v>2.247</v>
      </c>
      <c r="U9" s="9">
        <v>0.6965</v>
      </c>
      <c r="V9" s="9">
        <v>0.0266</v>
      </c>
      <c r="W9" s="9">
        <f>0.0011*G9</f>
        <v>0.0528</v>
      </c>
      <c r="X9" s="9">
        <v>0.0325</v>
      </c>
      <c r="Y9" s="9">
        <v>0.8857</v>
      </c>
      <c r="Z9" s="6">
        <f t="shared" si="3"/>
        <v>-0.2515488635</v>
      </c>
      <c r="AA9" s="6">
        <f t="shared" ref="AA9:AH9" si="10">((R9-R$39)/R$40)</f>
        <v>-0.8095747502</v>
      </c>
      <c r="AB9" s="6">
        <f t="shared" si="10"/>
        <v>-0.7494454592</v>
      </c>
      <c r="AC9" s="6">
        <f t="shared" si="10"/>
        <v>-0.7785055871</v>
      </c>
      <c r="AD9" s="6">
        <f t="shared" si="10"/>
        <v>0.7274889356</v>
      </c>
      <c r="AE9" s="6">
        <f t="shared" si="10"/>
        <v>-0.3042182838</v>
      </c>
      <c r="AF9" s="6">
        <f t="shared" si="10"/>
        <v>-0.6005377153</v>
      </c>
      <c r="AG9" s="6">
        <f t="shared" si="10"/>
        <v>-0.3441873824</v>
      </c>
      <c r="AH9" s="6">
        <f t="shared" si="10"/>
        <v>0.4271978577</v>
      </c>
      <c r="AI9" s="11"/>
      <c r="AJ9" s="12"/>
      <c r="AK9" s="11"/>
      <c r="AL9" s="11"/>
      <c r="AM9" s="11"/>
      <c r="AN9" s="11"/>
      <c r="AO9" s="11"/>
      <c r="AP9" s="11"/>
      <c r="AQ9" s="11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>
      <c r="A10" s="5" t="s">
        <v>33</v>
      </c>
      <c r="B10" s="6">
        <f t="shared" si="2"/>
        <v>3.802565854</v>
      </c>
      <c r="C10" s="7" t="s">
        <v>34</v>
      </c>
      <c r="D10" s="8">
        <v>45791.94666666666</v>
      </c>
      <c r="E10" s="9">
        <v>120.0</v>
      </c>
      <c r="F10" s="9">
        <v>4.0</v>
      </c>
      <c r="G10" s="9">
        <v>32.0</v>
      </c>
      <c r="H10" s="9">
        <v>60.0</v>
      </c>
      <c r="I10" s="9">
        <v>50.0</v>
      </c>
      <c r="J10" s="9" t="s">
        <v>35</v>
      </c>
      <c r="K10" s="9">
        <v>256.0</v>
      </c>
      <c r="L10" s="9">
        <v>2.0</v>
      </c>
      <c r="M10" s="9" t="s">
        <v>39</v>
      </c>
      <c r="N10" s="9" t="s">
        <v>37</v>
      </c>
      <c r="O10" s="9">
        <v>7.55</v>
      </c>
      <c r="P10" s="9">
        <v>0.1258</v>
      </c>
      <c r="Q10" s="9">
        <v>1.15</v>
      </c>
      <c r="R10" s="9">
        <v>1.7802</v>
      </c>
      <c r="S10" s="9">
        <v>5.2891</v>
      </c>
      <c r="T10" s="9">
        <v>2.2998</v>
      </c>
      <c r="U10" s="9">
        <v>0.6708</v>
      </c>
      <c r="V10" s="9">
        <v>0.0293</v>
      </c>
      <c r="W10" s="9">
        <f>0.0013*G10</f>
        <v>0.0416</v>
      </c>
      <c r="X10" s="9">
        <v>0.0363</v>
      </c>
      <c r="Y10" s="9">
        <v>0.8574</v>
      </c>
      <c r="Z10" s="6">
        <f t="shared" si="3"/>
        <v>-0.5699923223</v>
      </c>
      <c r="AA10" s="6">
        <f t="shared" ref="AA10:AH10" si="11">((R10-R$39)/R$40)</f>
        <v>-0.8229258238</v>
      </c>
      <c r="AB10" s="6">
        <f t="shared" si="11"/>
        <v>-0.620658244</v>
      </c>
      <c r="AC10" s="6">
        <f t="shared" si="11"/>
        <v>-0.6256827615</v>
      </c>
      <c r="AD10" s="6">
        <f t="shared" si="11"/>
        <v>0.5027567943</v>
      </c>
      <c r="AE10" s="6">
        <f t="shared" si="11"/>
        <v>0.02580422943</v>
      </c>
      <c r="AF10" s="6">
        <f t="shared" si="11"/>
        <v>-0.6935813699</v>
      </c>
      <c r="AG10" s="6">
        <f t="shared" si="11"/>
        <v>0.05893619562</v>
      </c>
      <c r="AH10" s="6">
        <f t="shared" si="11"/>
        <v>0.05170896336</v>
      </c>
      <c r="AI10" s="12"/>
      <c r="AJ10" s="13"/>
      <c r="AK10" s="11"/>
      <c r="AL10" s="11"/>
      <c r="AM10" s="11"/>
      <c r="AN10" s="11"/>
      <c r="AO10" s="11"/>
      <c r="AP10" s="11"/>
      <c r="AQ10" s="11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>
      <c r="A11" s="5" t="s">
        <v>43</v>
      </c>
      <c r="B11" s="6">
        <f t="shared" si="2"/>
        <v>3.401602078</v>
      </c>
      <c r="C11" s="7" t="s">
        <v>34</v>
      </c>
      <c r="D11" s="8">
        <v>45798.36304398148</v>
      </c>
      <c r="E11" s="9">
        <v>80.0</v>
      </c>
      <c r="F11" s="9">
        <v>4.0</v>
      </c>
      <c r="G11" s="9">
        <v>48.0</v>
      </c>
      <c r="H11" s="9">
        <v>60.0</v>
      </c>
      <c r="I11" s="9">
        <v>50.0</v>
      </c>
      <c r="J11" s="9" t="s">
        <v>38</v>
      </c>
      <c r="K11" s="9">
        <v>256.0</v>
      </c>
      <c r="L11" s="9">
        <v>2.0</v>
      </c>
      <c r="M11" s="9" t="s">
        <v>39</v>
      </c>
      <c r="N11" s="9" t="s">
        <v>37</v>
      </c>
      <c r="O11" s="9">
        <v>29.59</v>
      </c>
      <c r="P11" s="9">
        <v>0.4932</v>
      </c>
      <c r="Q11" s="9">
        <v>1.87</v>
      </c>
      <c r="R11" s="9">
        <v>1.9391</v>
      </c>
      <c r="S11" s="9">
        <v>5.7825</v>
      </c>
      <c r="T11" s="9">
        <v>2.4047</v>
      </c>
      <c r="U11" s="9">
        <v>0.6523</v>
      </c>
      <c r="V11" s="9">
        <v>0.0261</v>
      </c>
      <c r="W11" s="9">
        <f>0.001*G11</f>
        <v>0.048</v>
      </c>
      <c r="X11" s="9">
        <v>0.0323</v>
      </c>
      <c r="Y11" s="9">
        <v>0.8874</v>
      </c>
      <c r="Z11" s="6">
        <f t="shared" si="3"/>
        <v>-0.2970053976</v>
      </c>
      <c r="AA11" s="6">
        <f t="shared" ref="AA11:AH11" si="12">((R11-R$39)/R$40)</f>
        <v>-0.2646401404</v>
      </c>
      <c r="AB11" s="6">
        <f t="shared" si="12"/>
        <v>-0.356003467</v>
      </c>
      <c r="AC11" s="6">
        <f t="shared" si="12"/>
        <v>-0.3220631706</v>
      </c>
      <c r="AD11" s="6">
        <f t="shared" si="12"/>
        <v>0.3409846303</v>
      </c>
      <c r="AE11" s="6">
        <f t="shared" si="12"/>
        <v>-0.365333564</v>
      </c>
      <c r="AF11" s="6">
        <f t="shared" si="12"/>
        <v>-0.6404135673</v>
      </c>
      <c r="AG11" s="6">
        <f t="shared" si="12"/>
        <v>-0.3654044129</v>
      </c>
      <c r="AH11" s="6">
        <f t="shared" si="12"/>
        <v>0.4497537277</v>
      </c>
      <c r="AI11" s="12"/>
      <c r="AJ11" s="13"/>
      <c r="AK11" s="11"/>
      <c r="AL11" s="11"/>
      <c r="AM11" s="11"/>
      <c r="AN11" s="11"/>
      <c r="AO11" s="11"/>
      <c r="AP11" s="11"/>
      <c r="AQ11" s="11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>
      <c r="A12" s="5" t="s">
        <v>33</v>
      </c>
      <c r="B12" s="6">
        <f t="shared" si="2"/>
        <v>0.04040339893</v>
      </c>
      <c r="C12" s="7" t="s">
        <v>34</v>
      </c>
      <c r="D12" s="8">
        <v>45798.495046296295</v>
      </c>
      <c r="E12" s="9">
        <v>100.0</v>
      </c>
      <c r="F12" s="9">
        <v>4.0</v>
      </c>
      <c r="G12" s="9">
        <v>40.0</v>
      </c>
      <c r="H12" s="9">
        <v>60.0</v>
      </c>
      <c r="I12" s="9">
        <v>50.0</v>
      </c>
      <c r="J12" s="9" t="s">
        <v>38</v>
      </c>
      <c r="K12" s="9">
        <v>256.0</v>
      </c>
      <c r="L12" s="9">
        <v>1.0</v>
      </c>
      <c r="M12" s="9" t="s">
        <v>36</v>
      </c>
      <c r="N12" s="9" t="s">
        <v>42</v>
      </c>
      <c r="O12" s="9">
        <v>23.56</v>
      </c>
      <c r="P12" s="9">
        <v>0.3927</v>
      </c>
      <c r="Q12" s="9">
        <v>1.24</v>
      </c>
      <c r="R12" s="9">
        <v>1.9216</v>
      </c>
      <c r="S12" s="9">
        <v>5.7915</v>
      </c>
      <c r="T12" s="9">
        <v>2.4065</v>
      </c>
      <c r="U12" s="9">
        <v>0.6461</v>
      </c>
      <c r="V12" s="9">
        <v>0.0349</v>
      </c>
      <c r="W12" s="9">
        <f>0.0018*G12</f>
        <v>0.072</v>
      </c>
      <c r="X12" s="9">
        <v>0.0426</v>
      </c>
      <c r="Y12" s="9">
        <v>0.8071</v>
      </c>
      <c r="Z12" s="6">
        <f t="shared" si="3"/>
        <v>-0.3716928366</v>
      </c>
      <c r="AA12" s="6">
        <f t="shared" ref="AA12:AH12" si="13">((R12-R$39)/R$40)</f>
        <v>-0.3261253478</v>
      </c>
      <c r="AB12" s="6">
        <f t="shared" si="13"/>
        <v>-0.3511759579</v>
      </c>
      <c r="AC12" s="6">
        <f t="shared" si="13"/>
        <v>-0.3168533015</v>
      </c>
      <c r="AD12" s="6">
        <f t="shared" si="13"/>
        <v>0.2867690943</v>
      </c>
      <c r="AE12" s="6">
        <f t="shared" si="13"/>
        <v>0.7102953679</v>
      </c>
      <c r="AF12" s="6">
        <f t="shared" si="13"/>
        <v>-0.4410343074</v>
      </c>
      <c r="AG12" s="6">
        <f t="shared" si="13"/>
        <v>0.727272654</v>
      </c>
      <c r="AH12" s="6">
        <f t="shared" si="13"/>
        <v>-0.6156794248</v>
      </c>
      <c r="AI12" s="12"/>
      <c r="AJ12" s="13"/>
      <c r="AK12" s="11"/>
      <c r="AL12" s="11"/>
      <c r="AM12" s="11"/>
      <c r="AN12" s="11"/>
      <c r="AO12" s="11"/>
      <c r="AP12" s="11"/>
      <c r="AQ12" s="11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>
      <c r="A13" s="5" t="s">
        <v>43</v>
      </c>
      <c r="B13" s="6">
        <f t="shared" si="2"/>
        <v>-1.97871891</v>
      </c>
      <c r="C13" s="7" t="s">
        <v>34</v>
      </c>
      <c r="D13" s="8">
        <v>45798.51741898148</v>
      </c>
      <c r="E13" s="9">
        <v>100.0</v>
      </c>
      <c r="F13" s="9">
        <v>4.0</v>
      </c>
      <c r="G13" s="9">
        <v>40.0</v>
      </c>
      <c r="H13" s="9">
        <v>60.0</v>
      </c>
      <c r="I13" s="9">
        <v>50.0</v>
      </c>
      <c r="J13" s="9" t="s">
        <v>38</v>
      </c>
      <c r="K13" s="9">
        <v>256.0</v>
      </c>
      <c r="L13" s="9">
        <v>2.0</v>
      </c>
      <c r="M13" s="9" t="s">
        <v>39</v>
      </c>
      <c r="N13" s="9" t="s">
        <v>37</v>
      </c>
      <c r="O13" s="9">
        <v>45.15</v>
      </c>
      <c r="P13" s="9">
        <v>0.7525</v>
      </c>
      <c r="Q13" s="9">
        <v>1.73</v>
      </c>
      <c r="R13" s="9">
        <v>2.0262</v>
      </c>
      <c r="S13" s="9">
        <v>6.2257</v>
      </c>
      <c r="T13" s="9">
        <v>2.4951</v>
      </c>
      <c r="U13" s="9">
        <v>0.619</v>
      </c>
      <c r="V13" s="9">
        <v>0.0367</v>
      </c>
      <c r="W13" s="9">
        <f>0.002*G13</f>
        <v>0.08</v>
      </c>
      <c r="X13" s="9">
        <v>0.0442</v>
      </c>
      <c r="Y13" s="9">
        <v>0.7919</v>
      </c>
      <c r="Z13" s="6">
        <f t="shared" si="3"/>
        <v>-0.1042796015</v>
      </c>
      <c r="AA13" s="6">
        <f t="shared" ref="AA13:AH13" si="14">((R13-R$39)/R$40)</f>
        <v>0.04138052055</v>
      </c>
      <c r="AB13" s="6">
        <f t="shared" si="14"/>
        <v>-0.1182754631</v>
      </c>
      <c r="AC13" s="6">
        <f t="shared" si="14"/>
        <v>-0.06041196924</v>
      </c>
      <c r="AD13" s="6">
        <f t="shared" si="14"/>
        <v>0.04979473516</v>
      </c>
      <c r="AE13" s="6">
        <f t="shared" si="14"/>
        <v>0.9303103767</v>
      </c>
      <c r="AF13" s="6">
        <f t="shared" si="14"/>
        <v>-0.374574554</v>
      </c>
      <c r="AG13" s="6">
        <f t="shared" si="14"/>
        <v>0.8970088974</v>
      </c>
      <c r="AH13" s="6">
        <f t="shared" si="14"/>
        <v>-0.8173554387</v>
      </c>
      <c r="AI13" s="12"/>
      <c r="AJ13" s="13"/>
      <c r="AK13" s="11"/>
      <c r="AL13" s="11"/>
      <c r="AM13" s="11"/>
      <c r="AN13" s="11"/>
      <c r="AO13" s="11"/>
      <c r="AP13" s="11"/>
      <c r="AQ13" s="11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>
      <c r="A14" s="5" t="s">
        <v>33</v>
      </c>
      <c r="B14" s="6">
        <f t="shared" si="2"/>
        <v>8.486639127</v>
      </c>
      <c r="C14" s="7" t="s">
        <v>34</v>
      </c>
      <c r="D14" s="8">
        <v>45793.37615740741</v>
      </c>
      <c r="E14" s="9">
        <v>80.0</v>
      </c>
      <c r="F14" s="9">
        <v>3.0</v>
      </c>
      <c r="G14" s="9">
        <v>36.0</v>
      </c>
      <c r="H14" s="9">
        <v>60.0</v>
      </c>
      <c r="I14" s="9">
        <v>150.0</v>
      </c>
      <c r="J14" s="9" t="s">
        <v>35</v>
      </c>
      <c r="K14" s="9">
        <v>256.0</v>
      </c>
      <c r="L14" s="9">
        <v>1.0</v>
      </c>
      <c r="M14" s="9" t="s">
        <v>36</v>
      </c>
      <c r="N14" s="9" t="s">
        <v>41</v>
      </c>
      <c r="O14" s="9">
        <v>18.13</v>
      </c>
      <c r="P14" s="9">
        <v>0.3022</v>
      </c>
      <c r="Q14" s="9">
        <v>1.71</v>
      </c>
      <c r="R14" s="9">
        <v>1.6011</v>
      </c>
      <c r="S14" s="9">
        <v>4.6001</v>
      </c>
      <c r="T14" s="9">
        <v>2.1448</v>
      </c>
      <c r="U14" s="9">
        <v>0.7248</v>
      </c>
      <c r="V14" s="9">
        <v>0.0213</v>
      </c>
      <c r="W14" s="9">
        <f>0.0007*G14</f>
        <v>0.0252</v>
      </c>
      <c r="X14" s="9">
        <v>0.0273</v>
      </c>
      <c r="Y14" s="9">
        <v>0.9197</v>
      </c>
      <c r="Z14" s="6">
        <f t="shared" si="3"/>
        <v>-0.4389486897</v>
      </c>
      <c r="AA14" s="6">
        <f t="shared" ref="AA14:AH14" si="15">((R14-R$39)/R$40)</f>
        <v>-1.452183004</v>
      </c>
      <c r="AB14" s="6">
        <f t="shared" si="15"/>
        <v>-0.9902308855</v>
      </c>
      <c r="AC14" s="6">
        <f t="shared" si="15"/>
        <v>-1.074310374</v>
      </c>
      <c r="AD14" s="6">
        <f t="shared" si="15"/>
        <v>0.9749566243</v>
      </c>
      <c r="AE14" s="6">
        <f t="shared" si="15"/>
        <v>-0.9520402541</v>
      </c>
      <c r="AF14" s="6">
        <f t="shared" si="15"/>
        <v>-0.8298238642</v>
      </c>
      <c r="AG14" s="6">
        <f t="shared" si="15"/>
        <v>-0.8958301734</v>
      </c>
      <c r="AH14" s="6">
        <f t="shared" si="15"/>
        <v>0.8783152572</v>
      </c>
      <c r="AI14" s="12"/>
      <c r="AJ14" s="14"/>
      <c r="AK14" s="11"/>
      <c r="AL14" s="11"/>
      <c r="AM14" s="11"/>
      <c r="AN14" s="11"/>
      <c r="AO14" s="11"/>
      <c r="AP14" s="11"/>
      <c r="AQ14" s="11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>
      <c r="A15" s="5" t="s">
        <v>43</v>
      </c>
      <c r="B15" s="6">
        <f t="shared" si="2"/>
        <v>7.784435397</v>
      </c>
      <c r="C15" s="7" t="s">
        <v>34</v>
      </c>
      <c r="D15" s="8">
        <v>45793.400625</v>
      </c>
      <c r="E15" s="9">
        <v>80.0</v>
      </c>
      <c r="F15" s="9">
        <v>3.0</v>
      </c>
      <c r="G15" s="9">
        <v>36.0</v>
      </c>
      <c r="H15" s="9">
        <v>60.0</v>
      </c>
      <c r="I15" s="9">
        <v>150.0</v>
      </c>
      <c r="J15" s="9" t="s">
        <v>35</v>
      </c>
      <c r="K15" s="9">
        <v>256.0</v>
      </c>
      <c r="L15" s="9">
        <v>2.0</v>
      </c>
      <c r="M15" s="9" t="s">
        <v>39</v>
      </c>
      <c r="N15" s="9" t="s">
        <v>42</v>
      </c>
      <c r="O15" s="9">
        <v>11.5</v>
      </c>
      <c r="P15" s="9">
        <v>0.1917</v>
      </c>
      <c r="Q15" s="9">
        <v>1.74</v>
      </c>
      <c r="R15" s="9">
        <v>1.6433</v>
      </c>
      <c r="S15" s="9">
        <v>4.3486</v>
      </c>
      <c r="T15" s="9">
        <v>2.0853</v>
      </c>
      <c r="U15" s="9">
        <v>0.7399</v>
      </c>
      <c r="V15" s="9">
        <v>0.0248</v>
      </c>
      <c r="W15" s="9">
        <f>0.0009*G15</f>
        <v>0.0324</v>
      </c>
      <c r="X15" s="9">
        <v>0.0304</v>
      </c>
      <c r="Y15" s="9">
        <v>0.9002</v>
      </c>
      <c r="Z15" s="6">
        <f t="shared" si="3"/>
        <v>-0.5210677147</v>
      </c>
      <c r="AA15" s="6">
        <f t="shared" ref="AA15:AH15" si="16">((R15-R$39)/R$40)</f>
        <v>-1.303915818</v>
      </c>
      <c r="AB15" s="6">
        <f t="shared" si="16"/>
        <v>-1.125132946</v>
      </c>
      <c r="AC15" s="6">
        <f t="shared" si="16"/>
        <v>-1.24652549</v>
      </c>
      <c r="AD15" s="6">
        <f t="shared" si="16"/>
        <v>1.106997688</v>
      </c>
      <c r="AE15" s="6">
        <f t="shared" si="16"/>
        <v>-0.5242332925</v>
      </c>
      <c r="AF15" s="6">
        <f t="shared" si="16"/>
        <v>-0.7700100862</v>
      </c>
      <c r="AG15" s="6">
        <f t="shared" si="16"/>
        <v>-0.5669662019</v>
      </c>
      <c r="AH15" s="6">
        <f t="shared" si="16"/>
        <v>0.6195861604</v>
      </c>
      <c r="AI15" s="12"/>
      <c r="AJ15" s="13"/>
      <c r="AK15" s="11"/>
      <c r="AL15" s="11"/>
      <c r="AM15" s="11"/>
      <c r="AN15" s="11"/>
      <c r="AO15" s="11"/>
      <c r="AP15" s="11"/>
      <c r="AQ15" s="11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>
      <c r="A16" s="5" t="s">
        <v>33</v>
      </c>
      <c r="B16" s="6">
        <f t="shared" si="2"/>
        <v>7.800167933</v>
      </c>
      <c r="C16" s="7" t="s">
        <v>34</v>
      </c>
      <c r="D16" s="8">
        <v>45797.9071412037</v>
      </c>
      <c r="E16" s="9">
        <v>80.0</v>
      </c>
      <c r="F16" s="9">
        <v>4.0</v>
      </c>
      <c r="G16" s="9">
        <v>48.0</v>
      </c>
      <c r="H16" s="9">
        <v>60.0</v>
      </c>
      <c r="I16" s="9">
        <v>150.0</v>
      </c>
      <c r="J16" s="9" t="s">
        <v>38</v>
      </c>
      <c r="K16" s="9">
        <v>256.0</v>
      </c>
      <c r="L16" s="9">
        <v>1.0</v>
      </c>
      <c r="M16" s="9" t="s">
        <v>36</v>
      </c>
      <c r="N16" s="9" t="s">
        <v>42</v>
      </c>
      <c r="O16" s="9">
        <v>72.64</v>
      </c>
      <c r="P16" s="9">
        <v>1.2107</v>
      </c>
      <c r="Q16" s="9">
        <v>1.69</v>
      </c>
      <c r="R16" s="9">
        <v>1.7203</v>
      </c>
      <c r="S16" s="9">
        <v>4.8758</v>
      </c>
      <c r="T16" s="9">
        <v>2.2081</v>
      </c>
      <c r="U16" s="9">
        <v>0.7066</v>
      </c>
      <c r="V16" s="9">
        <v>0.0188</v>
      </c>
      <c r="W16" s="9">
        <f>0.0006*G16</f>
        <v>0.0288</v>
      </c>
      <c r="X16" s="9">
        <v>0.0238</v>
      </c>
      <c r="Y16" s="9">
        <v>0.9386</v>
      </c>
      <c r="Z16" s="6">
        <f t="shared" si="3"/>
        <v>0.2362108957</v>
      </c>
      <c r="AA16" s="6">
        <f t="shared" ref="AA16:AH16" si="17">((R16-R$39)/R$40)</f>
        <v>-1.033380905</v>
      </c>
      <c r="AB16" s="6">
        <f t="shared" si="17"/>
        <v>-0.8423481899</v>
      </c>
      <c r="AC16" s="6">
        <f t="shared" si="17"/>
        <v>-0.8910966461</v>
      </c>
      <c r="AD16" s="6">
        <f t="shared" si="17"/>
        <v>0.8158077927</v>
      </c>
      <c r="AE16" s="6">
        <f t="shared" si="17"/>
        <v>-1.257616655</v>
      </c>
      <c r="AF16" s="6">
        <f t="shared" si="17"/>
        <v>-0.7999169752</v>
      </c>
      <c r="AG16" s="6">
        <f t="shared" si="17"/>
        <v>-1.267128206</v>
      </c>
      <c r="AH16" s="6">
        <f t="shared" si="17"/>
        <v>1.129083459</v>
      </c>
      <c r="AI16" s="12"/>
      <c r="AJ16" s="13"/>
      <c r="AK16" s="11"/>
      <c r="AL16" s="11"/>
      <c r="AM16" s="11"/>
      <c r="AN16" s="11"/>
      <c r="AO16" s="11"/>
      <c r="AP16" s="11"/>
      <c r="AQ16" s="11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>
      <c r="A17" s="5" t="s">
        <v>43</v>
      </c>
      <c r="B17" s="6">
        <f t="shared" si="2"/>
        <v>5.838505276</v>
      </c>
      <c r="C17" s="7" t="s">
        <v>34</v>
      </c>
      <c r="D17" s="8">
        <v>45793.43094907407</v>
      </c>
      <c r="E17" s="9">
        <v>40.0</v>
      </c>
      <c r="F17" s="9">
        <v>3.0</v>
      </c>
      <c r="G17" s="9">
        <v>75.0</v>
      </c>
      <c r="H17" s="9">
        <v>60.0</v>
      </c>
      <c r="I17" s="9">
        <v>150.0</v>
      </c>
      <c r="J17" s="9" t="s">
        <v>35</v>
      </c>
      <c r="K17" s="9">
        <v>256.0</v>
      </c>
      <c r="L17" s="9">
        <v>2.0</v>
      </c>
      <c r="M17" s="9" t="s">
        <v>39</v>
      </c>
      <c r="N17" s="9" t="s">
        <v>42</v>
      </c>
      <c r="O17" s="9">
        <v>56.55</v>
      </c>
      <c r="P17" s="9">
        <v>0.9425</v>
      </c>
      <c r="Q17" s="9">
        <v>3.78</v>
      </c>
      <c r="R17" s="9">
        <v>1.8138</v>
      </c>
      <c r="S17" s="9">
        <v>4.9999</v>
      </c>
      <c r="T17" s="9">
        <v>2.236</v>
      </c>
      <c r="U17" s="9">
        <v>0.7104</v>
      </c>
      <c r="V17" s="9">
        <v>0.0235</v>
      </c>
      <c r="W17" s="9">
        <f>0.0008*G17</f>
        <v>0.06</v>
      </c>
      <c r="X17" s="9">
        <v>0.0289</v>
      </c>
      <c r="Y17" s="9">
        <v>0.9127</v>
      </c>
      <c r="Z17" s="6">
        <f t="shared" si="3"/>
        <v>0.03692053197</v>
      </c>
      <c r="AA17" s="6">
        <f t="shared" ref="AA17:AH17" si="18">((R17-R$39)/R$40)</f>
        <v>-0.7048742255</v>
      </c>
      <c r="AB17" s="6">
        <f t="shared" si="18"/>
        <v>-0.7757822033</v>
      </c>
      <c r="AC17" s="6">
        <f t="shared" si="18"/>
        <v>-0.8103436758</v>
      </c>
      <c r="AD17" s="6">
        <f t="shared" si="18"/>
        <v>0.8490366697</v>
      </c>
      <c r="AE17" s="6">
        <f t="shared" si="18"/>
        <v>-0.6831330211</v>
      </c>
      <c r="AF17" s="6">
        <f t="shared" si="18"/>
        <v>-0.5407239373</v>
      </c>
      <c r="AG17" s="6">
        <f t="shared" si="18"/>
        <v>-0.7260939301</v>
      </c>
      <c r="AH17" s="6">
        <f t="shared" si="18"/>
        <v>0.7854381456</v>
      </c>
      <c r="AI17" s="12"/>
      <c r="AJ17" s="13"/>
      <c r="AK17" s="11"/>
      <c r="AL17" s="11"/>
      <c r="AM17" s="11"/>
      <c r="AN17" s="11"/>
      <c r="AO17" s="11"/>
      <c r="AP17" s="11"/>
      <c r="AQ17" s="11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>
      <c r="A18" s="5" t="s">
        <v>43</v>
      </c>
      <c r="B18" s="6">
        <f t="shared" si="2"/>
        <v>5.80399425</v>
      </c>
      <c r="C18" s="7" t="s">
        <v>34</v>
      </c>
      <c r="D18" s="8">
        <v>45790.710335648146</v>
      </c>
      <c r="E18" s="9">
        <v>80.0</v>
      </c>
      <c r="F18" s="9">
        <v>4.0</v>
      </c>
      <c r="G18" s="9">
        <v>48.0</v>
      </c>
      <c r="H18" s="9">
        <v>60.0</v>
      </c>
      <c r="I18" s="9">
        <v>150.0</v>
      </c>
      <c r="J18" s="9" t="s">
        <v>35</v>
      </c>
      <c r="K18" s="9">
        <v>256.0</v>
      </c>
      <c r="L18" s="9">
        <v>2.0</v>
      </c>
      <c r="M18" s="9" t="s">
        <v>36</v>
      </c>
      <c r="N18" s="9" t="s">
        <v>37</v>
      </c>
      <c r="O18" s="9">
        <v>22.27</v>
      </c>
      <c r="P18" s="9">
        <v>0.3712</v>
      </c>
      <c r="Q18" s="9">
        <v>1.84</v>
      </c>
      <c r="R18" s="9">
        <v>1.8847</v>
      </c>
      <c r="S18" s="9">
        <v>5.6757</v>
      </c>
      <c r="T18" s="9">
        <v>2.3824</v>
      </c>
      <c r="U18" s="9">
        <v>0.6586</v>
      </c>
      <c r="V18" s="9">
        <v>0.0209</v>
      </c>
      <c r="W18" s="9">
        <f>0.0007*G18</f>
        <v>0.0336</v>
      </c>
      <c r="X18" s="9">
        <v>0.026</v>
      </c>
      <c r="Y18" s="9">
        <v>0.9266</v>
      </c>
      <c r="Z18" s="6">
        <f t="shared" si="3"/>
        <v>-0.3876707465</v>
      </c>
      <c r="AA18" s="6">
        <f t="shared" ref="AA18:AH18" si="19">((R18-R$39)/R$40)</f>
        <v>-0.4557712995</v>
      </c>
      <c r="AB18" s="6">
        <f t="shared" si="19"/>
        <v>-0.4132899084</v>
      </c>
      <c r="AC18" s="6">
        <f t="shared" si="19"/>
        <v>-0.3866076594</v>
      </c>
      <c r="AD18" s="6">
        <f t="shared" si="19"/>
        <v>0.3960746105</v>
      </c>
      <c r="AE18" s="6">
        <f t="shared" si="19"/>
        <v>-1.000932478</v>
      </c>
      <c r="AF18" s="6">
        <f t="shared" si="19"/>
        <v>-0.7600411232</v>
      </c>
      <c r="AG18" s="6">
        <f t="shared" si="19"/>
        <v>-1.033740871</v>
      </c>
      <c r="AH18" s="6">
        <f t="shared" si="19"/>
        <v>0.969865553</v>
      </c>
      <c r="AI18" s="12"/>
      <c r="AJ18" s="13"/>
      <c r="AK18" s="11"/>
      <c r="AL18" s="11"/>
      <c r="AM18" s="11"/>
      <c r="AN18" s="11"/>
      <c r="AO18" s="11"/>
      <c r="AP18" s="11"/>
      <c r="AQ18" s="11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>
      <c r="A19" s="5" t="s">
        <v>33</v>
      </c>
      <c r="B19" s="6">
        <f t="shared" si="2"/>
        <v>3.966287995</v>
      </c>
      <c r="C19" s="7" t="s">
        <v>34</v>
      </c>
      <c r="D19" s="8">
        <v>45789.47121527778</v>
      </c>
      <c r="E19" s="9">
        <v>40.0</v>
      </c>
      <c r="F19" s="9">
        <v>4.0</v>
      </c>
      <c r="G19" s="9">
        <v>100.0</v>
      </c>
      <c r="H19" s="9">
        <v>60.0</v>
      </c>
      <c r="I19" s="9">
        <v>150.0</v>
      </c>
      <c r="J19" s="9" t="s">
        <v>35</v>
      </c>
      <c r="K19" s="9">
        <v>256.0</v>
      </c>
      <c r="L19" s="9">
        <v>1.0</v>
      </c>
      <c r="M19" s="9" t="s">
        <v>36</v>
      </c>
      <c r="N19" s="9" t="s">
        <v>42</v>
      </c>
      <c r="O19" s="9">
        <v>8.92</v>
      </c>
      <c r="P19" s="9">
        <v>0.1487</v>
      </c>
      <c r="Q19" s="9"/>
      <c r="R19" s="9">
        <v>1.8785</v>
      </c>
      <c r="S19" s="9">
        <v>5.6085</v>
      </c>
      <c r="T19" s="9">
        <v>2.3682</v>
      </c>
      <c r="U19" s="9">
        <v>0.6736</v>
      </c>
      <c r="V19" s="9">
        <v>0.0259</v>
      </c>
      <c r="W19" s="9">
        <f>0.001*G19</f>
        <v>0.1</v>
      </c>
      <c r="X19" s="9">
        <v>0.0319</v>
      </c>
      <c r="Y19" s="9">
        <v>0.8931</v>
      </c>
      <c r="Z19" s="6">
        <f t="shared" si="3"/>
        <v>-0.5530235343</v>
      </c>
      <c r="AA19" s="6">
        <f t="shared" ref="AA19:AH19" si="20">((R19-R$39)/R$40)</f>
        <v>-0.4775546301</v>
      </c>
      <c r="AB19" s="6">
        <f t="shared" si="20"/>
        <v>-0.4493353097</v>
      </c>
      <c r="AC19" s="6">
        <f t="shared" si="20"/>
        <v>-0.4277077375</v>
      </c>
      <c r="AD19" s="6">
        <f t="shared" si="20"/>
        <v>0.5272412299</v>
      </c>
      <c r="AE19" s="6">
        <f t="shared" si="20"/>
        <v>-0.3897796761</v>
      </c>
      <c r="AF19" s="6">
        <f t="shared" si="20"/>
        <v>-0.2084251708</v>
      </c>
      <c r="AG19" s="6">
        <f t="shared" si="20"/>
        <v>-0.4078384737</v>
      </c>
      <c r="AH19" s="6">
        <f t="shared" si="20"/>
        <v>0.5253822329</v>
      </c>
      <c r="AI19" s="12"/>
      <c r="AJ19" s="13"/>
      <c r="AK19" s="11"/>
      <c r="AL19" s="11"/>
      <c r="AM19" s="11"/>
      <c r="AN19" s="11"/>
      <c r="AO19" s="11"/>
      <c r="AP19" s="11"/>
      <c r="AQ19" s="11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>
      <c r="A20" s="5" t="s">
        <v>43</v>
      </c>
      <c r="B20" s="6">
        <f t="shared" si="2"/>
        <v>3.741371445</v>
      </c>
      <c r="C20" s="7" t="s">
        <v>34</v>
      </c>
      <c r="D20" s="8">
        <v>45789.49513888889</v>
      </c>
      <c r="E20" s="9">
        <v>40.0</v>
      </c>
      <c r="F20" s="9">
        <v>4.0</v>
      </c>
      <c r="G20" s="9">
        <v>100.0</v>
      </c>
      <c r="H20" s="9">
        <v>60.0</v>
      </c>
      <c r="I20" s="9">
        <v>150.0</v>
      </c>
      <c r="J20" s="9" t="s">
        <v>35</v>
      </c>
      <c r="K20" s="9">
        <v>256.0</v>
      </c>
      <c r="L20" s="9">
        <v>2.0</v>
      </c>
      <c r="M20" s="9" t="s">
        <v>36</v>
      </c>
      <c r="N20" s="9" t="s">
        <v>42</v>
      </c>
      <c r="O20" s="9">
        <v>44.62</v>
      </c>
      <c r="P20" s="9">
        <v>0.7437</v>
      </c>
      <c r="Q20" s="9"/>
      <c r="R20" s="9">
        <v>1.9417</v>
      </c>
      <c r="S20" s="9">
        <v>5.6596</v>
      </c>
      <c r="T20" s="9">
        <v>2.379</v>
      </c>
      <c r="U20" s="9">
        <v>0.6706</v>
      </c>
      <c r="V20" s="9">
        <v>0.0247</v>
      </c>
      <c r="W20" s="9">
        <f>0.0009*G20</f>
        <v>0.09</v>
      </c>
      <c r="X20" s="9">
        <v>0.0304</v>
      </c>
      <c r="Y20" s="9">
        <v>0.9033</v>
      </c>
      <c r="Z20" s="6">
        <f t="shared" si="3"/>
        <v>-0.1108441691</v>
      </c>
      <c r="AA20" s="6">
        <f t="shared" ref="AA20:AH20" si="21">((R20-R$39)/R$40)</f>
        <v>-0.2555051953</v>
      </c>
      <c r="AB20" s="6">
        <f t="shared" si="21"/>
        <v>-0.4219257858</v>
      </c>
      <c r="AC20" s="6">
        <f t="shared" si="21"/>
        <v>-0.3964485232</v>
      </c>
      <c r="AD20" s="6">
        <f t="shared" si="21"/>
        <v>0.5010079061</v>
      </c>
      <c r="AE20" s="6">
        <f t="shared" si="21"/>
        <v>-0.5364563486</v>
      </c>
      <c r="AF20" s="6">
        <f t="shared" si="21"/>
        <v>-0.2914998624</v>
      </c>
      <c r="AG20" s="6">
        <f t="shared" si="21"/>
        <v>-0.5669662019</v>
      </c>
      <c r="AH20" s="6">
        <f t="shared" si="21"/>
        <v>0.6607174528</v>
      </c>
      <c r="AI20" s="12"/>
      <c r="AJ20" s="13"/>
      <c r="AK20" s="11"/>
      <c r="AL20" s="11"/>
      <c r="AM20" s="11"/>
      <c r="AN20" s="11"/>
      <c r="AO20" s="11"/>
      <c r="AP20" s="11"/>
      <c r="AQ20" s="11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ht="15.75" customHeight="1">
      <c r="A21" s="5" t="s">
        <v>33</v>
      </c>
      <c r="B21" s="6">
        <f t="shared" si="2"/>
        <v>3.507905348</v>
      </c>
      <c r="C21" s="7" t="s">
        <v>34</v>
      </c>
      <c r="D21" s="8">
        <v>45794.35142361111</v>
      </c>
      <c r="E21" s="9">
        <v>40.0</v>
      </c>
      <c r="F21" s="9">
        <v>6.0</v>
      </c>
      <c r="G21" s="9">
        <v>150.0</v>
      </c>
      <c r="H21" s="9">
        <v>60.0</v>
      </c>
      <c r="I21" s="9">
        <v>150.0</v>
      </c>
      <c r="J21" s="9" t="s">
        <v>35</v>
      </c>
      <c r="K21" s="9">
        <v>256.0</v>
      </c>
      <c r="L21" s="9">
        <v>1.0</v>
      </c>
      <c r="M21" s="9" t="s">
        <v>36</v>
      </c>
      <c r="N21" s="9" t="s">
        <v>42</v>
      </c>
      <c r="O21" s="9">
        <v>21.97</v>
      </c>
      <c r="P21" s="9">
        <v>0.3662</v>
      </c>
      <c r="Q21" s="9">
        <v>3.16</v>
      </c>
      <c r="R21" s="9">
        <v>2.0106</v>
      </c>
      <c r="S21" s="9">
        <v>6.1844</v>
      </c>
      <c r="T21" s="9">
        <v>2.4868</v>
      </c>
      <c r="U21" s="9">
        <v>0.6364</v>
      </c>
      <c r="V21" s="9">
        <v>0.022</v>
      </c>
      <c r="W21" s="9">
        <f t="shared" ref="W21:W22" si="23">0.0008*G21</f>
        <v>0.12</v>
      </c>
      <c r="X21" s="9">
        <v>0.0275</v>
      </c>
      <c r="Y21" s="9">
        <v>0.9208</v>
      </c>
      <c r="Z21" s="6">
        <f t="shared" si="3"/>
        <v>-0.3913865395</v>
      </c>
      <c r="AA21" s="6">
        <f t="shared" ref="AA21:AH21" si="22">((R21-R$39)/R$40)</f>
        <v>-0.01342915007</v>
      </c>
      <c r="AB21" s="6">
        <f t="shared" si="22"/>
        <v>-0.140428366</v>
      </c>
      <c r="AC21" s="6">
        <f t="shared" si="22"/>
        <v>-0.08443525432</v>
      </c>
      <c r="AD21" s="6">
        <f t="shared" si="22"/>
        <v>0.2019480137</v>
      </c>
      <c r="AE21" s="6">
        <f t="shared" si="22"/>
        <v>-0.8664788618</v>
      </c>
      <c r="AF21" s="6">
        <f t="shared" si="22"/>
        <v>-0.04227578752</v>
      </c>
      <c r="AG21" s="6">
        <f t="shared" si="22"/>
        <v>-0.874613143</v>
      </c>
      <c r="AH21" s="6">
        <f t="shared" si="22"/>
        <v>0.8929102319</v>
      </c>
      <c r="AI21" s="12"/>
      <c r="AJ21" s="13"/>
      <c r="AK21" s="11"/>
      <c r="AL21" s="11"/>
      <c r="AM21" s="11"/>
      <c r="AN21" s="11"/>
      <c r="AO21" s="11"/>
      <c r="AP21" s="11"/>
      <c r="AQ21" s="11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ht="15.75" customHeight="1">
      <c r="A22" s="5" t="s">
        <v>43</v>
      </c>
      <c r="B22" s="6">
        <f t="shared" si="2"/>
        <v>3.633666196</v>
      </c>
      <c r="C22" s="7" t="s">
        <v>34</v>
      </c>
      <c r="D22" s="8">
        <v>45794.01262731481</v>
      </c>
      <c r="E22" s="9">
        <v>80.0</v>
      </c>
      <c r="F22" s="9">
        <v>6.0</v>
      </c>
      <c r="G22" s="9">
        <v>72.0</v>
      </c>
      <c r="H22" s="9">
        <v>60.0</v>
      </c>
      <c r="I22" s="9">
        <v>150.0</v>
      </c>
      <c r="J22" s="9" t="s">
        <v>35</v>
      </c>
      <c r="K22" s="9">
        <v>256.0</v>
      </c>
      <c r="L22" s="9">
        <v>2.0</v>
      </c>
      <c r="M22" s="9" t="s">
        <v>36</v>
      </c>
      <c r="N22" s="9" t="s">
        <v>37</v>
      </c>
      <c r="O22" s="9">
        <v>20.7</v>
      </c>
      <c r="P22" s="9">
        <v>0.345</v>
      </c>
      <c r="Q22" s="9">
        <v>1.67</v>
      </c>
      <c r="R22" s="9">
        <v>2.003</v>
      </c>
      <c r="S22" s="9">
        <v>6.3589</v>
      </c>
      <c r="T22" s="9">
        <v>2.5217</v>
      </c>
      <c r="U22" s="9">
        <v>0.613</v>
      </c>
      <c r="V22" s="9">
        <v>0.022</v>
      </c>
      <c r="W22" s="9">
        <f t="shared" si="23"/>
        <v>0.0576</v>
      </c>
      <c r="X22" s="9">
        <v>0.0275</v>
      </c>
      <c r="Y22" s="9">
        <v>0.9181</v>
      </c>
      <c r="Z22" s="6">
        <f t="shared" si="3"/>
        <v>-0.4071167298</v>
      </c>
      <c r="AA22" s="6">
        <f t="shared" ref="AA22:AH22" si="24">((R22-R$39)/R$40)</f>
        <v>-0.04013129729</v>
      </c>
      <c r="AB22" s="6">
        <f t="shared" si="24"/>
        <v>-0.0468283283</v>
      </c>
      <c r="AC22" s="6">
        <f t="shared" si="24"/>
        <v>0.01657831788</v>
      </c>
      <c r="AD22" s="6">
        <f t="shared" si="24"/>
        <v>-0.002671912618</v>
      </c>
      <c r="AE22" s="6">
        <f t="shared" si="24"/>
        <v>-0.8664788618</v>
      </c>
      <c r="AF22" s="6">
        <f t="shared" si="24"/>
        <v>-0.5606618633</v>
      </c>
      <c r="AG22" s="6">
        <f t="shared" si="24"/>
        <v>-0.874613143</v>
      </c>
      <c r="AH22" s="6">
        <f t="shared" si="24"/>
        <v>0.8570862031</v>
      </c>
      <c r="AI22" s="12"/>
      <c r="AJ22" s="13"/>
      <c r="AK22" s="11"/>
      <c r="AL22" s="11"/>
      <c r="AM22" s="11"/>
      <c r="AN22" s="11"/>
      <c r="AO22" s="11"/>
      <c r="AP22" s="11"/>
      <c r="AQ22" s="11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ht="15.75" customHeight="1">
      <c r="A23" s="5" t="s">
        <v>33</v>
      </c>
      <c r="B23" s="6">
        <f t="shared" si="2"/>
        <v>1.664838976</v>
      </c>
      <c r="C23" s="7" t="s">
        <v>34</v>
      </c>
      <c r="D23" s="8">
        <v>45790.69383101852</v>
      </c>
      <c r="E23" s="9">
        <v>80.0</v>
      </c>
      <c r="F23" s="9">
        <v>4.0</v>
      </c>
      <c r="G23" s="9">
        <v>48.0</v>
      </c>
      <c r="H23" s="9">
        <v>60.0</v>
      </c>
      <c r="I23" s="9">
        <v>150.0</v>
      </c>
      <c r="J23" s="9" t="s">
        <v>35</v>
      </c>
      <c r="K23" s="9">
        <v>256.0</v>
      </c>
      <c r="L23" s="9">
        <v>2.0</v>
      </c>
      <c r="M23" s="9" t="s">
        <v>39</v>
      </c>
      <c r="N23" s="9" t="s">
        <v>42</v>
      </c>
      <c r="O23" s="9">
        <v>10.16</v>
      </c>
      <c r="P23" s="9">
        <v>0.1693</v>
      </c>
      <c r="Q23" s="9">
        <v>1.72</v>
      </c>
      <c r="R23" s="9">
        <v>1.8589</v>
      </c>
      <c r="S23" s="9">
        <v>5.5363</v>
      </c>
      <c r="T23" s="9">
        <v>2.3529</v>
      </c>
      <c r="U23" s="9">
        <v>0.6674</v>
      </c>
      <c r="V23" s="9">
        <v>0.0326</v>
      </c>
      <c r="W23" s="9">
        <f>0.0016*G23</f>
        <v>0.0768</v>
      </c>
      <c r="X23" s="9">
        <v>0.0401</v>
      </c>
      <c r="Y23" s="9">
        <v>0.8262</v>
      </c>
      <c r="Z23" s="6">
        <f t="shared" si="3"/>
        <v>-0.5376649233</v>
      </c>
      <c r="AA23" s="6">
        <f t="shared" ref="AA23:AH23" si="25">((R23-R$39)/R$40)</f>
        <v>-0.5464180624</v>
      </c>
      <c r="AB23" s="6">
        <f t="shared" si="25"/>
        <v>-0.4880626606</v>
      </c>
      <c r="AC23" s="6">
        <f t="shared" si="25"/>
        <v>-0.4719916245</v>
      </c>
      <c r="AD23" s="6">
        <f t="shared" si="25"/>
        <v>0.4730256939</v>
      </c>
      <c r="AE23" s="6">
        <f t="shared" si="25"/>
        <v>0.4291650789</v>
      </c>
      <c r="AF23" s="6">
        <f t="shared" si="25"/>
        <v>-0.4011584554</v>
      </c>
      <c r="AG23" s="6">
        <f t="shared" si="25"/>
        <v>0.4620597737</v>
      </c>
      <c r="AH23" s="6">
        <f t="shared" si="25"/>
        <v>-0.3622575915</v>
      </c>
      <c r="AI23" s="12"/>
      <c r="AJ23" s="13"/>
      <c r="AK23" s="11"/>
      <c r="AL23" s="11"/>
      <c r="AM23" s="11"/>
      <c r="AN23" s="11"/>
      <c r="AO23" s="11"/>
      <c r="AP23" s="11"/>
      <c r="AQ23" s="11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ht="15.75" customHeight="1">
      <c r="A24" s="5" t="s">
        <v>43</v>
      </c>
      <c r="B24" s="6">
        <f t="shared" si="2"/>
        <v>-0.9804450611</v>
      </c>
      <c r="C24" s="7" t="s">
        <v>34</v>
      </c>
      <c r="D24" s="8">
        <v>45793.98125</v>
      </c>
      <c r="E24" s="9">
        <v>40.0</v>
      </c>
      <c r="F24" s="9">
        <v>6.0</v>
      </c>
      <c r="G24" s="9">
        <v>150.0</v>
      </c>
      <c r="H24" s="9">
        <v>60.0</v>
      </c>
      <c r="I24" s="9">
        <v>150.0</v>
      </c>
      <c r="J24" s="9" t="s">
        <v>35</v>
      </c>
      <c r="K24" s="9">
        <v>256.0</v>
      </c>
      <c r="L24" s="9">
        <v>1.0</v>
      </c>
      <c r="M24" s="9" t="s">
        <v>39</v>
      </c>
      <c r="N24" s="9" t="s">
        <v>42</v>
      </c>
      <c r="O24" s="9">
        <v>13.97</v>
      </c>
      <c r="P24" s="9">
        <v>0.2328</v>
      </c>
      <c r="Q24" s="9">
        <v>3.09</v>
      </c>
      <c r="R24" s="9">
        <v>2.0577</v>
      </c>
      <c r="S24" s="9">
        <v>6.331</v>
      </c>
      <c r="T24" s="9">
        <v>2.5161</v>
      </c>
      <c r="U24" s="9">
        <v>0.6282</v>
      </c>
      <c r="V24" s="9">
        <v>0.0317</v>
      </c>
      <c r="W24" s="9">
        <f>0.0015*G24</f>
        <v>0.225</v>
      </c>
      <c r="X24" s="9">
        <v>0.0383</v>
      </c>
      <c r="Y24" s="9">
        <v>0.8467</v>
      </c>
      <c r="Z24" s="6">
        <f t="shared" si="3"/>
        <v>-0.4904743524</v>
      </c>
      <c r="AA24" s="6">
        <f t="shared" ref="AA24:AH24" si="26">((R24-R$39)/R$40)</f>
        <v>0.1520538939</v>
      </c>
      <c r="AB24" s="6">
        <f t="shared" si="26"/>
        <v>-0.06179360653</v>
      </c>
      <c r="AC24" s="6">
        <f t="shared" si="26"/>
        <v>0.0003698363834</v>
      </c>
      <c r="AD24" s="6">
        <f t="shared" si="26"/>
        <v>0.1302435951</v>
      </c>
      <c r="AE24" s="6">
        <f t="shared" si="26"/>
        <v>0.3191575745</v>
      </c>
      <c r="AF24" s="6">
        <f t="shared" si="26"/>
        <v>0.8300084746</v>
      </c>
      <c r="AG24" s="6">
        <f t="shared" si="26"/>
        <v>0.2711064999</v>
      </c>
      <c r="AH24" s="6">
        <f t="shared" si="26"/>
        <v>-0.09026033591</v>
      </c>
      <c r="AI24" s="12"/>
      <c r="AJ24" s="13"/>
      <c r="AK24" s="11"/>
      <c r="AL24" s="11"/>
      <c r="AM24" s="11"/>
      <c r="AN24" s="11"/>
      <c r="AO24" s="11"/>
      <c r="AP24" s="11"/>
      <c r="AQ24" s="11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ht="15.75" customHeight="1">
      <c r="A25" s="5" t="s">
        <v>43</v>
      </c>
      <c r="B25" s="6">
        <f t="shared" si="2"/>
        <v>2.978626599</v>
      </c>
      <c r="C25" s="7" t="s">
        <v>34</v>
      </c>
      <c r="D25" s="8">
        <v>45797.965520833335</v>
      </c>
      <c r="E25" s="9">
        <v>80.0</v>
      </c>
      <c r="F25" s="9">
        <v>4.0</v>
      </c>
      <c r="G25" s="9">
        <v>48.0</v>
      </c>
      <c r="H25" s="9">
        <v>60.0</v>
      </c>
      <c r="I25" s="9">
        <v>150.0</v>
      </c>
      <c r="J25" s="9" t="s">
        <v>38</v>
      </c>
      <c r="K25" s="9">
        <v>256.0</v>
      </c>
      <c r="L25" s="9">
        <v>2.0</v>
      </c>
      <c r="M25" s="9" t="s">
        <v>36</v>
      </c>
      <c r="N25" s="9" t="s">
        <v>40</v>
      </c>
      <c r="O25" s="9">
        <v>158.12</v>
      </c>
      <c r="P25" s="9">
        <v>2.6353</v>
      </c>
      <c r="Q25" s="9">
        <v>2.13</v>
      </c>
      <c r="R25" s="9">
        <v>1.975</v>
      </c>
      <c r="S25" s="9">
        <v>6.0364</v>
      </c>
      <c r="T25" s="9">
        <v>2.4569</v>
      </c>
      <c r="U25" s="9">
        <v>0.637</v>
      </c>
      <c r="V25" s="9">
        <v>0.0216</v>
      </c>
      <c r="W25" s="9">
        <f>0.0007*G25</f>
        <v>0.0336</v>
      </c>
      <c r="X25" s="9">
        <v>0.0268</v>
      </c>
      <c r="Y25" s="9">
        <v>0.9223</v>
      </c>
      <c r="Z25" s="6">
        <f t="shared" si="3"/>
        <v>1.294964177</v>
      </c>
      <c r="AA25" s="6">
        <f t="shared" ref="AA25:AH25" si="27">((R25-R$39)/R$40)</f>
        <v>-0.1385076292</v>
      </c>
      <c r="AB25" s="6">
        <f t="shared" si="27"/>
        <v>-0.2198140713</v>
      </c>
      <c r="AC25" s="6">
        <f t="shared" si="27"/>
        <v>-0.170976968</v>
      </c>
      <c r="AD25" s="6">
        <f t="shared" si="27"/>
        <v>0.2071946785</v>
      </c>
      <c r="AE25" s="6">
        <f t="shared" si="27"/>
        <v>-0.9153710859</v>
      </c>
      <c r="AF25" s="6">
        <f t="shared" si="27"/>
        <v>-0.7600411232</v>
      </c>
      <c r="AG25" s="6">
        <f t="shared" si="27"/>
        <v>-0.9488727495</v>
      </c>
      <c r="AH25" s="6">
        <f t="shared" si="27"/>
        <v>0.9128124702</v>
      </c>
      <c r="AI25" s="12"/>
      <c r="AJ25" s="13"/>
      <c r="AK25" s="11"/>
      <c r="AL25" s="11"/>
      <c r="AM25" s="11"/>
      <c r="AN25" s="11"/>
      <c r="AO25" s="11"/>
      <c r="AP25" s="11"/>
      <c r="AQ25" s="11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</row>
    <row r="26" ht="15.75" customHeight="1">
      <c r="A26" s="5" t="s">
        <v>33</v>
      </c>
      <c r="B26" s="6">
        <f t="shared" si="2"/>
        <v>-1.140254196</v>
      </c>
      <c r="C26" s="7" t="s">
        <v>34</v>
      </c>
      <c r="D26" s="8">
        <v>45794.62230324074</v>
      </c>
      <c r="E26" s="9">
        <v>40.0</v>
      </c>
      <c r="F26" s="9">
        <v>10.0</v>
      </c>
      <c r="G26" s="9">
        <v>250.0</v>
      </c>
      <c r="H26" s="9">
        <v>60.0</v>
      </c>
      <c r="I26" s="9">
        <v>150.0</v>
      </c>
      <c r="J26" s="9" t="s">
        <v>35</v>
      </c>
      <c r="K26" s="9">
        <v>256.0</v>
      </c>
      <c r="L26" s="9">
        <v>1.0</v>
      </c>
      <c r="M26" s="9" t="s">
        <v>39</v>
      </c>
      <c r="N26" s="9" t="s">
        <v>42</v>
      </c>
      <c r="O26" s="9">
        <v>17.53</v>
      </c>
      <c r="P26" s="9">
        <v>0.2922</v>
      </c>
      <c r="Q26" s="9">
        <v>2.99</v>
      </c>
      <c r="R26" s="9">
        <v>2.258</v>
      </c>
      <c r="S26" s="9">
        <v>7.5005</v>
      </c>
      <c r="T26" s="9">
        <v>2.7387</v>
      </c>
      <c r="U26" s="9">
        <v>0.5493</v>
      </c>
      <c r="V26" s="9">
        <v>0.0242</v>
      </c>
      <c r="W26" s="9">
        <f>0.0009*G26</f>
        <v>0.225</v>
      </c>
      <c r="X26" s="9">
        <v>0.0303</v>
      </c>
      <c r="Y26" s="9">
        <v>0.9058</v>
      </c>
      <c r="Z26" s="6">
        <f t="shared" si="3"/>
        <v>-0.4463802756</v>
      </c>
      <c r="AA26" s="6">
        <f t="shared" ref="AA26:AH26" si="28">((R26-R$39)/R$40)</f>
        <v>0.8557960109</v>
      </c>
      <c r="AB26" s="6">
        <f t="shared" si="28"/>
        <v>0.5655143823</v>
      </c>
      <c r="AC26" s="6">
        <f t="shared" si="28"/>
        <v>0.644656976</v>
      </c>
      <c r="AD26" s="6">
        <f t="shared" si="28"/>
        <v>-0.5596928232</v>
      </c>
      <c r="AE26" s="6">
        <f t="shared" si="28"/>
        <v>-0.5975716288</v>
      </c>
      <c r="AF26" s="6">
        <f t="shared" si="28"/>
        <v>0.8300084746</v>
      </c>
      <c r="AG26" s="6">
        <f t="shared" si="28"/>
        <v>-0.5775747171</v>
      </c>
      <c r="AH26" s="6">
        <f t="shared" si="28"/>
        <v>0.6938878498</v>
      </c>
      <c r="AI26" s="12"/>
      <c r="AJ26" s="13"/>
      <c r="AK26" s="11"/>
      <c r="AL26" s="11"/>
      <c r="AM26" s="11"/>
      <c r="AN26" s="11"/>
      <c r="AO26" s="11"/>
      <c r="AP26" s="11"/>
      <c r="AQ26" s="11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</row>
    <row r="27" ht="15.75" customHeight="1">
      <c r="A27" s="5" t="s">
        <v>43</v>
      </c>
      <c r="B27" s="6">
        <f t="shared" si="2"/>
        <v>-0.3565986034</v>
      </c>
      <c r="C27" s="7" t="s">
        <v>34</v>
      </c>
      <c r="D27" s="8">
        <v>45792.83546296296</v>
      </c>
      <c r="E27" s="9">
        <v>80.0</v>
      </c>
      <c r="F27" s="9">
        <v>8.0</v>
      </c>
      <c r="G27" s="9">
        <v>96.0</v>
      </c>
      <c r="H27" s="9">
        <v>60.0</v>
      </c>
      <c r="I27" s="9">
        <v>150.0</v>
      </c>
      <c r="J27" s="9" t="s">
        <v>35</v>
      </c>
      <c r="K27" s="9">
        <v>256.0</v>
      </c>
      <c r="L27" s="9">
        <v>2.0</v>
      </c>
      <c r="M27" s="9" t="s">
        <v>39</v>
      </c>
      <c r="N27" s="9" t="s">
        <v>41</v>
      </c>
      <c r="O27" s="9">
        <v>23.81</v>
      </c>
      <c r="P27" s="9">
        <v>0.3968</v>
      </c>
      <c r="Q27" s="9">
        <v>1.71</v>
      </c>
      <c r="R27" s="9">
        <v>2.1899</v>
      </c>
      <c r="S27" s="9">
        <v>7.3591</v>
      </c>
      <c r="T27" s="9">
        <v>2.7128</v>
      </c>
      <c r="U27" s="9">
        <v>0.5477</v>
      </c>
      <c r="V27" s="9">
        <v>0.0256</v>
      </c>
      <c r="W27" s="9">
        <f>0.001*G27</f>
        <v>0.096</v>
      </c>
      <c r="X27" s="9">
        <v>0.0321</v>
      </c>
      <c r="Y27" s="9">
        <v>0.8889</v>
      </c>
      <c r="Z27" s="6">
        <f t="shared" si="3"/>
        <v>-0.3685963425</v>
      </c>
      <c r="AA27" s="6">
        <f t="shared" ref="AA27:AH27" si="29">((R27-R$39)/R$40)</f>
        <v>0.616530718</v>
      </c>
      <c r="AB27" s="6">
        <f t="shared" si="29"/>
        <v>0.4896688503</v>
      </c>
      <c r="AC27" s="6">
        <f t="shared" si="29"/>
        <v>0.5696927491</v>
      </c>
      <c r="AD27" s="6">
        <f t="shared" si="29"/>
        <v>-0.5736839293</v>
      </c>
      <c r="AE27" s="6">
        <f t="shared" si="29"/>
        <v>-0.4264488442</v>
      </c>
      <c r="AF27" s="6">
        <f t="shared" si="29"/>
        <v>-0.2416550474</v>
      </c>
      <c r="AG27" s="6">
        <f t="shared" si="29"/>
        <v>-0.3866214433</v>
      </c>
      <c r="AH27" s="6">
        <f t="shared" si="29"/>
        <v>0.4696559659</v>
      </c>
      <c r="AI27" s="12"/>
      <c r="AJ27" s="13"/>
      <c r="AK27" s="11"/>
      <c r="AL27" s="11"/>
      <c r="AM27" s="11"/>
      <c r="AN27" s="11"/>
      <c r="AO27" s="11"/>
      <c r="AP27" s="11"/>
      <c r="AQ27" s="11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</row>
    <row r="28" ht="15.75" customHeight="1">
      <c r="A28" s="5" t="s">
        <v>43</v>
      </c>
      <c r="B28" s="6">
        <f t="shared" si="2"/>
        <v>-2.49576382</v>
      </c>
      <c r="C28" s="7" t="s">
        <v>34</v>
      </c>
      <c r="D28" s="8">
        <v>45793.943773148145</v>
      </c>
      <c r="E28" s="9">
        <v>40.0</v>
      </c>
      <c r="F28" s="9">
        <v>10.0</v>
      </c>
      <c r="G28" s="9">
        <v>250.0</v>
      </c>
      <c r="H28" s="9">
        <v>60.0</v>
      </c>
      <c r="I28" s="9">
        <v>150.0</v>
      </c>
      <c r="J28" s="9" t="s">
        <v>35</v>
      </c>
      <c r="K28" s="9">
        <v>256.0</v>
      </c>
      <c r="L28" s="9">
        <v>2.0</v>
      </c>
      <c r="M28" s="9" t="s">
        <v>39</v>
      </c>
      <c r="N28" s="9" t="s">
        <v>42</v>
      </c>
      <c r="O28" s="9">
        <v>47.37</v>
      </c>
      <c r="P28" s="9">
        <v>0.7895</v>
      </c>
      <c r="Q28" s="9">
        <v>3.35</v>
      </c>
      <c r="R28" s="9">
        <v>2.2114</v>
      </c>
      <c r="S28" s="9">
        <v>7.0685</v>
      </c>
      <c r="T28" s="9">
        <v>2.6587</v>
      </c>
      <c r="U28" s="9">
        <v>0.5753</v>
      </c>
      <c r="V28" s="9">
        <v>0.0273</v>
      </c>
      <c r="W28" s="9">
        <f>0.0012*G28</f>
        <v>0.3</v>
      </c>
      <c r="X28" s="9">
        <v>0.0346</v>
      </c>
      <c r="Y28" s="9">
        <v>0.877</v>
      </c>
      <c r="Z28" s="6">
        <f t="shared" si="3"/>
        <v>-0.07678273338</v>
      </c>
      <c r="AA28" s="6">
        <f t="shared" ref="AA28:AH28" si="30">((R28-R$39)/R$40)</f>
        <v>0.6920696871</v>
      </c>
      <c r="AB28" s="6">
        <f t="shared" si="30"/>
        <v>0.3337939452</v>
      </c>
      <c r="AC28" s="6">
        <f t="shared" si="30"/>
        <v>0.4131072403</v>
      </c>
      <c r="AD28" s="6">
        <f t="shared" si="30"/>
        <v>-0.3323373495</v>
      </c>
      <c r="AE28" s="6">
        <f t="shared" si="30"/>
        <v>-0.2186568914</v>
      </c>
      <c r="AF28" s="6">
        <f t="shared" si="30"/>
        <v>1.453068662</v>
      </c>
      <c r="AG28" s="6">
        <f t="shared" si="30"/>
        <v>-0.121408563</v>
      </c>
      <c r="AH28" s="6">
        <f t="shared" si="30"/>
        <v>0.311764876</v>
      </c>
      <c r="AI28" s="12"/>
      <c r="AJ28" s="13"/>
      <c r="AK28" s="11"/>
      <c r="AL28" s="11"/>
      <c r="AM28" s="11"/>
      <c r="AN28" s="11"/>
      <c r="AO28" s="11"/>
      <c r="AP28" s="11"/>
      <c r="AQ28" s="11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</row>
    <row r="29" ht="15.75" customHeight="1">
      <c r="A29" s="5" t="s">
        <v>43</v>
      </c>
      <c r="B29" s="6">
        <f t="shared" si="2"/>
        <v>-1.410895643</v>
      </c>
      <c r="C29" s="7" t="s">
        <v>34</v>
      </c>
      <c r="D29" s="8">
        <v>45790.72782407407</v>
      </c>
      <c r="E29" s="9">
        <v>80.0</v>
      </c>
      <c r="F29" s="9">
        <v>10.0</v>
      </c>
      <c r="G29" s="9">
        <v>120.0</v>
      </c>
      <c r="H29" s="9">
        <v>60.0</v>
      </c>
      <c r="I29" s="9">
        <v>150.0</v>
      </c>
      <c r="J29" s="9" t="s">
        <v>35</v>
      </c>
      <c r="K29" s="9">
        <v>256.0</v>
      </c>
      <c r="L29" s="9">
        <v>2.0</v>
      </c>
      <c r="M29" s="9" t="s">
        <v>36</v>
      </c>
      <c r="N29" s="9" t="s">
        <v>37</v>
      </c>
      <c r="O29" s="9">
        <v>23.92</v>
      </c>
      <c r="P29" s="9">
        <v>0.3987</v>
      </c>
      <c r="Q29" s="9">
        <v>1.68</v>
      </c>
      <c r="R29" s="9">
        <v>2.3022</v>
      </c>
      <c r="S29" s="9">
        <v>8.0151</v>
      </c>
      <c r="T29" s="9">
        <v>2.8311</v>
      </c>
      <c r="U29" s="9">
        <v>0.5028</v>
      </c>
      <c r="V29" s="9">
        <v>0.0241</v>
      </c>
      <c r="W29" s="9">
        <f>0.0009*G29</f>
        <v>0.108</v>
      </c>
      <c r="X29" s="9">
        <v>0.0304</v>
      </c>
      <c r="Y29" s="9">
        <v>0.9013</v>
      </c>
      <c r="Z29" s="6">
        <f t="shared" si="3"/>
        <v>-0.3672338851</v>
      </c>
      <c r="AA29" s="6">
        <f t="shared" ref="AA29:AH29" si="31">((R29-R$39)/R$40)</f>
        <v>1.011090078</v>
      </c>
      <c r="AB29" s="6">
        <f t="shared" si="31"/>
        <v>0.8415406251</v>
      </c>
      <c r="AC29" s="6">
        <f t="shared" si="31"/>
        <v>0.9120969207</v>
      </c>
      <c r="AD29" s="6">
        <f t="shared" si="31"/>
        <v>-0.9663093435</v>
      </c>
      <c r="AE29" s="6">
        <f t="shared" si="31"/>
        <v>-0.6097946848</v>
      </c>
      <c r="AF29" s="6">
        <f t="shared" si="31"/>
        <v>-0.1419654175</v>
      </c>
      <c r="AG29" s="6">
        <f t="shared" si="31"/>
        <v>-0.5669662019</v>
      </c>
      <c r="AH29" s="6">
        <f t="shared" si="31"/>
        <v>0.6341811351</v>
      </c>
      <c r="AI29" s="12"/>
      <c r="AJ29" s="13"/>
      <c r="AK29" s="11"/>
      <c r="AL29" s="11"/>
      <c r="AM29" s="11"/>
      <c r="AN29" s="11"/>
      <c r="AO29" s="11"/>
      <c r="AP29" s="11"/>
      <c r="AQ29" s="11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</row>
    <row r="30" ht="15.75" customHeight="1">
      <c r="A30" s="5" t="s">
        <v>43</v>
      </c>
      <c r="B30" s="6">
        <f t="shared" si="2"/>
        <v>-4.774741791</v>
      </c>
      <c r="C30" s="7" t="s">
        <v>34</v>
      </c>
      <c r="D30" s="8">
        <v>45793.91711805556</v>
      </c>
      <c r="E30" s="9">
        <v>40.0</v>
      </c>
      <c r="F30" s="9">
        <v>8.0</v>
      </c>
      <c r="G30" s="9">
        <v>200.0</v>
      </c>
      <c r="H30" s="9">
        <v>60.0</v>
      </c>
      <c r="I30" s="9">
        <v>150.0</v>
      </c>
      <c r="J30" s="9" t="s">
        <v>35</v>
      </c>
      <c r="K30" s="9">
        <v>256.0</v>
      </c>
      <c r="L30" s="9">
        <v>2.0</v>
      </c>
      <c r="M30" s="9" t="s">
        <v>39</v>
      </c>
      <c r="N30" s="9" t="s">
        <v>42</v>
      </c>
      <c r="O30" s="9">
        <v>23.4</v>
      </c>
      <c r="P30" s="9">
        <v>0.39</v>
      </c>
      <c r="Q30" s="9">
        <v>3.1</v>
      </c>
      <c r="R30" s="9">
        <v>2.1274</v>
      </c>
      <c r="S30" s="9">
        <v>6.5982</v>
      </c>
      <c r="T30" s="9">
        <v>2.5687</v>
      </c>
      <c r="U30" s="9">
        <v>0.6086</v>
      </c>
      <c r="V30" s="9">
        <v>0.0359</v>
      </c>
      <c r="W30" s="9">
        <f>0.0019*G30</f>
        <v>0.38</v>
      </c>
      <c r="X30" s="9">
        <v>0.0436</v>
      </c>
      <c r="Y30" s="9">
        <v>0.8013</v>
      </c>
      <c r="Z30" s="6">
        <f t="shared" si="3"/>
        <v>-0.3736745929</v>
      </c>
      <c r="AA30" s="6">
        <f t="shared" ref="AA30:AH30" si="32">((R30-R$39)/R$40)</f>
        <v>0.3969406915</v>
      </c>
      <c r="AB30" s="6">
        <f t="shared" si="32"/>
        <v>0.08152977493</v>
      </c>
      <c r="AC30" s="6">
        <f t="shared" si="32"/>
        <v>0.1526137876</v>
      </c>
      <c r="AD30" s="6">
        <f t="shared" si="32"/>
        <v>-0.04114745432</v>
      </c>
      <c r="AE30" s="6">
        <f t="shared" si="32"/>
        <v>0.8325259283</v>
      </c>
      <c r="AF30" s="6">
        <f t="shared" si="32"/>
        <v>2.117666195</v>
      </c>
      <c r="AG30" s="6">
        <f t="shared" si="32"/>
        <v>0.8333578061</v>
      </c>
      <c r="AH30" s="6">
        <f t="shared" si="32"/>
        <v>-0.6926347459</v>
      </c>
      <c r="AI30" s="12"/>
      <c r="AJ30" s="13"/>
      <c r="AK30" s="11"/>
      <c r="AL30" s="11"/>
      <c r="AM30" s="11"/>
      <c r="AN30" s="11"/>
      <c r="AO30" s="11"/>
      <c r="AP30" s="11"/>
      <c r="AQ30" s="11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</row>
    <row r="31" ht="15.75" customHeight="1">
      <c r="A31" s="5" t="s">
        <v>33</v>
      </c>
      <c r="B31" s="6">
        <f t="shared" si="2"/>
        <v>-7.194019961</v>
      </c>
      <c r="C31" s="7" t="s">
        <v>34</v>
      </c>
      <c r="D31" s="8">
        <v>45792.47825231482</v>
      </c>
      <c r="E31" s="9">
        <v>80.0</v>
      </c>
      <c r="F31" s="9">
        <v>6.0</v>
      </c>
      <c r="G31" s="9">
        <v>72.0</v>
      </c>
      <c r="H31" s="9">
        <v>60.0</v>
      </c>
      <c r="I31" s="9">
        <v>150.0</v>
      </c>
      <c r="J31" s="9" t="s">
        <v>35</v>
      </c>
      <c r="K31" s="9">
        <v>256.0</v>
      </c>
      <c r="L31" s="9">
        <v>2.0</v>
      </c>
      <c r="M31" s="9" t="s">
        <v>36</v>
      </c>
      <c r="N31" s="9" t="s">
        <v>42</v>
      </c>
      <c r="O31" s="9">
        <v>18.44</v>
      </c>
      <c r="P31" s="9">
        <v>0.3073</v>
      </c>
      <c r="Q31" s="9">
        <v>1.69</v>
      </c>
      <c r="R31" s="9">
        <v>2.1521</v>
      </c>
      <c r="S31" s="9">
        <v>7.0741</v>
      </c>
      <c r="T31" s="9">
        <v>2.6597</v>
      </c>
      <c r="U31" s="9">
        <v>0.5708</v>
      </c>
      <c r="V31" s="9">
        <v>0.0433</v>
      </c>
      <c r="W31" s="9">
        <f>0.0027*G31</f>
        <v>0.1944</v>
      </c>
      <c r="X31" s="9">
        <v>0.0522</v>
      </c>
      <c r="Y31" s="9">
        <v>0.7056</v>
      </c>
      <c r="Z31" s="6">
        <f t="shared" si="3"/>
        <v>-0.4351090369</v>
      </c>
      <c r="AA31" s="6">
        <f t="shared" ref="AA31:AH31" si="33">((R31-R$39)/R$40)</f>
        <v>0.48372267</v>
      </c>
      <c r="AB31" s="6">
        <f t="shared" si="33"/>
        <v>0.3367977286</v>
      </c>
      <c r="AC31" s="6">
        <f t="shared" si="33"/>
        <v>0.416001612</v>
      </c>
      <c r="AD31" s="6">
        <f t="shared" si="33"/>
        <v>-0.3716873353</v>
      </c>
      <c r="AE31" s="6">
        <f t="shared" si="33"/>
        <v>1.737032076</v>
      </c>
      <c r="AF31" s="6">
        <f t="shared" si="33"/>
        <v>0.5757999182</v>
      </c>
      <c r="AG31" s="6">
        <f t="shared" si="33"/>
        <v>1.745690114</v>
      </c>
      <c r="AH31" s="6">
        <f t="shared" si="33"/>
        <v>-1.962397544</v>
      </c>
      <c r="AI31" s="12"/>
      <c r="AJ31" s="13"/>
      <c r="AK31" s="11"/>
      <c r="AL31" s="11"/>
      <c r="AM31" s="11"/>
      <c r="AN31" s="11"/>
      <c r="AO31" s="11"/>
      <c r="AP31" s="11"/>
      <c r="AQ31" s="11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</row>
    <row r="32" ht="15.75" customHeight="1">
      <c r="A32" s="5" t="s">
        <v>33</v>
      </c>
      <c r="B32" s="6">
        <f t="shared" si="2"/>
        <v>-10.58901345</v>
      </c>
      <c r="C32" s="7" t="s">
        <v>34</v>
      </c>
      <c r="D32" s="8">
        <v>45794.590219907404</v>
      </c>
      <c r="E32" s="9">
        <v>40.0</v>
      </c>
      <c r="F32" s="9">
        <v>8.0</v>
      </c>
      <c r="G32" s="9">
        <v>200.0</v>
      </c>
      <c r="H32" s="9">
        <v>60.0</v>
      </c>
      <c r="I32" s="9">
        <v>150.0</v>
      </c>
      <c r="J32" s="9" t="s">
        <v>35</v>
      </c>
      <c r="K32" s="9">
        <v>256.0</v>
      </c>
      <c r="L32" s="9">
        <v>1.0</v>
      </c>
      <c r="M32" s="9" t="s">
        <v>44</v>
      </c>
      <c r="N32" s="9" t="s">
        <v>42</v>
      </c>
      <c r="O32" s="9">
        <v>19.03</v>
      </c>
      <c r="P32" s="9">
        <v>0.3172</v>
      </c>
      <c r="Q32" s="9">
        <v>3.07</v>
      </c>
      <c r="R32" s="9">
        <v>2.1884</v>
      </c>
      <c r="S32" s="9">
        <v>7.185</v>
      </c>
      <c r="T32" s="9">
        <v>2.6805</v>
      </c>
      <c r="U32" s="9">
        <v>0.5743</v>
      </c>
      <c r="V32" s="9">
        <v>0.0442</v>
      </c>
      <c r="W32" s="9">
        <f>0.0028*G32</f>
        <v>0.56</v>
      </c>
      <c r="X32" s="9">
        <v>0.0528</v>
      </c>
      <c r="Y32" s="9">
        <v>0.7086</v>
      </c>
      <c r="Z32" s="6">
        <f t="shared" si="3"/>
        <v>-0.4278013107</v>
      </c>
      <c r="AA32" s="6">
        <f t="shared" ref="AA32:AH32" si="34">((R32-R$39)/R$40)</f>
        <v>0.6112605574</v>
      </c>
      <c r="AB32" s="6">
        <f t="shared" si="34"/>
        <v>0.3962833686</v>
      </c>
      <c r="AC32" s="6">
        <f t="shared" si="34"/>
        <v>0.4762045433</v>
      </c>
      <c r="AD32" s="6">
        <f t="shared" si="34"/>
        <v>-0.3410817908</v>
      </c>
      <c r="AE32" s="6">
        <f t="shared" si="34"/>
        <v>1.84703958</v>
      </c>
      <c r="AF32" s="6">
        <f t="shared" si="34"/>
        <v>3.613010644</v>
      </c>
      <c r="AG32" s="6">
        <f t="shared" si="34"/>
        <v>1.809341206</v>
      </c>
      <c r="AH32" s="6">
        <f t="shared" si="34"/>
        <v>-1.922593068</v>
      </c>
      <c r="AI32" s="12"/>
      <c r="AJ32" s="13"/>
      <c r="AK32" s="11"/>
      <c r="AL32" s="11"/>
      <c r="AM32" s="11"/>
      <c r="AN32" s="11"/>
      <c r="AO32" s="11"/>
      <c r="AP32" s="11"/>
      <c r="AQ32" s="11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</row>
    <row r="33" ht="15.75" customHeight="1">
      <c r="A33" s="5" t="s">
        <v>33</v>
      </c>
      <c r="B33" s="6">
        <f t="shared" si="2"/>
        <v>-10.03217831</v>
      </c>
      <c r="C33" s="7" t="s">
        <v>34</v>
      </c>
      <c r="D33" s="8">
        <v>45792.65305555556</v>
      </c>
      <c r="E33" s="9">
        <v>80.0</v>
      </c>
      <c r="F33" s="9">
        <v>8.0</v>
      </c>
      <c r="G33" s="9">
        <v>96.0</v>
      </c>
      <c r="H33" s="9">
        <v>60.0</v>
      </c>
      <c r="I33" s="9">
        <v>150.0</v>
      </c>
      <c r="J33" s="9" t="s">
        <v>35</v>
      </c>
      <c r="K33" s="9">
        <v>256.0</v>
      </c>
      <c r="L33" s="9">
        <v>2.0</v>
      </c>
      <c r="M33" s="9" t="s">
        <v>36</v>
      </c>
      <c r="N33" s="9" t="s">
        <v>42</v>
      </c>
      <c r="O33" s="9">
        <v>10.04</v>
      </c>
      <c r="P33" s="9">
        <v>0.1673</v>
      </c>
      <c r="Q33" s="9">
        <v>1.68</v>
      </c>
      <c r="R33" s="9">
        <v>2.1992</v>
      </c>
      <c r="S33" s="9">
        <v>7.2533</v>
      </c>
      <c r="T33" s="9">
        <v>2.6932</v>
      </c>
      <c r="U33" s="9">
        <v>0.5561</v>
      </c>
      <c r="V33" s="9">
        <v>0.0472</v>
      </c>
      <c r="W33" s="9">
        <f>0.0032*G33</f>
        <v>0.3072</v>
      </c>
      <c r="X33" s="9">
        <v>0.0562</v>
      </c>
      <c r="Y33" s="9">
        <v>0.6591</v>
      </c>
      <c r="Z33" s="6">
        <f t="shared" si="3"/>
        <v>-0.5391512405</v>
      </c>
      <c r="AA33" s="6">
        <f t="shared" ref="AA33:AH33" si="35">((R33-R$39)/R$40)</f>
        <v>0.6492057139</v>
      </c>
      <c r="AB33" s="6">
        <f t="shared" si="35"/>
        <v>0.4329187988</v>
      </c>
      <c r="AC33" s="6">
        <f t="shared" si="35"/>
        <v>0.5129630638</v>
      </c>
      <c r="AD33" s="6">
        <f t="shared" si="35"/>
        <v>-0.5002306224</v>
      </c>
      <c r="AE33" s="6">
        <f t="shared" si="35"/>
        <v>2.213731261</v>
      </c>
      <c r="AF33" s="6">
        <f t="shared" si="35"/>
        <v>1.51288244</v>
      </c>
      <c r="AG33" s="6">
        <f t="shared" si="35"/>
        <v>2.170030723</v>
      </c>
      <c r="AH33" s="6">
        <f t="shared" si="35"/>
        <v>-2.579366929</v>
      </c>
      <c r="AI33" s="12"/>
      <c r="AJ33" s="13"/>
      <c r="AK33" s="11"/>
      <c r="AL33" s="11"/>
      <c r="AM33" s="11"/>
      <c r="AN33" s="11"/>
      <c r="AO33" s="11"/>
      <c r="AP33" s="11"/>
      <c r="AQ33" s="11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</row>
    <row r="34" ht="15.75" customHeight="1">
      <c r="A34" s="5" t="s">
        <v>33</v>
      </c>
      <c r="B34" s="6">
        <f t="shared" si="2"/>
        <v>-9.534548995</v>
      </c>
      <c r="C34" s="7" t="s">
        <v>34</v>
      </c>
      <c r="D34" s="8">
        <v>45790.66013888889</v>
      </c>
      <c r="E34" s="9">
        <v>80.0</v>
      </c>
      <c r="F34" s="9">
        <v>10.0</v>
      </c>
      <c r="G34" s="9">
        <v>120.0</v>
      </c>
      <c r="H34" s="9">
        <v>60.0</v>
      </c>
      <c r="I34" s="9">
        <v>150.0</v>
      </c>
      <c r="J34" s="9" t="s">
        <v>35</v>
      </c>
      <c r="K34" s="9">
        <v>256.0</v>
      </c>
      <c r="L34" s="9">
        <v>2.0</v>
      </c>
      <c r="M34" s="9" t="s">
        <v>36</v>
      </c>
      <c r="N34" s="9" t="s">
        <v>37</v>
      </c>
      <c r="O34" s="9">
        <v>13.72</v>
      </c>
      <c r="P34" s="9">
        <v>0.2287</v>
      </c>
      <c r="Q34" s="9">
        <v>1.72</v>
      </c>
      <c r="R34" s="9">
        <v>2.2658</v>
      </c>
      <c r="S34" s="9">
        <v>8.1472</v>
      </c>
      <c r="T34" s="9">
        <v>2.8543</v>
      </c>
      <c r="U34" s="9">
        <v>0.4957</v>
      </c>
      <c r="V34" s="9">
        <v>0.0421</v>
      </c>
      <c r="W34" s="9">
        <f>0.0025*G34</f>
        <v>0.3</v>
      </c>
      <c r="X34" s="9">
        <v>0.0503</v>
      </c>
      <c r="Y34" s="9">
        <v>0.7301</v>
      </c>
      <c r="Z34" s="6">
        <f t="shared" si="3"/>
        <v>-0.4935708466</v>
      </c>
      <c r="AA34" s="6">
        <f t="shared" ref="AA34:AH34" si="36">((R34-R$39)/R$40)</f>
        <v>0.8832008462</v>
      </c>
      <c r="AB34" s="6">
        <f t="shared" si="36"/>
        <v>0.912397731</v>
      </c>
      <c r="AC34" s="6">
        <f t="shared" si="36"/>
        <v>0.9792463441</v>
      </c>
      <c r="AD34" s="6">
        <f t="shared" si="36"/>
        <v>-1.028394877</v>
      </c>
      <c r="AE34" s="6">
        <f t="shared" si="36"/>
        <v>1.590355403</v>
      </c>
      <c r="AF34" s="6">
        <f t="shared" si="36"/>
        <v>1.453068662</v>
      </c>
      <c r="AG34" s="6">
        <f t="shared" si="36"/>
        <v>1.544128325</v>
      </c>
      <c r="AH34" s="6">
        <f t="shared" si="36"/>
        <v>-1.637327653</v>
      </c>
      <c r="AI34" s="12"/>
      <c r="AJ34" s="13"/>
      <c r="AK34" s="11"/>
      <c r="AL34" s="11"/>
      <c r="AM34" s="11"/>
      <c r="AN34" s="11"/>
      <c r="AO34" s="11"/>
      <c r="AP34" s="11"/>
      <c r="AQ34" s="11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</row>
    <row r="35" ht="15.75" customHeight="1">
      <c r="A35" s="5" t="s">
        <v>33</v>
      </c>
      <c r="B35" s="6">
        <f t="shared" si="2"/>
        <v>0.08588914656</v>
      </c>
      <c r="C35" s="7" t="s">
        <v>34</v>
      </c>
      <c r="D35" s="8">
        <v>45798.96761574074</v>
      </c>
      <c r="E35" s="9">
        <v>80.0</v>
      </c>
      <c r="F35" s="9">
        <v>4.0</v>
      </c>
      <c r="G35" s="9">
        <v>48.0</v>
      </c>
      <c r="H35" s="9">
        <v>60.0</v>
      </c>
      <c r="I35" s="9">
        <v>1000.0</v>
      </c>
      <c r="J35" s="9" t="s">
        <v>45</v>
      </c>
      <c r="K35" s="9">
        <v>256.0</v>
      </c>
      <c r="L35" s="9">
        <v>2.0</v>
      </c>
      <c r="M35" s="9" t="s">
        <v>39</v>
      </c>
      <c r="N35" s="9" t="s">
        <v>42</v>
      </c>
      <c r="O35" s="9">
        <v>215.24</v>
      </c>
      <c r="P35" s="9">
        <v>3.5873</v>
      </c>
      <c r="Q35" s="9">
        <v>1.78</v>
      </c>
      <c r="R35" s="9">
        <v>1.9987</v>
      </c>
      <c r="S35" s="9">
        <v>6.4299</v>
      </c>
      <c r="T35" s="9">
        <v>2.5357</v>
      </c>
      <c r="U35" s="9">
        <v>0.6135</v>
      </c>
      <c r="V35" s="9">
        <v>0.0251</v>
      </c>
      <c r="W35" s="9">
        <f>0.001*G35</f>
        <v>0.048</v>
      </c>
      <c r="X35" s="9">
        <v>0.0316</v>
      </c>
      <c r="Y35" s="9">
        <v>0.8921</v>
      </c>
      <c r="Z35" s="6">
        <f t="shared" si="3"/>
        <v>2.002451161</v>
      </c>
      <c r="AA35" s="6">
        <f t="shared" ref="AA35:AH35" si="37">((R35-R$39)/R$40)</f>
        <v>-0.05523909111</v>
      </c>
      <c r="AB35" s="6">
        <f t="shared" si="37"/>
        <v>-0.008744645352</v>
      </c>
      <c r="AC35" s="6">
        <f t="shared" si="37"/>
        <v>0.05709952163</v>
      </c>
      <c r="AD35" s="6">
        <f t="shared" si="37"/>
        <v>0.00170030803</v>
      </c>
      <c r="AE35" s="6">
        <f t="shared" si="37"/>
        <v>-0.4875641244</v>
      </c>
      <c r="AF35" s="6">
        <f t="shared" si="37"/>
        <v>-0.6404135673</v>
      </c>
      <c r="AG35" s="6">
        <f t="shared" si="37"/>
        <v>-0.4396640193</v>
      </c>
      <c r="AH35" s="6">
        <f t="shared" si="37"/>
        <v>0.5121140741</v>
      </c>
      <c r="AI35" s="12"/>
      <c r="AJ35" s="13"/>
      <c r="AK35" s="11"/>
      <c r="AL35" s="11"/>
      <c r="AM35" s="11"/>
      <c r="AN35" s="11"/>
      <c r="AO35" s="11"/>
      <c r="AP35" s="11"/>
      <c r="AQ35" s="11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</row>
    <row r="36" ht="15.75" customHeight="1">
      <c r="A36" s="5" t="s">
        <v>43</v>
      </c>
      <c r="B36" s="6">
        <f t="shared" si="2"/>
        <v>-12.73558012</v>
      </c>
      <c r="C36" s="7" t="s">
        <v>34</v>
      </c>
      <c r="D36" s="8">
        <v>45799.28346064815</v>
      </c>
      <c r="E36" s="9">
        <v>80.0</v>
      </c>
      <c r="F36" s="9">
        <v>4.0</v>
      </c>
      <c r="G36" s="9">
        <v>48.0</v>
      </c>
      <c r="H36" s="9">
        <v>60.0</v>
      </c>
      <c r="I36" s="9">
        <v>1000.0</v>
      </c>
      <c r="J36" s="9" t="s">
        <v>38</v>
      </c>
      <c r="K36" s="9">
        <v>256.0</v>
      </c>
      <c r="L36" s="9">
        <v>2.0</v>
      </c>
      <c r="M36" s="9" t="s">
        <v>39</v>
      </c>
      <c r="N36" s="9" t="s">
        <v>37</v>
      </c>
      <c r="O36" s="9">
        <v>169.15</v>
      </c>
      <c r="P36" s="9">
        <v>2.8192</v>
      </c>
      <c r="Q36" s="9">
        <v>1.9</v>
      </c>
      <c r="R36" s="9">
        <v>2.5588</v>
      </c>
      <c r="S36" s="9">
        <v>10.8074</v>
      </c>
      <c r="T36" s="9">
        <v>3.2875</v>
      </c>
      <c r="U36" s="9">
        <v>0.3501</v>
      </c>
      <c r="V36" s="9">
        <v>0.0354</v>
      </c>
      <c r="W36" s="9">
        <f>0.002*G36</f>
        <v>0.096</v>
      </c>
      <c r="X36" s="9">
        <v>0.0452</v>
      </c>
      <c r="Y36" s="9">
        <v>0.7793</v>
      </c>
      <c r="Z36" s="6">
        <f t="shared" si="3"/>
        <v>1.431581499</v>
      </c>
      <c r="AA36" s="6">
        <f t="shared" ref="AA36:AH36" si="38">((R36-R$39)/R$40)</f>
        <v>1.91263889</v>
      </c>
      <c r="AB36" s="6">
        <f t="shared" si="38"/>
        <v>2.339302145</v>
      </c>
      <c r="AC36" s="6">
        <f t="shared" si="38"/>
        <v>2.233088163</v>
      </c>
      <c r="AD36" s="6">
        <f t="shared" si="38"/>
        <v>-2.301585529</v>
      </c>
      <c r="AE36" s="6">
        <f t="shared" si="38"/>
        <v>0.7714106481</v>
      </c>
      <c r="AF36" s="6">
        <f t="shared" si="38"/>
        <v>-0.2416550474</v>
      </c>
      <c r="AG36" s="6">
        <f t="shared" si="38"/>
        <v>1.003094049</v>
      </c>
      <c r="AH36" s="6">
        <f t="shared" si="38"/>
        <v>-0.9845342397</v>
      </c>
      <c r="AI36" s="12"/>
      <c r="AJ36" s="13"/>
      <c r="AK36" s="11"/>
      <c r="AL36" s="11"/>
      <c r="AM36" s="11"/>
      <c r="AN36" s="11"/>
      <c r="AO36" s="11"/>
      <c r="AP36" s="11"/>
      <c r="AQ36" s="11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</row>
    <row r="37" ht="15.75" customHeight="1">
      <c r="A37" s="5" t="s">
        <v>43</v>
      </c>
      <c r="B37" s="6">
        <f t="shared" si="2"/>
        <v>-17.08417705</v>
      </c>
      <c r="C37" s="7" t="s">
        <v>34</v>
      </c>
      <c r="D37" s="8">
        <v>45799.45920138889</v>
      </c>
      <c r="E37" s="9">
        <v>80.0</v>
      </c>
      <c r="F37" s="9">
        <v>4.0</v>
      </c>
      <c r="G37" s="9">
        <v>48.0</v>
      </c>
      <c r="H37" s="9">
        <v>60.0</v>
      </c>
      <c r="I37" s="9">
        <v>1000.0</v>
      </c>
      <c r="J37" s="9" t="s">
        <v>45</v>
      </c>
      <c r="K37" s="10">
        <v>1024.0</v>
      </c>
      <c r="L37" s="9">
        <v>2.0</v>
      </c>
      <c r="M37" s="9" t="s">
        <v>36</v>
      </c>
      <c r="N37" s="9" t="s">
        <v>37</v>
      </c>
      <c r="O37" s="9">
        <v>437.78</v>
      </c>
      <c r="P37" s="9">
        <v>7.2963</v>
      </c>
      <c r="Q37" s="9">
        <v>2.06</v>
      </c>
      <c r="R37" s="9">
        <v>2.9334</v>
      </c>
      <c r="S37" s="9">
        <v>13.8767</v>
      </c>
      <c r="T37" s="9">
        <v>3.7251</v>
      </c>
      <c r="U37" s="9">
        <v>0.1644</v>
      </c>
      <c r="V37" s="9">
        <v>0.0243</v>
      </c>
      <c r="W37" s="9">
        <f>0.001*G37</f>
        <v>0.048</v>
      </c>
      <c r="X37" s="9">
        <v>0.0309</v>
      </c>
      <c r="Y37" s="9">
        <v>0.8968</v>
      </c>
      <c r="Z37" s="6">
        <f t="shared" si="3"/>
        <v>4.758826398</v>
      </c>
      <c r="AA37" s="6">
        <f t="shared" ref="AA37:AH37" si="39">((R37-R$39)/R$40)</f>
        <v>3.228773673</v>
      </c>
      <c r="AB37" s="6">
        <f t="shared" si="39"/>
        <v>3.985643667</v>
      </c>
      <c r="AC37" s="6">
        <f t="shared" si="39"/>
        <v>3.499665217</v>
      </c>
      <c r="AD37" s="6">
        <f t="shared" si="39"/>
        <v>-3.925428278</v>
      </c>
      <c r="AE37" s="6">
        <f t="shared" si="39"/>
        <v>-0.5853485728</v>
      </c>
      <c r="AF37" s="6">
        <f t="shared" si="39"/>
        <v>-0.6404135673</v>
      </c>
      <c r="AG37" s="6">
        <f t="shared" si="39"/>
        <v>-0.5139236258</v>
      </c>
      <c r="AH37" s="6">
        <f t="shared" si="39"/>
        <v>0.5744744205</v>
      </c>
      <c r="AI37" s="12"/>
      <c r="AJ37" s="13"/>
      <c r="AK37" s="11"/>
      <c r="AL37" s="11"/>
      <c r="AM37" s="11"/>
      <c r="AN37" s="11"/>
      <c r="AO37" s="11"/>
      <c r="AP37" s="11"/>
      <c r="AQ37" s="11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</row>
    <row r="38" ht="15.75" customHeight="1">
      <c r="A38" s="5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12"/>
      <c r="AJ38" s="13"/>
      <c r="AK38" s="11"/>
      <c r="AL38" s="11"/>
      <c r="AM38" s="11"/>
      <c r="AN38" s="11"/>
      <c r="AO38" s="11"/>
      <c r="AP38" s="11"/>
      <c r="AQ38" s="11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</row>
    <row r="39" ht="15.75" customHeight="1">
      <c r="A39" s="13"/>
      <c r="B39" s="15"/>
      <c r="C39" s="9"/>
      <c r="D39" s="5"/>
      <c r="E39" s="9"/>
      <c r="F39" s="9"/>
      <c r="G39" s="9"/>
      <c r="H39" s="9"/>
      <c r="I39" s="9"/>
      <c r="J39" s="9"/>
      <c r="K39" s="9"/>
      <c r="L39" s="9"/>
      <c r="M39" s="9"/>
      <c r="N39" s="16" t="s">
        <v>46</v>
      </c>
      <c r="O39" s="17">
        <f>AVERAGE(O2:O37)</f>
        <v>53.56916667</v>
      </c>
      <c r="P39" s="9"/>
      <c r="Q39" s="9"/>
      <c r="R39" s="17">
        <f t="shared" ref="R39:Y39" si="40">AVERAGE(R2:R37)</f>
        <v>2.014422222</v>
      </c>
      <c r="S39" s="17">
        <f t="shared" si="40"/>
        <v>6.446202778</v>
      </c>
      <c r="T39" s="17">
        <f t="shared" si="40"/>
        <v>2.515972222</v>
      </c>
      <c r="U39" s="17">
        <f t="shared" si="40"/>
        <v>0.6133055556</v>
      </c>
      <c r="V39" s="17">
        <f t="shared" si="40"/>
        <v>0.02908888889</v>
      </c>
      <c r="W39" s="17">
        <f t="shared" si="40"/>
        <v>0.1250888889</v>
      </c>
      <c r="X39" s="17">
        <f t="shared" si="40"/>
        <v>0.03574444444</v>
      </c>
      <c r="Y39" s="17">
        <f t="shared" si="40"/>
        <v>0.8535027778</v>
      </c>
      <c r="Z39" s="18"/>
      <c r="AA39" s="18"/>
      <c r="AB39" s="18"/>
      <c r="AC39" s="18"/>
      <c r="AD39" s="18"/>
      <c r="AE39" s="9"/>
      <c r="AF39" s="9"/>
      <c r="AG39" s="9"/>
      <c r="AH39" s="9"/>
      <c r="AI39" s="12"/>
      <c r="AJ39" s="13"/>
      <c r="AK39" s="11"/>
      <c r="AL39" s="11"/>
      <c r="AM39" s="11"/>
      <c r="AN39" s="11"/>
      <c r="AO39" s="11"/>
      <c r="AP39" s="11"/>
      <c r="AQ39" s="11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</row>
    <row r="40" ht="15.75" customHeight="1">
      <c r="A40" s="13"/>
      <c r="B40" s="12"/>
      <c r="C40" s="9"/>
      <c r="D40" s="5"/>
      <c r="E40" s="9"/>
      <c r="F40" s="9"/>
      <c r="G40" s="9"/>
      <c r="H40" s="9"/>
      <c r="I40" s="9"/>
      <c r="J40" s="9"/>
      <c r="K40" s="9"/>
      <c r="L40" s="9"/>
      <c r="M40" s="9"/>
      <c r="N40" s="16" t="s">
        <v>47</v>
      </c>
      <c r="O40" s="17">
        <f>STDEV(O2:O37)</f>
        <v>80.73646761</v>
      </c>
      <c r="P40" s="9"/>
      <c r="Q40" s="9"/>
      <c r="R40" s="17">
        <f t="shared" ref="R40:Y40" si="41">STDEV(R2:R37)</f>
        <v>0.2846213054</v>
      </c>
      <c r="S40" s="17">
        <f t="shared" si="41"/>
        <v>1.864315489</v>
      </c>
      <c r="T40" s="17">
        <f t="shared" si="41"/>
        <v>0.345498127</v>
      </c>
      <c r="U40" s="17">
        <f t="shared" si="41"/>
        <v>0.1143583639</v>
      </c>
      <c r="V40" s="17">
        <f t="shared" si="41"/>
        <v>0.008181260042</v>
      </c>
      <c r="W40" s="17">
        <f t="shared" si="41"/>
        <v>0.1203736036</v>
      </c>
      <c r="X40" s="17">
        <f t="shared" si="41"/>
        <v>0.009426389839</v>
      </c>
      <c r="Y40" s="17">
        <f t="shared" si="41"/>
        <v>0.0753684075</v>
      </c>
      <c r="Z40" s="18"/>
      <c r="AA40" s="18"/>
      <c r="AB40" s="18"/>
      <c r="AC40" s="18"/>
      <c r="AD40" s="18"/>
      <c r="AE40" s="9"/>
      <c r="AF40" s="9"/>
      <c r="AG40" s="9"/>
      <c r="AH40" s="9"/>
      <c r="AI40" s="12"/>
      <c r="AJ40" s="13"/>
      <c r="AK40" s="11"/>
      <c r="AL40" s="11"/>
      <c r="AM40" s="11"/>
      <c r="AN40" s="11"/>
      <c r="AO40" s="11"/>
      <c r="AP40" s="11"/>
      <c r="AQ40" s="11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</row>
    <row r="41" ht="15.75" customHeight="1">
      <c r="A41" s="5"/>
      <c r="B41" s="12"/>
      <c r="C41" s="9"/>
      <c r="D41" s="5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12"/>
      <c r="AJ41" s="13"/>
      <c r="AK41" s="11"/>
      <c r="AL41" s="11"/>
      <c r="AM41" s="11"/>
      <c r="AN41" s="11"/>
      <c r="AO41" s="11"/>
      <c r="AP41" s="11"/>
      <c r="AQ41" s="11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</row>
    <row r="42" ht="15.75" customHeight="1">
      <c r="A42" s="5"/>
      <c r="B42" s="12"/>
      <c r="C42" s="9"/>
      <c r="D42" s="5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12"/>
      <c r="AJ42" s="13"/>
      <c r="AK42" s="11"/>
      <c r="AL42" s="11"/>
      <c r="AM42" s="11"/>
      <c r="AN42" s="11"/>
      <c r="AO42" s="11"/>
      <c r="AP42" s="11"/>
      <c r="AQ42" s="11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</row>
    <row r="43" ht="15.75" customHeight="1">
      <c r="A43" s="5"/>
      <c r="B43" s="12"/>
      <c r="C43" s="9"/>
      <c r="D43" s="5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12"/>
      <c r="AJ43" s="13"/>
      <c r="AK43" s="11"/>
      <c r="AL43" s="11"/>
      <c r="AM43" s="11"/>
      <c r="AN43" s="11"/>
      <c r="AO43" s="11"/>
      <c r="AP43" s="11"/>
      <c r="AQ43" s="11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</row>
    <row r="44" ht="15.75" customHeight="1">
      <c r="A44" s="5"/>
      <c r="B44" s="12"/>
      <c r="C44" s="9"/>
      <c r="D44" s="5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12"/>
      <c r="AJ44" s="13"/>
      <c r="AK44" s="11"/>
      <c r="AL44" s="11"/>
      <c r="AM44" s="11"/>
      <c r="AN44" s="11"/>
      <c r="AO44" s="11"/>
      <c r="AP44" s="11"/>
      <c r="AQ44" s="11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</row>
    <row r="45" ht="15.75" customHeight="1">
      <c r="A45" s="5"/>
      <c r="B45" s="15"/>
      <c r="C45" s="9"/>
      <c r="D45" s="5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12"/>
      <c r="AJ45" s="13"/>
      <c r="AK45" s="11"/>
      <c r="AL45" s="11"/>
      <c r="AM45" s="11"/>
      <c r="AN45" s="11"/>
      <c r="AO45" s="11"/>
      <c r="AP45" s="11"/>
      <c r="AQ45" s="11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</row>
    <row r="46" ht="15.75" customHeight="1">
      <c r="A46" s="5"/>
      <c r="B46" s="12"/>
      <c r="C46" s="9"/>
      <c r="D46" s="5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12"/>
      <c r="AJ46" s="13"/>
      <c r="AK46" s="11"/>
      <c r="AL46" s="11"/>
      <c r="AM46" s="11"/>
      <c r="AN46" s="11"/>
      <c r="AO46" s="11"/>
      <c r="AP46" s="11"/>
      <c r="AQ46" s="11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</row>
    <row r="47" ht="15.75" customHeight="1">
      <c r="A47" s="5"/>
      <c r="B47" s="15"/>
      <c r="C47" s="9"/>
      <c r="D47" s="5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12"/>
      <c r="AJ47" s="13"/>
      <c r="AK47" s="11"/>
      <c r="AL47" s="11"/>
      <c r="AM47" s="11"/>
      <c r="AN47" s="11"/>
      <c r="AO47" s="11"/>
      <c r="AP47" s="11"/>
      <c r="AQ47" s="11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</row>
    <row r="48" ht="15.75" customHeight="1">
      <c r="A48" s="5"/>
      <c r="B48" s="12"/>
      <c r="C48" s="9"/>
      <c r="D48" s="5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12"/>
      <c r="AJ48" s="13"/>
      <c r="AK48" s="11"/>
      <c r="AL48" s="11"/>
      <c r="AM48" s="11"/>
      <c r="AN48" s="11"/>
      <c r="AO48" s="11"/>
      <c r="AP48" s="11"/>
      <c r="AQ48" s="11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</row>
    <row r="49" ht="15.75" customHeight="1">
      <c r="A49" s="5"/>
      <c r="B49" s="1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12"/>
      <c r="AJ49" s="13"/>
      <c r="AK49" s="11"/>
      <c r="AL49" s="11"/>
      <c r="AM49" s="11"/>
      <c r="AN49" s="11"/>
      <c r="AO49" s="11"/>
      <c r="AP49" s="11"/>
      <c r="AQ49" s="11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</row>
    <row r="50" ht="15.75" customHeight="1">
      <c r="A50" s="5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12"/>
      <c r="AJ50" s="13"/>
      <c r="AK50" s="11"/>
      <c r="AL50" s="11"/>
      <c r="AM50" s="11"/>
      <c r="AN50" s="11"/>
      <c r="AO50" s="11"/>
      <c r="AP50" s="11"/>
      <c r="AQ50" s="11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</row>
    <row r="51" ht="15.75" customHeight="1">
      <c r="A51" s="5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12"/>
      <c r="AJ51" s="13"/>
      <c r="AK51" s="11"/>
      <c r="AL51" s="11"/>
      <c r="AM51" s="11"/>
      <c r="AN51" s="11"/>
      <c r="AO51" s="11"/>
      <c r="AP51" s="11"/>
      <c r="AQ51" s="11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</row>
    <row r="52" ht="15.75" customHeight="1">
      <c r="A52" s="5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12"/>
      <c r="AJ52" s="13"/>
      <c r="AK52" s="11"/>
      <c r="AL52" s="11"/>
      <c r="AM52" s="11"/>
      <c r="AN52" s="11"/>
      <c r="AO52" s="11"/>
      <c r="AP52" s="11"/>
      <c r="AQ52" s="11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</row>
    <row r="53" ht="15.75" customHeight="1">
      <c r="A53" s="5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12"/>
      <c r="AJ53" s="13"/>
      <c r="AK53" s="11"/>
      <c r="AL53" s="11"/>
      <c r="AM53" s="11"/>
      <c r="AN53" s="11"/>
      <c r="AO53" s="11"/>
      <c r="AP53" s="11"/>
      <c r="AQ53" s="11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</row>
    <row r="54" ht="15.75" customHeight="1">
      <c r="A54" s="5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12"/>
      <c r="AJ54" s="13"/>
      <c r="AK54" s="11"/>
      <c r="AL54" s="11"/>
      <c r="AM54" s="11"/>
      <c r="AN54" s="11"/>
      <c r="AO54" s="11"/>
      <c r="AP54" s="11"/>
      <c r="AQ54" s="11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</row>
    <row r="55" ht="15.75" customHeight="1">
      <c r="A55" s="5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12"/>
      <c r="AJ55" s="13"/>
      <c r="AK55" s="11"/>
      <c r="AL55" s="11"/>
      <c r="AM55" s="11"/>
      <c r="AN55" s="11"/>
      <c r="AO55" s="11"/>
      <c r="AP55" s="11"/>
      <c r="AQ55" s="11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</row>
    <row r="56" ht="15.75" customHeight="1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12"/>
      <c r="AJ56" s="13"/>
      <c r="AK56" s="11"/>
      <c r="AL56" s="11"/>
      <c r="AM56" s="11"/>
      <c r="AN56" s="11"/>
      <c r="AO56" s="11"/>
      <c r="AP56" s="11"/>
      <c r="AQ56" s="11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</row>
    <row r="57" ht="15.75" customHeight="1">
      <c r="A57" s="5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12"/>
      <c r="AJ57" s="13"/>
      <c r="AK57" s="11"/>
      <c r="AL57" s="11"/>
      <c r="AM57" s="11"/>
      <c r="AN57" s="11"/>
      <c r="AO57" s="11"/>
      <c r="AP57" s="11"/>
      <c r="AQ57" s="11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</row>
    <row r="58" ht="15.75" customHeight="1">
      <c r="A58" s="5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12"/>
      <c r="AJ58" s="13"/>
      <c r="AK58" s="11"/>
      <c r="AL58" s="11"/>
      <c r="AM58" s="11"/>
      <c r="AN58" s="11"/>
      <c r="AO58" s="11"/>
      <c r="AP58" s="11"/>
      <c r="AQ58" s="11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</row>
    <row r="59" ht="15.75" customHeight="1">
      <c r="A59" s="5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12"/>
      <c r="AJ59" s="13"/>
      <c r="AK59" s="11"/>
      <c r="AL59" s="11"/>
      <c r="AM59" s="11"/>
      <c r="AN59" s="11"/>
      <c r="AO59" s="11"/>
      <c r="AP59" s="11"/>
      <c r="AQ59" s="11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</row>
    <row r="60" ht="15.75" customHeight="1">
      <c r="A60" s="5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12"/>
      <c r="AJ60" s="13"/>
      <c r="AK60" s="11"/>
      <c r="AL60" s="11"/>
      <c r="AM60" s="11"/>
      <c r="AN60" s="11"/>
      <c r="AO60" s="11"/>
      <c r="AP60" s="11"/>
      <c r="AQ60" s="11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</row>
    <row r="61" ht="15.75" customHeight="1">
      <c r="A61" s="5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12"/>
      <c r="AJ61" s="13"/>
      <c r="AK61" s="11"/>
      <c r="AL61" s="11"/>
      <c r="AM61" s="11"/>
      <c r="AN61" s="11"/>
      <c r="AO61" s="11"/>
      <c r="AP61" s="11"/>
      <c r="AQ61" s="11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</row>
    <row r="62" ht="15.75" customHeight="1">
      <c r="A62" s="5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12"/>
      <c r="AJ62" s="13"/>
      <c r="AK62" s="11"/>
      <c r="AL62" s="11"/>
      <c r="AM62" s="11"/>
      <c r="AN62" s="11"/>
      <c r="AO62" s="11"/>
      <c r="AP62" s="11"/>
      <c r="AQ62" s="11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</row>
    <row r="63" ht="15.75" customHeight="1">
      <c r="A63" s="5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12"/>
      <c r="AJ63" s="13"/>
      <c r="AK63" s="11"/>
      <c r="AL63" s="11"/>
      <c r="AM63" s="11"/>
      <c r="AN63" s="11"/>
      <c r="AO63" s="11"/>
      <c r="AP63" s="11"/>
      <c r="AQ63" s="11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</row>
    <row r="64" ht="15.75" customHeight="1">
      <c r="A64" s="5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12"/>
      <c r="AJ64" s="13"/>
      <c r="AK64" s="11"/>
      <c r="AL64" s="11"/>
      <c r="AM64" s="11"/>
      <c r="AN64" s="11"/>
      <c r="AO64" s="11"/>
      <c r="AP64" s="11"/>
      <c r="AQ64" s="11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</row>
    <row r="65" ht="15.75" customHeight="1">
      <c r="A65" s="5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12"/>
      <c r="AJ65" s="13"/>
      <c r="AK65" s="11"/>
      <c r="AL65" s="11"/>
      <c r="AM65" s="11"/>
      <c r="AN65" s="11"/>
      <c r="AO65" s="11"/>
      <c r="AP65" s="11"/>
      <c r="AQ65" s="11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</row>
    <row r="66" ht="15.75" customHeight="1">
      <c r="A66" s="5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12"/>
      <c r="AJ66" s="13"/>
      <c r="AK66" s="11"/>
      <c r="AL66" s="11"/>
      <c r="AM66" s="11"/>
      <c r="AN66" s="11"/>
      <c r="AO66" s="11"/>
      <c r="AP66" s="11"/>
      <c r="AQ66" s="11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</row>
    <row r="67" ht="15.75" customHeight="1">
      <c r="A67" s="5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12"/>
      <c r="AJ67" s="13"/>
      <c r="AK67" s="11"/>
      <c r="AL67" s="11"/>
      <c r="AM67" s="11"/>
      <c r="AN67" s="11"/>
      <c r="AO67" s="11"/>
      <c r="AP67" s="11"/>
      <c r="AQ67" s="11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</row>
    <row r="68" ht="15.75" customHeight="1">
      <c r="A68" s="5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12"/>
      <c r="AJ68" s="13"/>
      <c r="AK68" s="11"/>
      <c r="AL68" s="11"/>
      <c r="AM68" s="11"/>
      <c r="AN68" s="11"/>
      <c r="AO68" s="11"/>
      <c r="AP68" s="11"/>
      <c r="AQ68" s="11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</row>
    <row r="69" ht="15.75" customHeight="1">
      <c r="A69" s="5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12"/>
      <c r="AJ69" s="13"/>
      <c r="AK69" s="11"/>
      <c r="AL69" s="11"/>
      <c r="AM69" s="11"/>
      <c r="AN69" s="11"/>
      <c r="AO69" s="11"/>
      <c r="AP69" s="11"/>
      <c r="AQ69" s="11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</row>
    <row r="70" ht="15.75" customHeight="1">
      <c r="A70" s="5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12"/>
      <c r="AJ70" s="13"/>
      <c r="AK70" s="11"/>
      <c r="AL70" s="11"/>
      <c r="AM70" s="11"/>
      <c r="AN70" s="11"/>
      <c r="AO70" s="11"/>
      <c r="AP70" s="11"/>
      <c r="AQ70" s="11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</row>
    <row r="71" ht="15.75" customHeight="1">
      <c r="A71" s="5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12"/>
      <c r="AJ71" s="13"/>
      <c r="AK71" s="11"/>
      <c r="AL71" s="11"/>
      <c r="AM71" s="11"/>
      <c r="AN71" s="11"/>
      <c r="AO71" s="11"/>
      <c r="AP71" s="11"/>
      <c r="AQ71" s="11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</row>
    <row r="72" ht="15.75" customHeight="1">
      <c r="A72" s="5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12"/>
      <c r="AJ72" s="13"/>
      <c r="AK72" s="11"/>
      <c r="AL72" s="11"/>
      <c r="AM72" s="11"/>
      <c r="AN72" s="11"/>
      <c r="AO72" s="11"/>
      <c r="AP72" s="11"/>
      <c r="AQ72" s="11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</row>
    <row r="73" ht="15.75" customHeight="1">
      <c r="A73" s="5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12"/>
      <c r="AJ73" s="13"/>
      <c r="AK73" s="11"/>
      <c r="AL73" s="11"/>
      <c r="AM73" s="11"/>
      <c r="AN73" s="11"/>
      <c r="AO73" s="11"/>
      <c r="AP73" s="11"/>
      <c r="AQ73" s="11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</row>
    <row r="74" ht="15.75" customHeight="1">
      <c r="A74" s="5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12"/>
      <c r="AJ74" s="13"/>
      <c r="AK74" s="11"/>
      <c r="AL74" s="11"/>
      <c r="AM74" s="11"/>
      <c r="AN74" s="11"/>
      <c r="AO74" s="11"/>
      <c r="AP74" s="11"/>
      <c r="AQ74" s="11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</row>
    <row r="75" ht="15.75" customHeight="1">
      <c r="A75" s="5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12"/>
      <c r="AJ75" s="13"/>
      <c r="AK75" s="11"/>
      <c r="AL75" s="11"/>
      <c r="AM75" s="11"/>
      <c r="AN75" s="11"/>
      <c r="AO75" s="11"/>
      <c r="AP75" s="11"/>
      <c r="AQ75" s="11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</row>
    <row r="76" ht="15.75" customHeight="1">
      <c r="A76" s="5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12"/>
      <c r="AJ76" s="13"/>
      <c r="AK76" s="11"/>
      <c r="AL76" s="11"/>
      <c r="AM76" s="11"/>
      <c r="AN76" s="11"/>
      <c r="AO76" s="11"/>
      <c r="AP76" s="11"/>
      <c r="AQ76" s="11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</row>
    <row r="77" ht="15.75" customHeight="1">
      <c r="A77" s="5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12"/>
      <c r="AJ77" s="13"/>
      <c r="AK77" s="11"/>
      <c r="AL77" s="11"/>
      <c r="AM77" s="11"/>
      <c r="AN77" s="11"/>
      <c r="AO77" s="11"/>
      <c r="AP77" s="11"/>
      <c r="AQ77" s="11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</row>
    <row r="78" ht="15.75" customHeight="1">
      <c r="A78" s="5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12"/>
      <c r="AJ78" s="13"/>
      <c r="AK78" s="11"/>
      <c r="AL78" s="11"/>
      <c r="AM78" s="11"/>
      <c r="AN78" s="11"/>
      <c r="AO78" s="11"/>
      <c r="AP78" s="11"/>
      <c r="AQ78" s="11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</row>
    <row r="79" ht="15.75" customHeight="1">
      <c r="A79" s="5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12"/>
      <c r="AJ79" s="13"/>
      <c r="AK79" s="11"/>
      <c r="AL79" s="11"/>
      <c r="AM79" s="11"/>
      <c r="AN79" s="11"/>
      <c r="AO79" s="11"/>
      <c r="AP79" s="11"/>
      <c r="AQ79" s="11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</row>
    <row r="80" ht="15.75" customHeight="1">
      <c r="A80" s="5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12"/>
      <c r="AJ80" s="13"/>
      <c r="AK80" s="11"/>
      <c r="AL80" s="11"/>
      <c r="AM80" s="11"/>
      <c r="AN80" s="11"/>
      <c r="AO80" s="11"/>
      <c r="AP80" s="11"/>
      <c r="AQ80" s="11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</row>
    <row r="81" ht="15.75" customHeight="1">
      <c r="A81" s="5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12"/>
      <c r="AJ81" s="13"/>
      <c r="AK81" s="11"/>
      <c r="AL81" s="11"/>
      <c r="AM81" s="11"/>
      <c r="AN81" s="11"/>
      <c r="AO81" s="11"/>
      <c r="AP81" s="11"/>
      <c r="AQ81" s="11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</row>
    <row r="82" ht="15.75" customHeight="1">
      <c r="A82" s="5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12"/>
      <c r="AJ82" s="13"/>
      <c r="AK82" s="11"/>
      <c r="AL82" s="11"/>
      <c r="AM82" s="11"/>
      <c r="AN82" s="11"/>
      <c r="AO82" s="11"/>
      <c r="AP82" s="11"/>
      <c r="AQ82" s="11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</row>
    <row r="83" ht="15.75" customHeight="1">
      <c r="A83" s="5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12"/>
      <c r="AJ83" s="13"/>
      <c r="AK83" s="11"/>
      <c r="AL83" s="11"/>
      <c r="AM83" s="11"/>
      <c r="AN83" s="11"/>
      <c r="AO83" s="11"/>
      <c r="AP83" s="11"/>
      <c r="AQ83" s="11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</row>
    <row r="84" ht="15.75" customHeight="1">
      <c r="A84" s="5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12"/>
      <c r="AJ84" s="13"/>
      <c r="AK84" s="11"/>
      <c r="AL84" s="11"/>
      <c r="AM84" s="11"/>
      <c r="AN84" s="11"/>
      <c r="AO84" s="11"/>
      <c r="AP84" s="11"/>
      <c r="AQ84" s="11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</row>
    <row r="85" ht="15.75" customHeight="1">
      <c r="A85" s="5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12"/>
      <c r="AJ85" s="13"/>
      <c r="AK85" s="11"/>
      <c r="AL85" s="11"/>
      <c r="AM85" s="11"/>
      <c r="AN85" s="11"/>
      <c r="AO85" s="11"/>
      <c r="AP85" s="11"/>
      <c r="AQ85" s="11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</row>
    <row r="86" ht="15.75" customHeight="1">
      <c r="A86" s="5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12"/>
      <c r="AJ86" s="13"/>
      <c r="AK86" s="11"/>
      <c r="AL86" s="11"/>
      <c r="AM86" s="11"/>
      <c r="AN86" s="11"/>
      <c r="AO86" s="11"/>
      <c r="AP86" s="11"/>
      <c r="AQ86" s="11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</row>
    <row r="87" ht="15.75" customHeight="1">
      <c r="A87" s="5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12"/>
      <c r="AJ87" s="13"/>
      <c r="AK87" s="11"/>
      <c r="AL87" s="11"/>
      <c r="AM87" s="11"/>
      <c r="AN87" s="11"/>
      <c r="AO87" s="11"/>
      <c r="AP87" s="11"/>
      <c r="AQ87" s="11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</row>
    <row r="88" ht="15.75" customHeight="1">
      <c r="A88" s="5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12"/>
      <c r="AJ88" s="13"/>
      <c r="AK88" s="11"/>
      <c r="AL88" s="11"/>
      <c r="AM88" s="11"/>
      <c r="AN88" s="11"/>
      <c r="AO88" s="11"/>
      <c r="AP88" s="11"/>
      <c r="AQ88" s="11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</row>
    <row r="89" ht="15.75" customHeight="1">
      <c r="A89" s="5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12"/>
      <c r="AJ89" s="13"/>
      <c r="AK89" s="11"/>
      <c r="AL89" s="11"/>
      <c r="AM89" s="11"/>
      <c r="AN89" s="11"/>
      <c r="AO89" s="11"/>
      <c r="AP89" s="11"/>
      <c r="AQ89" s="11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</row>
    <row r="90" ht="15.75" customHeight="1">
      <c r="A90" s="5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12"/>
      <c r="AJ90" s="13"/>
      <c r="AK90" s="11"/>
      <c r="AL90" s="11"/>
      <c r="AM90" s="11"/>
      <c r="AN90" s="11"/>
      <c r="AO90" s="11"/>
      <c r="AP90" s="11"/>
      <c r="AQ90" s="11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</row>
    <row r="91" ht="15.75" customHeight="1">
      <c r="A91" s="5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12"/>
      <c r="AJ91" s="13"/>
      <c r="AK91" s="11"/>
      <c r="AL91" s="11"/>
      <c r="AM91" s="11"/>
      <c r="AN91" s="11"/>
      <c r="AO91" s="11"/>
      <c r="AP91" s="11"/>
      <c r="AQ91" s="11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</row>
    <row r="92" ht="15.75" customHeight="1">
      <c r="A92" s="5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12"/>
      <c r="AJ92" s="13"/>
      <c r="AK92" s="11"/>
      <c r="AL92" s="11"/>
      <c r="AM92" s="11"/>
      <c r="AN92" s="11"/>
      <c r="AO92" s="11"/>
      <c r="AP92" s="11"/>
      <c r="AQ92" s="11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</row>
    <row r="93" ht="15.75" customHeight="1">
      <c r="A93" s="5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2"/>
      <c r="AJ93" s="13"/>
      <c r="AK93" s="11"/>
      <c r="AL93" s="11"/>
      <c r="AM93" s="11"/>
      <c r="AN93" s="11"/>
      <c r="AO93" s="11"/>
      <c r="AP93" s="11"/>
      <c r="AQ93" s="11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</row>
    <row r="94" ht="15.75" customHeight="1">
      <c r="A94" s="5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12"/>
      <c r="AJ94" s="13"/>
      <c r="AK94" s="11"/>
      <c r="AL94" s="11"/>
      <c r="AM94" s="11"/>
      <c r="AN94" s="11"/>
      <c r="AO94" s="11"/>
      <c r="AP94" s="11"/>
      <c r="AQ94" s="11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</row>
    <row r="95" ht="15.75" customHeight="1">
      <c r="A95" s="5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12"/>
      <c r="AJ95" s="13"/>
      <c r="AK95" s="11"/>
      <c r="AL95" s="11"/>
      <c r="AM95" s="11"/>
      <c r="AN95" s="11"/>
      <c r="AO95" s="11"/>
      <c r="AP95" s="11"/>
      <c r="AQ95" s="11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</row>
    <row r="96" ht="15.75" customHeight="1">
      <c r="A96" s="5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12"/>
      <c r="AJ96" s="13"/>
      <c r="AK96" s="11"/>
      <c r="AL96" s="11"/>
      <c r="AM96" s="11"/>
      <c r="AN96" s="11"/>
      <c r="AO96" s="11"/>
      <c r="AP96" s="11"/>
      <c r="AQ96" s="11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</row>
    <row r="97" ht="15.75" customHeight="1">
      <c r="A97" s="5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12"/>
      <c r="AJ97" s="13"/>
      <c r="AK97" s="11"/>
      <c r="AL97" s="11"/>
      <c r="AM97" s="11"/>
      <c r="AN97" s="11"/>
      <c r="AO97" s="11"/>
      <c r="AP97" s="11"/>
      <c r="AQ97" s="11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</row>
    <row r="98" ht="15.75" customHeight="1">
      <c r="A98" s="5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12"/>
      <c r="AJ98" s="13"/>
      <c r="AK98" s="11"/>
      <c r="AL98" s="11"/>
      <c r="AM98" s="11"/>
      <c r="AN98" s="11"/>
      <c r="AO98" s="11"/>
      <c r="AP98" s="11"/>
      <c r="AQ98" s="11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</row>
    <row r="99" ht="15.75" customHeight="1">
      <c r="A99" s="5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12"/>
      <c r="AJ99" s="13"/>
      <c r="AK99" s="11"/>
      <c r="AL99" s="11"/>
      <c r="AM99" s="11"/>
      <c r="AN99" s="11"/>
      <c r="AO99" s="11"/>
      <c r="AP99" s="11"/>
      <c r="AQ99" s="11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</row>
    <row r="100" ht="15.75" customHeight="1">
      <c r="A100" s="5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12"/>
      <c r="AJ100" s="13"/>
      <c r="AK100" s="11"/>
      <c r="AL100" s="11"/>
      <c r="AM100" s="11"/>
      <c r="AN100" s="11"/>
      <c r="AO100" s="11"/>
      <c r="AP100" s="11"/>
      <c r="AQ100" s="11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</row>
    <row r="101" ht="15.75" customHeight="1">
      <c r="A101" s="5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12"/>
      <c r="AJ101" s="13"/>
      <c r="AK101" s="11"/>
      <c r="AL101" s="11"/>
      <c r="AM101" s="11"/>
      <c r="AN101" s="11"/>
      <c r="AO101" s="11"/>
      <c r="AP101" s="11"/>
      <c r="AQ101" s="11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</row>
    <row r="102" ht="15.75" customHeight="1">
      <c r="A102" s="5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12"/>
      <c r="AJ102" s="13"/>
      <c r="AK102" s="11"/>
      <c r="AL102" s="11"/>
      <c r="AM102" s="11"/>
      <c r="AN102" s="11"/>
      <c r="AO102" s="11"/>
      <c r="AP102" s="11"/>
      <c r="AQ102" s="11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</row>
    <row r="103" ht="15.75" customHeight="1">
      <c r="A103" s="5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12"/>
      <c r="AJ103" s="13"/>
      <c r="AK103" s="11"/>
      <c r="AL103" s="11"/>
      <c r="AM103" s="11"/>
      <c r="AN103" s="11"/>
      <c r="AO103" s="11"/>
      <c r="AP103" s="11"/>
      <c r="AQ103" s="11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</row>
    <row r="104" ht="15.75" customHeight="1">
      <c r="A104" s="5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12"/>
      <c r="AJ104" s="13"/>
      <c r="AK104" s="11"/>
      <c r="AL104" s="11"/>
      <c r="AM104" s="11"/>
      <c r="AN104" s="11"/>
      <c r="AO104" s="11"/>
      <c r="AP104" s="11"/>
      <c r="AQ104" s="11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</row>
    <row r="105" ht="15.75" customHeight="1">
      <c r="A105" s="5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12"/>
      <c r="AJ105" s="13"/>
      <c r="AK105" s="11"/>
      <c r="AL105" s="11"/>
      <c r="AM105" s="11"/>
      <c r="AN105" s="11"/>
      <c r="AO105" s="11"/>
      <c r="AP105" s="11"/>
      <c r="AQ105" s="11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</row>
    <row r="106" ht="15.75" customHeight="1">
      <c r="A106" s="5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12"/>
      <c r="AJ106" s="13"/>
      <c r="AK106" s="11"/>
      <c r="AL106" s="11"/>
      <c r="AM106" s="11"/>
      <c r="AN106" s="11"/>
      <c r="AO106" s="11"/>
      <c r="AP106" s="11"/>
      <c r="AQ106" s="11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</row>
    <row r="107" ht="15.75" customHeight="1">
      <c r="A107" s="5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12"/>
      <c r="AJ107" s="13"/>
      <c r="AK107" s="11"/>
      <c r="AL107" s="11"/>
      <c r="AM107" s="11"/>
      <c r="AN107" s="11"/>
      <c r="AO107" s="11"/>
      <c r="AP107" s="11"/>
      <c r="AQ107" s="11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</row>
    <row r="108" ht="15.75" customHeight="1">
      <c r="A108" s="5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12"/>
      <c r="AJ108" s="13"/>
      <c r="AK108" s="11"/>
      <c r="AL108" s="11"/>
      <c r="AM108" s="11"/>
      <c r="AN108" s="11"/>
      <c r="AO108" s="11"/>
      <c r="AP108" s="11"/>
      <c r="AQ108" s="11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</row>
    <row r="109" ht="15.75" customHeight="1">
      <c r="A109" s="5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12"/>
      <c r="AJ109" s="13"/>
      <c r="AK109" s="11"/>
      <c r="AL109" s="11"/>
      <c r="AM109" s="11"/>
      <c r="AN109" s="11"/>
      <c r="AO109" s="11"/>
      <c r="AP109" s="11"/>
      <c r="AQ109" s="11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</row>
    <row r="110" ht="15.75" customHeight="1">
      <c r="A110" s="5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12"/>
      <c r="AJ110" s="13"/>
      <c r="AK110" s="11"/>
      <c r="AL110" s="11"/>
      <c r="AM110" s="11"/>
      <c r="AN110" s="11"/>
      <c r="AO110" s="11"/>
      <c r="AP110" s="11"/>
      <c r="AQ110" s="11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</row>
    <row r="111" ht="15.75" customHeight="1">
      <c r="A111" s="5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12"/>
      <c r="AJ111" s="13"/>
      <c r="AK111" s="11"/>
      <c r="AL111" s="11"/>
      <c r="AM111" s="11"/>
      <c r="AN111" s="11"/>
      <c r="AO111" s="11"/>
      <c r="AP111" s="11"/>
      <c r="AQ111" s="11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</row>
    <row r="112" ht="15.75" customHeight="1">
      <c r="A112" s="5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12"/>
      <c r="AJ112" s="13"/>
      <c r="AK112" s="11"/>
      <c r="AL112" s="11"/>
      <c r="AM112" s="11"/>
      <c r="AN112" s="11"/>
      <c r="AO112" s="11"/>
      <c r="AP112" s="11"/>
      <c r="AQ112" s="11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</row>
    <row r="113" ht="15.75" customHeight="1">
      <c r="A113" s="5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12"/>
      <c r="AJ113" s="13"/>
      <c r="AK113" s="11"/>
      <c r="AL113" s="11"/>
      <c r="AM113" s="11"/>
      <c r="AN113" s="11"/>
      <c r="AO113" s="11"/>
      <c r="AP113" s="11"/>
      <c r="AQ113" s="11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</row>
    <row r="114" ht="15.75" customHeight="1">
      <c r="A114" s="5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12"/>
      <c r="AJ114" s="13"/>
      <c r="AK114" s="11"/>
      <c r="AL114" s="11"/>
      <c r="AM114" s="11"/>
      <c r="AN114" s="11"/>
      <c r="AO114" s="11"/>
      <c r="AP114" s="11"/>
      <c r="AQ114" s="11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</row>
    <row r="115" ht="15.75" customHeight="1">
      <c r="A115" s="5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12"/>
      <c r="AJ115" s="13"/>
      <c r="AK115" s="11"/>
      <c r="AL115" s="11"/>
      <c r="AM115" s="11"/>
      <c r="AN115" s="11"/>
      <c r="AO115" s="11"/>
      <c r="AP115" s="11"/>
      <c r="AQ115" s="11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</row>
    <row r="116" ht="15.75" customHeight="1">
      <c r="A116" s="5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12"/>
      <c r="AJ116" s="13"/>
      <c r="AK116" s="11"/>
      <c r="AL116" s="11"/>
      <c r="AM116" s="11"/>
      <c r="AN116" s="11"/>
      <c r="AO116" s="11"/>
      <c r="AP116" s="11"/>
      <c r="AQ116" s="11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</row>
    <row r="117" ht="15.75" customHeight="1">
      <c r="A117" s="5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12"/>
      <c r="AJ117" s="13"/>
      <c r="AK117" s="11"/>
      <c r="AL117" s="11"/>
      <c r="AM117" s="11"/>
      <c r="AN117" s="11"/>
      <c r="AO117" s="11"/>
      <c r="AP117" s="11"/>
      <c r="AQ117" s="11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</row>
    <row r="118" ht="15.75" customHeight="1">
      <c r="A118" s="5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12"/>
      <c r="AJ118" s="13"/>
      <c r="AK118" s="11"/>
      <c r="AL118" s="11"/>
      <c r="AM118" s="11"/>
      <c r="AN118" s="11"/>
      <c r="AO118" s="11"/>
      <c r="AP118" s="11"/>
      <c r="AQ118" s="11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</row>
    <row r="119" ht="15.75" customHeight="1">
      <c r="A119" s="5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12"/>
      <c r="AJ119" s="13"/>
      <c r="AK119" s="11"/>
      <c r="AL119" s="11"/>
      <c r="AM119" s="11"/>
      <c r="AN119" s="11"/>
      <c r="AO119" s="11"/>
      <c r="AP119" s="11"/>
      <c r="AQ119" s="11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</row>
    <row r="120" ht="15.75" customHeight="1">
      <c r="A120" s="5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12"/>
      <c r="AJ120" s="13"/>
      <c r="AK120" s="11"/>
      <c r="AL120" s="11"/>
      <c r="AM120" s="11"/>
      <c r="AN120" s="11"/>
      <c r="AO120" s="11"/>
      <c r="AP120" s="11"/>
      <c r="AQ120" s="11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</row>
    <row r="121" ht="15.75" customHeight="1">
      <c r="A121" s="5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12"/>
      <c r="AJ121" s="13"/>
      <c r="AK121" s="11"/>
      <c r="AL121" s="11"/>
      <c r="AM121" s="11"/>
      <c r="AN121" s="11"/>
      <c r="AO121" s="11"/>
      <c r="AP121" s="11"/>
      <c r="AQ121" s="11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</row>
    <row r="122" ht="15.75" customHeight="1">
      <c r="A122" s="5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12"/>
      <c r="AJ122" s="13"/>
      <c r="AK122" s="11"/>
      <c r="AL122" s="11"/>
      <c r="AM122" s="11"/>
      <c r="AN122" s="11"/>
      <c r="AO122" s="11"/>
      <c r="AP122" s="11"/>
      <c r="AQ122" s="11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</row>
    <row r="123" ht="15.75" customHeight="1">
      <c r="A123" s="5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12"/>
      <c r="AJ123" s="13"/>
      <c r="AK123" s="11"/>
      <c r="AL123" s="11"/>
      <c r="AM123" s="11"/>
      <c r="AN123" s="11"/>
      <c r="AO123" s="11"/>
      <c r="AP123" s="11"/>
      <c r="AQ123" s="11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</row>
    <row r="124" ht="15.75" customHeight="1">
      <c r="A124" s="5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12"/>
      <c r="AJ124" s="13"/>
      <c r="AK124" s="11"/>
      <c r="AL124" s="11"/>
      <c r="AM124" s="11"/>
      <c r="AN124" s="11"/>
      <c r="AO124" s="11"/>
      <c r="AP124" s="11"/>
      <c r="AQ124" s="11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</row>
    <row r="125" ht="15.75" customHeight="1">
      <c r="A125" s="5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12"/>
      <c r="AJ125" s="13"/>
      <c r="AK125" s="11"/>
      <c r="AL125" s="11"/>
      <c r="AM125" s="11"/>
      <c r="AN125" s="11"/>
      <c r="AO125" s="11"/>
      <c r="AP125" s="11"/>
      <c r="AQ125" s="11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</row>
    <row r="126" ht="15.75" customHeight="1">
      <c r="A126" s="5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12"/>
      <c r="AJ126" s="13"/>
      <c r="AK126" s="11"/>
      <c r="AL126" s="11"/>
      <c r="AM126" s="11"/>
      <c r="AN126" s="11"/>
      <c r="AO126" s="11"/>
      <c r="AP126" s="11"/>
      <c r="AQ126" s="11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</row>
    <row r="127" ht="15.75" customHeight="1">
      <c r="A127" s="5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12"/>
      <c r="AJ127" s="13"/>
      <c r="AK127" s="11"/>
      <c r="AL127" s="11"/>
      <c r="AM127" s="11"/>
      <c r="AN127" s="11"/>
      <c r="AO127" s="11"/>
      <c r="AP127" s="11"/>
      <c r="AQ127" s="11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</row>
    <row r="128" ht="15.75" customHeight="1">
      <c r="A128" s="5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12"/>
      <c r="AJ128" s="13"/>
      <c r="AK128" s="11"/>
      <c r="AL128" s="11"/>
      <c r="AM128" s="11"/>
      <c r="AN128" s="11"/>
      <c r="AO128" s="11"/>
      <c r="AP128" s="11"/>
      <c r="AQ128" s="11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</row>
    <row r="129" ht="15.75" customHeight="1">
      <c r="A129" s="5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12"/>
      <c r="AJ129" s="13"/>
      <c r="AK129" s="11"/>
      <c r="AL129" s="11"/>
      <c r="AM129" s="11"/>
      <c r="AN129" s="11"/>
      <c r="AO129" s="11"/>
      <c r="AP129" s="11"/>
      <c r="AQ129" s="11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</row>
    <row r="130" ht="15.75" customHeight="1">
      <c r="A130" s="5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12"/>
      <c r="AJ130" s="13"/>
      <c r="AK130" s="11"/>
      <c r="AL130" s="11"/>
      <c r="AM130" s="11"/>
      <c r="AN130" s="11"/>
      <c r="AO130" s="11"/>
      <c r="AP130" s="11"/>
      <c r="AQ130" s="11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</row>
    <row r="131" ht="15.75" customHeight="1">
      <c r="A131" s="5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12"/>
      <c r="AJ131" s="13"/>
      <c r="AK131" s="11"/>
      <c r="AL131" s="11"/>
      <c r="AM131" s="11"/>
      <c r="AN131" s="11"/>
      <c r="AO131" s="11"/>
      <c r="AP131" s="11"/>
      <c r="AQ131" s="11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</row>
    <row r="132" ht="15.75" customHeight="1">
      <c r="A132" s="5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12"/>
      <c r="AJ132" s="13"/>
      <c r="AK132" s="11"/>
      <c r="AL132" s="11"/>
      <c r="AM132" s="11"/>
      <c r="AN132" s="11"/>
      <c r="AO132" s="11"/>
      <c r="AP132" s="11"/>
      <c r="AQ132" s="11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</row>
    <row r="133" ht="15.75" customHeight="1">
      <c r="A133" s="5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12"/>
      <c r="AJ133" s="13"/>
      <c r="AK133" s="11"/>
      <c r="AL133" s="11"/>
      <c r="AM133" s="11"/>
      <c r="AN133" s="11"/>
      <c r="AO133" s="11"/>
      <c r="AP133" s="11"/>
      <c r="AQ133" s="11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</row>
    <row r="134" ht="15.75" customHeight="1">
      <c r="A134" s="5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12"/>
      <c r="AJ134" s="13"/>
      <c r="AK134" s="11"/>
      <c r="AL134" s="11"/>
      <c r="AM134" s="11"/>
      <c r="AN134" s="11"/>
      <c r="AO134" s="11"/>
      <c r="AP134" s="11"/>
      <c r="AQ134" s="11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</row>
    <row r="135" ht="15.75" customHeight="1">
      <c r="A135" s="5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12"/>
      <c r="AJ135" s="13"/>
      <c r="AK135" s="11"/>
      <c r="AL135" s="11"/>
      <c r="AM135" s="11"/>
      <c r="AN135" s="11"/>
      <c r="AO135" s="11"/>
      <c r="AP135" s="11"/>
      <c r="AQ135" s="11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</row>
    <row r="136" ht="15.75" customHeight="1">
      <c r="A136" s="5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12"/>
      <c r="AJ136" s="13"/>
      <c r="AK136" s="11"/>
      <c r="AL136" s="11"/>
      <c r="AM136" s="11"/>
      <c r="AN136" s="11"/>
      <c r="AO136" s="11"/>
      <c r="AP136" s="11"/>
      <c r="AQ136" s="11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</row>
    <row r="137" ht="15.75" customHeight="1">
      <c r="A137" s="5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12"/>
      <c r="AJ137" s="13"/>
      <c r="AK137" s="11"/>
      <c r="AL137" s="11"/>
      <c r="AM137" s="11"/>
      <c r="AN137" s="11"/>
      <c r="AO137" s="11"/>
      <c r="AP137" s="11"/>
      <c r="AQ137" s="11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</row>
    <row r="138" ht="15.75" customHeight="1">
      <c r="A138" s="5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12"/>
      <c r="AJ138" s="13"/>
      <c r="AK138" s="11"/>
      <c r="AL138" s="11"/>
      <c r="AM138" s="11"/>
      <c r="AN138" s="11"/>
      <c r="AO138" s="11"/>
      <c r="AP138" s="11"/>
      <c r="AQ138" s="11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</row>
    <row r="139" ht="15.75" customHeight="1">
      <c r="A139" s="5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12"/>
      <c r="AJ139" s="13"/>
      <c r="AK139" s="11"/>
      <c r="AL139" s="11"/>
      <c r="AM139" s="11"/>
      <c r="AN139" s="11"/>
      <c r="AO139" s="11"/>
      <c r="AP139" s="11"/>
      <c r="AQ139" s="11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</row>
    <row r="140" ht="15.75" customHeight="1">
      <c r="A140" s="5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12"/>
      <c r="AJ140" s="13"/>
      <c r="AK140" s="11"/>
      <c r="AL140" s="11"/>
      <c r="AM140" s="11"/>
      <c r="AN140" s="11"/>
      <c r="AO140" s="11"/>
      <c r="AP140" s="11"/>
      <c r="AQ140" s="11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</row>
    <row r="141" ht="15.75" customHeight="1">
      <c r="A141" s="5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12"/>
      <c r="AJ141" s="13"/>
      <c r="AK141" s="11"/>
      <c r="AL141" s="11"/>
      <c r="AM141" s="11"/>
      <c r="AN141" s="11"/>
      <c r="AO141" s="11"/>
      <c r="AP141" s="11"/>
      <c r="AQ141" s="11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</row>
    <row r="142" ht="15.75" customHeight="1">
      <c r="A142" s="5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12"/>
      <c r="AJ142" s="13"/>
      <c r="AK142" s="11"/>
      <c r="AL142" s="11"/>
      <c r="AM142" s="11"/>
      <c r="AN142" s="11"/>
      <c r="AO142" s="11"/>
      <c r="AP142" s="11"/>
      <c r="AQ142" s="11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</row>
    <row r="143" ht="15.75" customHeight="1">
      <c r="A143" s="5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12"/>
      <c r="AJ143" s="13"/>
      <c r="AK143" s="11"/>
      <c r="AL143" s="11"/>
      <c r="AM143" s="11"/>
      <c r="AN143" s="11"/>
      <c r="AO143" s="11"/>
      <c r="AP143" s="11"/>
      <c r="AQ143" s="11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</row>
    <row r="144" ht="15.75" customHeight="1">
      <c r="A144" s="5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12"/>
      <c r="AJ144" s="13"/>
      <c r="AK144" s="11"/>
      <c r="AL144" s="11"/>
      <c r="AM144" s="11"/>
      <c r="AN144" s="11"/>
      <c r="AO144" s="11"/>
      <c r="AP144" s="11"/>
      <c r="AQ144" s="11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</row>
    <row r="145" ht="15.75" customHeight="1">
      <c r="A145" s="5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12"/>
      <c r="AJ145" s="13"/>
      <c r="AK145" s="11"/>
      <c r="AL145" s="11"/>
      <c r="AM145" s="11"/>
      <c r="AN145" s="11"/>
      <c r="AO145" s="11"/>
      <c r="AP145" s="11"/>
      <c r="AQ145" s="11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</row>
    <row r="146" ht="15.75" customHeight="1">
      <c r="A146" s="5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12"/>
      <c r="AJ146" s="13"/>
      <c r="AK146" s="11"/>
      <c r="AL146" s="11"/>
      <c r="AM146" s="11"/>
      <c r="AN146" s="11"/>
      <c r="AO146" s="11"/>
      <c r="AP146" s="11"/>
      <c r="AQ146" s="11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</row>
    <row r="147" ht="15.75" customHeight="1">
      <c r="A147" s="5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12"/>
      <c r="AJ147" s="13"/>
      <c r="AK147" s="11"/>
      <c r="AL147" s="11"/>
      <c r="AM147" s="11"/>
      <c r="AN147" s="11"/>
      <c r="AO147" s="11"/>
      <c r="AP147" s="11"/>
      <c r="AQ147" s="11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</row>
    <row r="148" ht="15.75" customHeight="1">
      <c r="A148" s="5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12"/>
      <c r="AJ148" s="13"/>
      <c r="AK148" s="11"/>
      <c r="AL148" s="11"/>
      <c r="AM148" s="11"/>
      <c r="AN148" s="11"/>
      <c r="AO148" s="11"/>
      <c r="AP148" s="11"/>
      <c r="AQ148" s="11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</row>
    <row r="149" ht="15.75" customHeight="1">
      <c r="A149" s="5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12"/>
      <c r="AJ149" s="13"/>
      <c r="AK149" s="11"/>
      <c r="AL149" s="11"/>
      <c r="AM149" s="11"/>
      <c r="AN149" s="11"/>
      <c r="AO149" s="11"/>
      <c r="AP149" s="11"/>
      <c r="AQ149" s="11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</row>
    <row r="150" ht="15.75" customHeight="1">
      <c r="A150" s="5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12"/>
      <c r="AJ150" s="13"/>
      <c r="AK150" s="11"/>
      <c r="AL150" s="11"/>
      <c r="AM150" s="11"/>
      <c r="AN150" s="11"/>
      <c r="AO150" s="11"/>
      <c r="AP150" s="11"/>
      <c r="AQ150" s="11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</row>
    <row r="151" ht="15.75" customHeight="1">
      <c r="A151" s="5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12"/>
      <c r="AJ151" s="13"/>
      <c r="AK151" s="11"/>
      <c r="AL151" s="11"/>
      <c r="AM151" s="11"/>
      <c r="AN151" s="11"/>
      <c r="AO151" s="11"/>
      <c r="AP151" s="11"/>
      <c r="AQ151" s="11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</row>
    <row r="152" ht="15.75" customHeight="1">
      <c r="A152" s="5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12"/>
      <c r="AJ152" s="13"/>
      <c r="AK152" s="11"/>
      <c r="AL152" s="11"/>
      <c r="AM152" s="11"/>
      <c r="AN152" s="11"/>
      <c r="AO152" s="11"/>
      <c r="AP152" s="11"/>
      <c r="AQ152" s="11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</row>
    <row r="153" ht="15.75" customHeight="1">
      <c r="A153" s="5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12"/>
      <c r="AJ153" s="13"/>
      <c r="AK153" s="11"/>
      <c r="AL153" s="11"/>
      <c r="AM153" s="11"/>
      <c r="AN153" s="11"/>
      <c r="AO153" s="11"/>
      <c r="AP153" s="11"/>
      <c r="AQ153" s="11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</row>
    <row r="154" ht="15.75" customHeight="1">
      <c r="A154" s="5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12"/>
      <c r="AJ154" s="13"/>
      <c r="AK154" s="11"/>
      <c r="AL154" s="11"/>
      <c r="AM154" s="11"/>
      <c r="AN154" s="11"/>
      <c r="AO154" s="11"/>
      <c r="AP154" s="11"/>
      <c r="AQ154" s="11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</row>
    <row r="155" ht="15.75" customHeight="1">
      <c r="A155" s="5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12"/>
      <c r="AJ155" s="13"/>
      <c r="AK155" s="11"/>
      <c r="AL155" s="11"/>
      <c r="AM155" s="11"/>
      <c r="AN155" s="11"/>
      <c r="AO155" s="11"/>
      <c r="AP155" s="11"/>
      <c r="AQ155" s="11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</row>
    <row r="156" ht="15.75" customHeight="1">
      <c r="A156" s="5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12"/>
      <c r="AJ156" s="13"/>
      <c r="AK156" s="11"/>
      <c r="AL156" s="11"/>
      <c r="AM156" s="11"/>
      <c r="AN156" s="11"/>
      <c r="AO156" s="11"/>
      <c r="AP156" s="11"/>
      <c r="AQ156" s="11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</row>
    <row r="157" ht="15.75" customHeight="1">
      <c r="A157" s="5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12"/>
      <c r="AJ157" s="13"/>
      <c r="AK157" s="11"/>
      <c r="AL157" s="11"/>
      <c r="AM157" s="11"/>
      <c r="AN157" s="11"/>
      <c r="AO157" s="11"/>
      <c r="AP157" s="11"/>
      <c r="AQ157" s="11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</row>
    <row r="158" ht="15.75" customHeight="1">
      <c r="A158" s="5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12"/>
      <c r="AJ158" s="13"/>
      <c r="AK158" s="11"/>
      <c r="AL158" s="11"/>
      <c r="AM158" s="11"/>
      <c r="AN158" s="11"/>
      <c r="AO158" s="11"/>
      <c r="AP158" s="11"/>
      <c r="AQ158" s="11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</row>
    <row r="159" ht="15.75" customHeight="1">
      <c r="A159" s="5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12"/>
      <c r="AJ159" s="13"/>
      <c r="AK159" s="11"/>
      <c r="AL159" s="11"/>
      <c r="AM159" s="11"/>
      <c r="AN159" s="11"/>
      <c r="AO159" s="11"/>
      <c r="AP159" s="11"/>
      <c r="AQ159" s="11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</row>
    <row r="160" ht="15.75" customHeight="1">
      <c r="A160" s="5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12"/>
      <c r="AJ160" s="13"/>
      <c r="AK160" s="11"/>
      <c r="AL160" s="11"/>
      <c r="AM160" s="11"/>
      <c r="AN160" s="11"/>
      <c r="AO160" s="11"/>
      <c r="AP160" s="11"/>
      <c r="AQ160" s="11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</row>
    <row r="161" ht="15.75" customHeight="1">
      <c r="A161" s="5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12"/>
      <c r="AJ161" s="13"/>
      <c r="AK161" s="11"/>
      <c r="AL161" s="11"/>
      <c r="AM161" s="11"/>
      <c r="AN161" s="11"/>
      <c r="AO161" s="11"/>
      <c r="AP161" s="11"/>
      <c r="AQ161" s="11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</row>
    <row r="162" ht="15.75" customHeight="1">
      <c r="A162" s="5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12"/>
      <c r="AJ162" s="13"/>
      <c r="AK162" s="11"/>
      <c r="AL162" s="11"/>
      <c r="AM162" s="11"/>
      <c r="AN162" s="11"/>
      <c r="AO162" s="11"/>
      <c r="AP162" s="11"/>
      <c r="AQ162" s="11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</row>
    <row r="163" ht="15.75" customHeight="1">
      <c r="A163" s="5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12"/>
      <c r="AJ163" s="13"/>
      <c r="AK163" s="11"/>
      <c r="AL163" s="11"/>
      <c r="AM163" s="11"/>
      <c r="AN163" s="11"/>
      <c r="AO163" s="11"/>
      <c r="AP163" s="11"/>
      <c r="AQ163" s="11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</row>
    <row r="164" ht="15.75" customHeight="1">
      <c r="A164" s="5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12"/>
      <c r="AJ164" s="13"/>
      <c r="AK164" s="11"/>
      <c r="AL164" s="11"/>
      <c r="AM164" s="11"/>
      <c r="AN164" s="11"/>
      <c r="AO164" s="11"/>
      <c r="AP164" s="11"/>
      <c r="AQ164" s="11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</row>
    <row r="165" ht="15.75" customHeight="1">
      <c r="A165" s="5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12"/>
      <c r="AJ165" s="13"/>
      <c r="AK165" s="11"/>
      <c r="AL165" s="11"/>
      <c r="AM165" s="11"/>
      <c r="AN165" s="11"/>
      <c r="AO165" s="11"/>
      <c r="AP165" s="11"/>
      <c r="AQ165" s="11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</row>
    <row r="166" ht="15.75" customHeight="1">
      <c r="A166" s="5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12"/>
      <c r="AJ166" s="13"/>
      <c r="AK166" s="11"/>
      <c r="AL166" s="11"/>
      <c r="AM166" s="11"/>
      <c r="AN166" s="11"/>
      <c r="AO166" s="11"/>
      <c r="AP166" s="11"/>
      <c r="AQ166" s="11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</row>
    <row r="167" ht="15.75" customHeight="1">
      <c r="A167" s="5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12"/>
      <c r="AJ167" s="13"/>
      <c r="AK167" s="11"/>
      <c r="AL167" s="11"/>
      <c r="AM167" s="11"/>
      <c r="AN167" s="11"/>
      <c r="AO167" s="11"/>
      <c r="AP167" s="11"/>
      <c r="AQ167" s="11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</row>
    <row r="168" ht="15.75" customHeight="1">
      <c r="A168" s="5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12"/>
      <c r="AJ168" s="13"/>
      <c r="AK168" s="11"/>
      <c r="AL168" s="11"/>
      <c r="AM168" s="11"/>
      <c r="AN168" s="11"/>
      <c r="AO168" s="11"/>
      <c r="AP168" s="11"/>
      <c r="AQ168" s="11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</row>
    <row r="169" ht="15.75" customHeight="1">
      <c r="A169" s="5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12"/>
      <c r="AJ169" s="13"/>
      <c r="AK169" s="11"/>
      <c r="AL169" s="11"/>
      <c r="AM169" s="11"/>
      <c r="AN169" s="11"/>
      <c r="AO169" s="11"/>
      <c r="AP169" s="11"/>
      <c r="AQ169" s="11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</row>
    <row r="170" ht="15.75" customHeight="1">
      <c r="A170" s="5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12"/>
      <c r="AJ170" s="13"/>
      <c r="AK170" s="11"/>
      <c r="AL170" s="11"/>
      <c r="AM170" s="11"/>
      <c r="AN170" s="11"/>
      <c r="AO170" s="11"/>
      <c r="AP170" s="11"/>
      <c r="AQ170" s="11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</row>
    <row r="171" ht="15.75" customHeight="1">
      <c r="A171" s="5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12"/>
      <c r="AJ171" s="13"/>
      <c r="AK171" s="11"/>
      <c r="AL171" s="11"/>
      <c r="AM171" s="11"/>
      <c r="AN171" s="11"/>
      <c r="AO171" s="11"/>
      <c r="AP171" s="11"/>
      <c r="AQ171" s="11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</row>
    <row r="172" ht="15.75" customHeight="1">
      <c r="A172" s="5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12"/>
      <c r="AJ172" s="13"/>
      <c r="AK172" s="11"/>
      <c r="AL172" s="11"/>
      <c r="AM172" s="11"/>
      <c r="AN172" s="11"/>
      <c r="AO172" s="11"/>
      <c r="AP172" s="11"/>
      <c r="AQ172" s="11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</row>
    <row r="173" ht="15.75" customHeight="1">
      <c r="A173" s="5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12"/>
      <c r="AJ173" s="13"/>
      <c r="AK173" s="11"/>
      <c r="AL173" s="11"/>
      <c r="AM173" s="11"/>
      <c r="AN173" s="11"/>
      <c r="AO173" s="11"/>
      <c r="AP173" s="11"/>
      <c r="AQ173" s="11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</row>
    <row r="174" ht="15.75" customHeight="1">
      <c r="A174" s="5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12"/>
      <c r="AJ174" s="13"/>
      <c r="AK174" s="11"/>
      <c r="AL174" s="11"/>
      <c r="AM174" s="11"/>
      <c r="AN174" s="11"/>
      <c r="AO174" s="11"/>
      <c r="AP174" s="11"/>
      <c r="AQ174" s="11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</row>
    <row r="175" ht="15.75" customHeight="1">
      <c r="A175" s="5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12"/>
      <c r="AJ175" s="13"/>
      <c r="AK175" s="11"/>
      <c r="AL175" s="11"/>
      <c r="AM175" s="11"/>
      <c r="AN175" s="11"/>
      <c r="AO175" s="11"/>
      <c r="AP175" s="11"/>
      <c r="AQ175" s="11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</row>
    <row r="176" ht="15.75" customHeight="1">
      <c r="A176" s="5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12"/>
      <c r="AJ176" s="13"/>
      <c r="AK176" s="11"/>
      <c r="AL176" s="11"/>
      <c r="AM176" s="11"/>
      <c r="AN176" s="11"/>
      <c r="AO176" s="11"/>
      <c r="AP176" s="11"/>
      <c r="AQ176" s="11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</row>
    <row r="177" ht="15.75" customHeight="1">
      <c r="A177" s="5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12"/>
      <c r="AJ177" s="13"/>
      <c r="AK177" s="11"/>
      <c r="AL177" s="11"/>
      <c r="AM177" s="11"/>
      <c r="AN177" s="11"/>
      <c r="AO177" s="11"/>
      <c r="AP177" s="11"/>
      <c r="AQ177" s="11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</row>
    <row r="178" ht="15.75" customHeight="1">
      <c r="A178" s="5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12"/>
      <c r="AJ178" s="13"/>
      <c r="AK178" s="11"/>
      <c r="AL178" s="11"/>
      <c r="AM178" s="11"/>
      <c r="AN178" s="11"/>
      <c r="AO178" s="11"/>
      <c r="AP178" s="11"/>
      <c r="AQ178" s="11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</row>
    <row r="179" ht="15.75" customHeight="1">
      <c r="A179" s="5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12"/>
      <c r="AJ179" s="13"/>
      <c r="AK179" s="11"/>
      <c r="AL179" s="11"/>
      <c r="AM179" s="11"/>
      <c r="AN179" s="11"/>
      <c r="AO179" s="11"/>
      <c r="AP179" s="11"/>
      <c r="AQ179" s="11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</row>
    <row r="180" ht="15.75" customHeight="1">
      <c r="A180" s="5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12"/>
      <c r="AJ180" s="13"/>
      <c r="AK180" s="11"/>
      <c r="AL180" s="11"/>
      <c r="AM180" s="11"/>
      <c r="AN180" s="11"/>
      <c r="AO180" s="11"/>
      <c r="AP180" s="11"/>
      <c r="AQ180" s="11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</row>
    <row r="181" ht="15.75" customHeight="1">
      <c r="A181" s="5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12"/>
      <c r="AJ181" s="13"/>
      <c r="AK181" s="11"/>
      <c r="AL181" s="11"/>
      <c r="AM181" s="11"/>
      <c r="AN181" s="11"/>
      <c r="AO181" s="11"/>
      <c r="AP181" s="11"/>
      <c r="AQ181" s="11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</row>
    <row r="182" ht="15.75" customHeight="1">
      <c r="A182" s="5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12"/>
      <c r="AJ182" s="13"/>
      <c r="AK182" s="11"/>
      <c r="AL182" s="11"/>
      <c r="AM182" s="11"/>
      <c r="AN182" s="11"/>
      <c r="AO182" s="11"/>
      <c r="AP182" s="11"/>
      <c r="AQ182" s="11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</row>
    <row r="183" ht="15.75" customHeight="1">
      <c r="A183" s="5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12"/>
      <c r="AJ183" s="13"/>
      <c r="AK183" s="11"/>
      <c r="AL183" s="11"/>
      <c r="AM183" s="11"/>
      <c r="AN183" s="11"/>
      <c r="AO183" s="11"/>
      <c r="AP183" s="11"/>
      <c r="AQ183" s="11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</row>
    <row r="184" ht="15.75" customHeight="1">
      <c r="A184" s="5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12"/>
      <c r="AJ184" s="13"/>
      <c r="AK184" s="11"/>
      <c r="AL184" s="11"/>
      <c r="AM184" s="11"/>
      <c r="AN184" s="11"/>
      <c r="AO184" s="11"/>
      <c r="AP184" s="11"/>
      <c r="AQ184" s="11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</row>
    <row r="185" ht="15.75" customHeight="1">
      <c r="A185" s="5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12"/>
      <c r="AJ185" s="13"/>
      <c r="AK185" s="11"/>
      <c r="AL185" s="11"/>
      <c r="AM185" s="11"/>
      <c r="AN185" s="11"/>
      <c r="AO185" s="11"/>
      <c r="AP185" s="11"/>
      <c r="AQ185" s="11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</row>
    <row r="186" ht="15.75" customHeight="1">
      <c r="A186" s="5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12"/>
      <c r="AJ186" s="13"/>
      <c r="AK186" s="11"/>
      <c r="AL186" s="11"/>
      <c r="AM186" s="11"/>
      <c r="AN186" s="11"/>
      <c r="AO186" s="11"/>
      <c r="AP186" s="11"/>
      <c r="AQ186" s="11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</row>
    <row r="187" ht="15.75" customHeight="1">
      <c r="A187" s="5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12"/>
      <c r="AJ187" s="13"/>
      <c r="AK187" s="11"/>
      <c r="AL187" s="11"/>
      <c r="AM187" s="11"/>
      <c r="AN187" s="11"/>
      <c r="AO187" s="11"/>
      <c r="AP187" s="11"/>
      <c r="AQ187" s="11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</row>
    <row r="188" ht="15.75" customHeight="1">
      <c r="A188" s="5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12"/>
      <c r="AJ188" s="13"/>
      <c r="AK188" s="11"/>
      <c r="AL188" s="11"/>
      <c r="AM188" s="11"/>
      <c r="AN188" s="11"/>
      <c r="AO188" s="11"/>
      <c r="AP188" s="11"/>
      <c r="AQ188" s="11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</row>
    <row r="189" ht="15.75" customHeight="1">
      <c r="A189" s="5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12"/>
      <c r="AJ189" s="13"/>
      <c r="AK189" s="11"/>
      <c r="AL189" s="11"/>
      <c r="AM189" s="11"/>
      <c r="AN189" s="11"/>
      <c r="AO189" s="11"/>
      <c r="AP189" s="11"/>
      <c r="AQ189" s="11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</row>
    <row r="190" ht="15.75" customHeight="1">
      <c r="A190" s="5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12"/>
      <c r="AJ190" s="13"/>
      <c r="AK190" s="11"/>
      <c r="AL190" s="11"/>
      <c r="AM190" s="11"/>
      <c r="AN190" s="11"/>
      <c r="AO190" s="11"/>
      <c r="AP190" s="11"/>
      <c r="AQ190" s="11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</row>
    <row r="191" ht="15.75" customHeight="1">
      <c r="A191" s="5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12"/>
      <c r="AJ191" s="13"/>
      <c r="AK191" s="11"/>
      <c r="AL191" s="11"/>
      <c r="AM191" s="11"/>
      <c r="AN191" s="11"/>
      <c r="AO191" s="11"/>
      <c r="AP191" s="11"/>
      <c r="AQ191" s="11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</row>
    <row r="192" ht="15.75" customHeight="1">
      <c r="A192" s="5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12"/>
      <c r="AJ192" s="13"/>
      <c r="AK192" s="11"/>
      <c r="AL192" s="11"/>
      <c r="AM192" s="11"/>
      <c r="AN192" s="11"/>
      <c r="AO192" s="11"/>
      <c r="AP192" s="11"/>
      <c r="AQ192" s="11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</row>
    <row r="193" ht="15.75" customHeight="1">
      <c r="A193" s="5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12"/>
      <c r="AJ193" s="13"/>
      <c r="AK193" s="11"/>
      <c r="AL193" s="11"/>
      <c r="AM193" s="11"/>
      <c r="AN193" s="11"/>
      <c r="AO193" s="11"/>
      <c r="AP193" s="11"/>
      <c r="AQ193" s="11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</row>
    <row r="194" ht="15.75" customHeight="1">
      <c r="A194" s="5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12"/>
      <c r="AJ194" s="13"/>
      <c r="AK194" s="11"/>
      <c r="AL194" s="11"/>
      <c r="AM194" s="11"/>
      <c r="AN194" s="11"/>
      <c r="AO194" s="11"/>
      <c r="AP194" s="11"/>
      <c r="AQ194" s="11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</row>
    <row r="195" ht="15.75" customHeight="1">
      <c r="A195" s="5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12"/>
      <c r="AJ195" s="13"/>
      <c r="AK195" s="11"/>
      <c r="AL195" s="11"/>
      <c r="AM195" s="11"/>
      <c r="AN195" s="11"/>
      <c r="AO195" s="11"/>
      <c r="AP195" s="11"/>
      <c r="AQ195" s="11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</row>
    <row r="196" ht="15.75" customHeight="1">
      <c r="A196" s="5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12"/>
      <c r="AJ196" s="13"/>
      <c r="AK196" s="11"/>
      <c r="AL196" s="11"/>
      <c r="AM196" s="11"/>
      <c r="AN196" s="11"/>
      <c r="AO196" s="11"/>
      <c r="AP196" s="11"/>
      <c r="AQ196" s="11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</row>
    <row r="197" ht="15.75" customHeight="1">
      <c r="A197" s="5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12"/>
      <c r="AJ197" s="13"/>
      <c r="AK197" s="11"/>
      <c r="AL197" s="11"/>
      <c r="AM197" s="11"/>
      <c r="AN197" s="11"/>
      <c r="AO197" s="11"/>
      <c r="AP197" s="11"/>
      <c r="AQ197" s="11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</row>
    <row r="198" ht="15.75" customHeight="1">
      <c r="A198" s="5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12"/>
      <c r="AJ198" s="13"/>
      <c r="AK198" s="11"/>
      <c r="AL198" s="11"/>
      <c r="AM198" s="11"/>
      <c r="AN198" s="11"/>
      <c r="AO198" s="11"/>
      <c r="AP198" s="11"/>
      <c r="AQ198" s="11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</row>
    <row r="199" ht="15.75" customHeight="1">
      <c r="A199" s="5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12"/>
      <c r="AJ199" s="13"/>
      <c r="AK199" s="11"/>
      <c r="AL199" s="11"/>
      <c r="AM199" s="11"/>
      <c r="AN199" s="11"/>
      <c r="AO199" s="11"/>
      <c r="AP199" s="11"/>
      <c r="AQ199" s="11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</row>
    <row r="200" ht="15.75" customHeight="1">
      <c r="A200" s="5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12"/>
      <c r="AJ200" s="13"/>
      <c r="AK200" s="11"/>
      <c r="AL200" s="11"/>
      <c r="AM200" s="11"/>
      <c r="AN200" s="11"/>
      <c r="AO200" s="11"/>
      <c r="AP200" s="11"/>
      <c r="AQ200" s="11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</row>
    <row r="201" ht="15.75" customHeight="1">
      <c r="A201" s="5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12"/>
      <c r="AJ201" s="13"/>
      <c r="AK201" s="11"/>
      <c r="AL201" s="11"/>
      <c r="AM201" s="11"/>
      <c r="AN201" s="11"/>
      <c r="AO201" s="11"/>
      <c r="AP201" s="11"/>
      <c r="AQ201" s="11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</row>
    <row r="202" ht="15.75" customHeight="1">
      <c r="A202" s="5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12"/>
      <c r="AJ202" s="13"/>
      <c r="AK202" s="11"/>
      <c r="AL202" s="11"/>
      <c r="AM202" s="11"/>
      <c r="AN202" s="11"/>
      <c r="AO202" s="11"/>
      <c r="AP202" s="11"/>
      <c r="AQ202" s="11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</row>
    <row r="203" ht="15.75" customHeight="1">
      <c r="A203" s="5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12"/>
      <c r="AJ203" s="13"/>
      <c r="AK203" s="11"/>
      <c r="AL203" s="11"/>
      <c r="AM203" s="11"/>
      <c r="AN203" s="11"/>
      <c r="AO203" s="11"/>
      <c r="AP203" s="11"/>
      <c r="AQ203" s="11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</row>
    <row r="204" ht="15.75" customHeight="1">
      <c r="A204" s="5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12"/>
      <c r="AJ204" s="13"/>
      <c r="AK204" s="11"/>
      <c r="AL204" s="11"/>
      <c r="AM204" s="11"/>
      <c r="AN204" s="11"/>
      <c r="AO204" s="11"/>
      <c r="AP204" s="11"/>
      <c r="AQ204" s="11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</row>
    <row r="205" ht="15.75" customHeight="1">
      <c r="A205" s="5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12"/>
      <c r="AJ205" s="13"/>
      <c r="AK205" s="11"/>
      <c r="AL205" s="11"/>
      <c r="AM205" s="11"/>
      <c r="AN205" s="11"/>
      <c r="AO205" s="11"/>
      <c r="AP205" s="11"/>
      <c r="AQ205" s="11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</row>
    <row r="206" ht="15.75" customHeight="1">
      <c r="A206" s="5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12"/>
      <c r="AJ206" s="13"/>
      <c r="AK206" s="11"/>
      <c r="AL206" s="11"/>
      <c r="AM206" s="11"/>
      <c r="AN206" s="11"/>
      <c r="AO206" s="11"/>
      <c r="AP206" s="11"/>
      <c r="AQ206" s="11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</row>
    <row r="207" ht="15.75" customHeight="1">
      <c r="A207" s="5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12"/>
      <c r="AJ207" s="13"/>
      <c r="AK207" s="11"/>
      <c r="AL207" s="11"/>
      <c r="AM207" s="11"/>
      <c r="AN207" s="11"/>
      <c r="AO207" s="11"/>
      <c r="AP207" s="11"/>
      <c r="AQ207" s="11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</row>
    <row r="208" ht="15.75" customHeight="1">
      <c r="A208" s="5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12"/>
      <c r="AJ208" s="13"/>
      <c r="AK208" s="11"/>
      <c r="AL208" s="11"/>
      <c r="AM208" s="11"/>
      <c r="AN208" s="11"/>
      <c r="AO208" s="11"/>
      <c r="AP208" s="11"/>
      <c r="AQ208" s="11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</row>
    <row r="209" ht="15.75" customHeight="1">
      <c r="A209" s="5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12"/>
      <c r="AJ209" s="13"/>
      <c r="AK209" s="11"/>
      <c r="AL209" s="11"/>
      <c r="AM209" s="11"/>
      <c r="AN209" s="11"/>
      <c r="AO209" s="11"/>
      <c r="AP209" s="11"/>
      <c r="AQ209" s="11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</row>
    <row r="210" ht="15.75" customHeight="1">
      <c r="A210" s="5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12"/>
      <c r="AJ210" s="13"/>
      <c r="AK210" s="11"/>
      <c r="AL210" s="11"/>
      <c r="AM210" s="11"/>
      <c r="AN210" s="11"/>
      <c r="AO210" s="11"/>
      <c r="AP210" s="11"/>
      <c r="AQ210" s="11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</row>
    <row r="211" ht="15.75" customHeight="1">
      <c r="A211" s="5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12"/>
      <c r="AJ211" s="13"/>
      <c r="AK211" s="11"/>
      <c r="AL211" s="11"/>
      <c r="AM211" s="11"/>
      <c r="AN211" s="11"/>
      <c r="AO211" s="11"/>
      <c r="AP211" s="11"/>
      <c r="AQ211" s="11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</row>
    <row r="212" ht="15.75" customHeight="1">
      <c r="A212" s="5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12"/>
      <c r="AJ212" s="13"/>
      <c r="AK212" s="11"/>
      <c r="AL212" s="11"/>
      <c r="AM212" s="11"/>
      <c r="AN212" s="11"/>
      <c r="AO212" s="11"/>
      <c r="AP212" s="11"/>
      <c r="AQ212" s="11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</row>
    <row r="213" ht="15.75" customHeight="1">
      <c r="A213" s="5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12"/>
      <c r="AJ213" s="13"/>
      <c r="AK213" s="11"/>
      <c r="AL213" s="11"/>
      <c r="AM213" s="11"/>
      <c r="AN213" s="11"/>
      <c r="AO213" s="11"/>
      <c r="AP213" s="11"/>
      <c r="AQ213" s="11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</row>
    <row r="214" ht="15.75" customHeight="1">
      <c r="A214" s="5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12"/>
      <c r="AJ214" s="13"/>
      <c r="AK214" s="11"/>
      <c r="AL214" s="11"/>
      <c r="AM214" s="11"/>
      <c r="AN214" s="11"/>
      <c r="AO214" s="11"/>
      <c r="AP214" s="11"/>
      <c r="AQ214" s="11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</row>
    <row r="215" ht="15.75" customHeight="1">
      <c r="A215" s="5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12"/>
      <c r="AJ215" s="13"/>
      <c r="AK215" s="11"/>
      <c r="AL215" s="11"/>
      <c r="AM215" s="11"/>
      <c r="AN215" s="11"/>
      <c r="AO215" s="11"/>
      <c r="AP215" s="11"/>
      <c r="AQ215" s="11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</row>
    <row r="216" ht="15.75" customHeight="1">
      <c r="A216" s="5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12"/>
      <c r="AJ216" s="13"/>
      <c r="AK216" s="11"/>
      <c r="AL216" s="11"/>
      <c r="AM216" s="11"/>
      <c r="AN216" s="11"/>
      <c r="AO216" s="11"/>
      <c r="AP216" s="11"/>
      <c r="AQ216" s="11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</row>
    <row r="217" ht="15.75" customHeight="1">
      <c r="A217" s="5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12"/>
      <c r="AJ217" s="13"/>
      <c r="AK217" s="11"/>
      <c r="AL217" s="11"/>
      <c r="AM217" s="11"/>
      <c r="AN217" s="11"/>
      <c r="AO217" s="11"/>
      <c r="AP217" s="11"/>
      <c r="AQ217" s="11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</row>
    <row r="218" ht="15.75" customHeight="1">
      <c r="A218" s="5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12"/>
      <c r="AJ218" s="13"/>
      <c r="AK218" s="11"/>
      <c r="AL218" s="11"/>
      <c r="AM218" s="11"/>
      <c r="AN218" s="11"/>
      <c r="AO218" s="11"/>
      <c r="AP218" s="11"/>
      <c r="AQ218" s="11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</row>
    <row r="219" ht="15.75" customHeight="1">
      <c r="A219" s="5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12"/>
      <c r="AJ219" s="13"/>
      <c r="AK219" s="11"/>
      <c r="AL219" s="11"/>
      <c r="AM219" s="11"/>
      <c r="AN219" s="11"/>
      <c r="AO219" s="11"/>
      <c r="AP219" s="11"/>
      <c r="AQ219" s="11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</row>
    <row r="220" ht="15.75" customHeight="1">
      <c r="A220" s="5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12"/>
      <c r="AJ220" s="13"/>
      <c r="AK220" s="11"/>
      <c r="AL220" s="11"/>
      <c r="AM220" s="11"/>
      <c r="AN220" s="11"/>
      <c r="AO220" s="11"/>
      <c r="AP220" s="11"/>
      <c r="AQ220" s="11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</row>
    <row r="221" ht="15.75" customHeight="1">
      <c r="A221" s="5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12"/>
      <c r="AJ221" s="13"/>
      <c r="AK221" s="11"/>
      <c r="AL221" s="11"/>
      <c r="AM221" s="11"/>
      <c r="AN221" s="11"/>
      <c r="AO221" s="11"/>
      <c r="AP221" s="11"/>
      <c r="AQ221" s="11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</row>
    <row r="222" ht="15.75" customHeight="1">
      <c r="A222" s="5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12"/>
      <c r="AJ222" s="13"/>
      <c r="AK222" s="11"/>
      <c r="AL222" s="11"/>
      <c r="AM222" s="11"/>
      <c r="AN222" s="11"/>
      <c r="AO222" s="11"/>
      <c r="AP222" s="11"/>
      <c r="AQ222" s="11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</row>
    <row r="223" ht="15.75" customHeight="1">
      <c r="A223" s="5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12"/>
      <c r="AJ223" s="13"/>
      <c r="AK223" s="11"/>
      <c r="AL223" s="11"/>
      <c r="AM223" s="11"/>
      <c r="AN223" s="11"/>
      <c r="AO223" s="11"/>
      <c r="AP223" s="11"/>
      <c r="AQ223" s="11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</row>
    <row r="224" ht="15.75" customHeight="1">
      <c r="A224" s="5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12"/>
      <c r="AJ224" s="13"/>
      <c r="AK224" s="11"/>
      <c r="AL224" s="11"/>
      <c r="AM224" s="11"/>
      <c r="AN224" s="11"/>
      <c r="AO224" s="11"/>
      <c r="AP224" s="11"/>
      <c r="AQ224" s="11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</row>
    <row r="225" ht="15.75" customHeight="1">
      <c r="A225" s="5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12"/>
      <c r="AJ225" s="13"/>
      <c r="AK225" s="11"/>
      <c r="AL225" s="11"/>
      <c r="AM225" s="11"/>
      <c r="AN225" s="11"/>
      <c r="AO225" s="11"/>
      <c r="AP225" s="11"/>
      <c r="AQ225" s="11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</row>
    <row r="226" ht="15.75" customHeight="1">
      <c r="A226" s="5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12"/>
      <c r="AJ226" s="13"/>
      <c r="AK226" s="11"/>
      <c r="AL226" s="11"/>
      <c r="AM226" s="11"/>
      <c r="AN226" s="11"/>
      <c r="AO226" s="11"/>
      <c r="AP226" s="11"/>
      <c r="AQ226" s="11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</row>
    <row r="227" ht="15.75" customHeight="1">
      <c r="A227" s="5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12"/>
      <c r="AJ227" s="13"/>
      <c r="AK227" s="11"/>
      <c r="AL227" s="11"/>
      <c r="AM227" s="11"/>
      <c r="AN227" s="11"/>
      <c r="AO227" s="11"/>
      <c r="AP227" s="11"/>
      <c r="AQ227" s="11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</row>
    <row r="228" ht="15.75" customHeight="1">
      <c r="A228" s="5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12"/>
      <c r="AJ228" s="13"/>
      <c r="AK228" s="11"/>
      <c r="AL228" s="11"/>
      <c r="AM228" s="11"/>
      <c r="AN228" s="11"/>
      <c r="AO228" s="11"/>
      <c r="AP228" s="11"/>
      <c r="AQ228" s="11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</row>
    <row r="229" ht="15.75" customHeight="1">
      <c r="A229" s="5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12"/>
      <c r="AJ229" s="13"/>
      <c r="AK229" s="11"/>
      <c r="AL229" s="11"/>
      <c r="AM229" s="11"/>
      <c r="AN229" s="11"/>
      <c r="AO229" s="11"/>
      <c r="AP229" s="11"/>
      <c r="AQ229" s="11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</row>
    <row r="230" ht="15.75" customHeight="1">
      <c r="A230" s="5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12"/>
      <c r="AJ230" s="13"/>
      <c r="AK230" s="11"/>
      <c r="AL230" s="11"/>
      <c r="AM230" s="11"/>
      <c r="AN230" s="11"/>
      <c r="AO230" s="11"/>
      <c r="AP230" s="11"/>
      <c r="AQ230" s="11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</row>
    <row r="231" ht="15.75" customHeight="1">
      <c r="A231" s="5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12"/>
      <c r="AJ231" s="13"/>
      <c r="AK231" s="11"/>
      <c r="AL231" s="11"/>
      <c r="AM231" s="11"/>
      <c r="AN231" s="11"/>
      <c r="AO231" s="11"/>
      <c r="AP231" s="11"/>
      <c r="AQ231" s="11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</row>
    <row r="232" ht="15.75" customHeight="1">
      <c r="A232" s="5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12"/>
      <c r="AJ232" s="13"/>
      <c r="AK232" s="11"/>
      <c r="AL232" s="11"/>
      <c r="AM232" s="11"/>
      <c r="AN232" s="11"/>
      <c r="AO232" s="11"/>
      <c r="AP232" s="11"/>
      <c r="AQ232" s="11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</row>
    <row r="233" ht="15.75" customHeight="1">
      <c r="A233" s="5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12"/>
      <c r="AJ233" s="13"/>
      <c r="AK233" s="11"/>
      <c r="AL233" s="11"/>
      <c r="AM233" s="11"/>
      <c r="AN233" s="11"/>
      <c r="AO233" s="11"/>
      <c r="AP233" s="11"/>
      <c r="AQ233" s="11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</row>
    <row r="234" ht="15.75" customHeight="1">
      <c r="A234" s="5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12"/>
      <c r="AJ234" s="13"/>
      <c r="AK234" s="11"/>
      <c r="AL234" s="11"/>
      <c r="AM234" s="11"/>
      <c r="AN234" s="11"/>
      <c r="AO234" s="11"/>
      <c r="AP234" s="11"/>
      <c r="AQ234" s="11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</row>
    <row r="235" ht="15.75" customHeight="1">
      <c r="A235" s="5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12"/>
      <c r="AJ235" s="13"/>
      <c r="AK235" s="11"/>
      <c r="AL235" s="11"/>
      <c r="AM235" s="11"/>
      <c r="AN235" s="11"/>
      <c r="AO235" s="11"/>
      <c r="AP235" s="11"/>
      <c r="AQ235" s="11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</row>
    <row r="236" ht="15.75" customHeight="1">
      <c r="A236" s="5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12"/>
      <c r="AJ236" s="13"/>
      <c r="AK236" s="11"/>
      <c r="AL236" s="11"/>
      <c r="AM236" s="11"/>
      <c r="AN236" s="11"/>
      <c r="AO236" s="11"/>
      <c r="AP236" s="11"/>
      <c r="AQ236" s="11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</row>
    <row r="237" ht="15.75" customHeight="1">
      <c r="A237" s="5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12"/>
      <c r="AJ237" s="13"/>
      <c r="AK237" s="11"/>
      <c r="AL237" s="11"/>
      <c r="AM237" s="11"/>
      <c r="AN237" s="11"/>
      <c r="AO237" s="11"/>
      <c r="AP237" s="11"/>
      <c r="AQ237" s="11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</row>
    <row r="238" ht="15.75" customHeight="1">
      <c r="A238" s="13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2"/>
      <c r="AJ238" s="13"/>
      <c r="AK238" s="11"/>
      <c r="AL238" s="11"/>
      <c r="AM238" s="11"/>
      <c r="AN238" s="11"/>
      <c r="AO238" s="11"/>
      <c r="AP238" s="11"/>
      <c r="AQ238" s="11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</row>
    <row r="239" ht="15.75" customHeight="1">
      <c r="A239" s="13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2"/>
      <c r="AJ239" s="13"/>
      <c r="AK239" s="11"/>
      <c r="AL239" s="11"/>
      <c r="AM239" s="11"/>
      <c r="AN239" s="11"/>
      <c r="AO239" s="11"/>
      <c r="AP239" s="11"/>
      <c r="AQ239" s="11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</row>
    <row r="240" ht="15.75" customHeight="1">
      <c r="A240" s="13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2"/>
      <c r="AJ240" s="13"/>
      <c r="AK240" s="11"/>
      <c r="AL240" s="11"/>
      <c r="AM240" s="11"/>
      <c r="AN240" s="11"/>
      <c r="AO240" s="11"/>
      <c r="AP240" s="11"/>
      <c r="AQ240" s="11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