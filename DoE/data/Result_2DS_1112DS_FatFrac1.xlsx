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<sst xmlns="http://schemas.openxmlformats.org/spreadsheetml/2006/main" count="695" uniqueCount="232">
  <si>
    <t>Z-Score ERRO</t>
  </si>
  <si>
    <t>Agregadas no Horizonte</t>
  </si>
  <si>
    <t>Acurácia</t>
  </si>
  <si>
    <t>Custo</t>
  </si>
  <si>
    <t>model</t>
  </si>
  <si>
    <t>Z-Score_Composite</t>
  </si>
  <si>
    <t>experiment_folder</t>
  </si>
  <si>
    <t>train_dataset</t>
  </si>
  <si>
    <t>exp_dataset</t>
  </si>
  <si>
    <t>start_training</t>
  </si>
  <si>
    <t>end_training</t>
  </si>
  <si>
    <t>start_pred</t>
  </si>
  <si>
    <t>end_pred</t>
  </si>
  <si>
    <t>group_msec</t>
  </si>
  <si>
    <t>seconds_ahead</t>
  </si>
  <si>
    <t>forecast_steps</t>
  </si>
  <si>
    <t>timesteps_orig</t>
  </si>
  <si>
    <t>Epochs</t>
  </si>
  <si>
    <t>batch_size</t>
  </si>
  <si>
    <t>units_range</t>
  </si>
  <si>
    <t>best_layers</t>
  </si>
  <si>
    <t>best_activation</t>
  </si>
  <si>
    <t>best_optimizer</t>
  </si>
  <si>
    <t>best_dropout</t>
  </si>
  <si>
    <t>best_units_l1</t>
  </si>
  <si>
    <t>best_units_l2</t>
  </si>
  <si>
    <t>train_time_s</t>
  </si>
  <si>
    <t>pred_time_s</t>
  </si>
  <si>
    <t>direct_mae</t>
  </si>
  <si>
    <t>direct_mse</t>
  </si>
  <si>
    <t>direct_rmse</t>
  </si>
  <si>
    <t>direct_r2</t>
  </si>
  <si>
    <t>multi_mae</t>
  </si>
  <si>
    <t>multi_mse</t>
  </si>
  <si>
    <t>multi_rmse</t>
  </si>
  <si>
    <t>multi_r2</t>
  </si>
  <si>
    <t>step1_mae</t>
  </si>
  <si>
    <t>step1_rmse</t>
  </si>
  <si>
    <t>step1_r2</t>
  </si>
  <si>
    <t>stepN_mae</t>
  </si>
  <si>
    <t>stepN_rmse</t>
  </si>
  <si>
    <t>stepN_r2</t>
  </si>
  <si>
    <t>tuner_trials</t>
  </si>
  <si>
    <t>multi_mae_den</t>
  </si>
  <si>
    <t>multi_mse_den</t>
  </si>
  <si>
    <t>multi_rmse_den</t>
  </si>
  <si>
    <t>multi_r2_den</t>
  </si>
  <si>
    <t>step1_mae_den</t>
  </si>
  <si>
    <t>step1_mse_den</t>
  </si>
  <si>
    <t>step1_rmse_den</t>
  </si>
  <si>
    <t>step1_r2_den</t>
  </si>
  <si>
    <t>stepN_mae_den</t>
  </si>
  <si>
    <t>stepN_mse_den</t>
  </si>
  <si>
    <t>stepN_rmse_den</t>
  </si>
  <si>
    <t>stepN_r2_den</t>
  </si>
  <si>
    <t>Z-MAE@1</t>
  </si>
  <si>
    <t>Z-RMSE@1</t>
  </si>
  <si>
    <t>Z-MAE@H</t>
  </si>
  <si>
    <t>Z-RMSE@H</t>
  </si>
  <si>
    <t>Z-MAE@multi</t>
  </si>
  <si>
    <t>Z-RMSE@multi</t>
  </si>
  <si>
    <t>Z-R²@1</t>
  </si>
  <si>
    <t>Z-R²@H</t>
  </si>
  <si>
    <t>Z-R²MedH</t>
  </si>
  <si>
    <t>Z-T@Tra</t>
  </si>
  <si>
    <t>Z-T@Pre</t>
  </si>
  <si>
    <t>GRU</t>
  </si>
  <si>
    <t>experiments\gru_training_report_2025-09-21_22-01-48</t>
  </si>
  <si>
    <t>rssi_odom_dataset_11apr25_isolado.parquet</t>
  </si>
  <si>
    <t>rssi_odom_dataset_12apr25_isolado.parquet</t>
  </si>
  <si>
    <t>2025-09-21_22-01-48</t>
  </si>
  <si>
    <t>2025-09-21_22-06-52</t>
  </si>
  <si>
    <t>2025-09-21_22-09-15</t>
  </si>
  <si>
    <t>100</t>
  </si>
  <si>
    <t>3.0</t>
  </si>
  <si>
    <t>30</t>
  </si>
  <si>
    <t>60</t>
  </si>
  <si>
    <t>1024</t>
  </si>
  <si>
    <t>16-64:16</t>
  </si>
  <si>
    <t>1</t>
  </si>
  <si>
    <t>tanh</t>
  </si>
  <si>
    <t>Nadam</t>
  </si>
  <si>
    <t>0.2</t>
  </si>
  <si>
    <t>64</t>
  </si>
  <si>
    <t>experiments\gru_training_report_2025-09-21_18-49-10</t>
  </si>
  <si>
    <t>2025-09-21_18-49-10</t>
  </si>
  <si>
    <t>2025-09-21_18-57-22</t>
  </si>
  <si>
    <t>2025-09-21_19-03-26</t>
  </si>
  <si>
    <t>40</t>
  </si>
  <si>
    <t>75</t>
  </si>
  <si>
    <t>120</t>
  </si>
  <si>
    <t>2</t>
  </si>
  <si>
    <t>adam</t>
  </si>
  <si>
    <t>64.0</t>
  </si>
  <si>
    <t>LSTM</t>
  </si>
  <si>
    <t>experiments\lstm_training_report_2025-09-22_03-54-30</t>
  </si>
  <si>
    <t>2025-09-22_03-54-30</t>
  </si>
  <si>
    <t>2025-09-22_03-57-46</t>
  </si>
  <si>
    <t>2025-09-22_04-00-02</t>
  </si>
  <si>
    <t>elu</t>
  </si>
  <si>
    <t>16</t>
  </si>
  <si>
    <t>32</t>
  </si>
  <si>
    <t>experiments\gru_training_report_2025-09-21_23-42-16</t>
  </si>
  <si>
    <t>2025-09-21_23-42-16</t>
  </si>
  <si>
    <t>2025-09-21_23-50-31</t>
  </si>
  <si>
    <t>2025-09-21_23-53-23</t>
  </si>
  <si>
    <t>10.0</t>
  </si>
  <si>
    <t>64-256:64</t>
  </si>
  <si>
    <t>256</t>
  </si>
  <si>
    <t>experiments\gru_training_report_2025-09-21_18-09-07</t>
  </si>
  <si>
    <t>2025-09-21_18-09-07</t>
  </si>
  <si>
    <t>2025-09-21_18-22-35</t>
  </si>
  <si>
    <t>2025-09-21_18-28-42</t>
  </si>
  <si>
    <t>experiments\gru_training_report_2025-09-22_00-04-37</t>
  </si>
  <si>
    <t>2025-09-22_00-04-37</t>
  </si>
  <si>
    <t>2025-09-22_00-08-36</t>
  </si>
  <si>
    <t>2025-09-22_00-10-52</t>
  </si>
  <si>
    <t>experiments\lstm_training_report_2025-09-22_04-07-45</t>
  </si>
  <si>
    <t>2025-09-22_04-07-45</t>
  </si>
  <si>
    <t>2025-09-22_04-09-37</t>
  </si>
  <si>
    <t>2025-09-22_04-11-41</t>
  </si>
  <si>
    <t>48</t>
  </si>
  <si>
    <t>experiments\gru_training_report_2025-09-21_22-09-41</t>
  </si>
  <si>
    <t>2025-09-21_22-09-41</t>
  </si>
  <si>
    <t>2025-09-21_22-20-26</t>
  </si>
  <si>
    <t>2025-09-21_22-22-46</t>
  </si>
  <si>
    <t>relu</t>
  </si>
  <si>
    <t>128</t>
  </si>
  <si>
    <t>experiments\lstm_training_report_2025-09-22_00-23-58</t>
  </si>
  <si>
    <t>2025-09-22_00-23-58</t>
  </si>
  <si>
    <t>2025-09-22_00-28-08</t>
  </si>
  <si>
    <t>2025-09-22_00-33-25</t>
  </si>
  <si>
    <t>experiments\lstm_training_report_2025-09-22_03-32-37</t>
  </si>
  <si>
    <t>2025-09-22_03-32-37</t>
  </si>
  <si>
    <t>2025-09-22_03-38-17</t>
  </si>
  <si>
    <t>2025-09-22_03-40-30</t>
  </si>
  <si>
    <t>rmsprop</t>
  </si>
  <si>
    <t>experiments\gru_training_report_2025-09-21_21-56-46</t>
  </si>
  <si>
    <t>2025-09-21_21-56-46</t>
  </si>
  <si>
    <t>2025-09-21_21-59-16</t>
  </si>
  <si>
    <t>2025-09-21_22-01-33</t>
  </si>
  <si>
    <t>32.0</t>
  </si>
  <si>
    <t>experiments\lstm_training_report_2025-09-22_04-11-47</t>
  </si>
  <si>
    <t>2025-09-22_04-11-47</t>
  </si>
  <si>
    <t>2025-09-22_04-14-40</t>
  </si>
  <si>
    <t>2025-09-22_04-16-43</t>
  </si>
  <si>
    <t>experiments\gru_training_report_2025-09-21_18-28-48</t>
  </si>
  <si>
    <t>2025-09-21_18-28-48</t>
  </si>
  <si>
    <t>2025-09-21_18-43-37</t>
  </si>
  <si>
    <t>2025-09-21_18-49-04</t>
  </si>
  <si>
    <t>experiments\gru_training_report_2025-09-21_19-03-32</t>
  </si>
  <si>
    <t>2025-09-21_19-03-32</t>
  </si>
  <si>
    <t>2025-09-21_19-13-46</t>
  </si>
  <si>
    <t>2025-09-21_19-19-19</t>
  </si>
  <si>
    <t>experiments\lstm_training_report_2025-09-22_03-40-37</t>
  </si>
  <si>
    <t>2025-09-22_03-40-37</t>
  </si>
  <si>
    <t>2025-09-22_03-52-10</t>
  </si>
  <si>
    <t>2025-09-22_03-54-24</t>
  </si>
  <si>
    <t>192</t>
  </si>
  <si>
    <t>experiments\gru_training_report_2025-09-21_19-19-24</t>
  </si>
  <si>
    <t>2025-09-21_19-19-24</t>
  </si>
  <si>
    <t>2025-09-21_19-22-49</t>
  </si>
  <si>
    <t>2025-09-21_19-28-22</t>
  </si>
  <si>
    <t>250</t>
  </si>
  <si>
    <t>experiments\lstm_training_report_2025-09-22_04-00-10</t>
  </si>
  <si>
    <t>2025-09-22_04-00-10</t>
  </si>
  <si>
    <t>2025-09-22_04-05-30</t>
  </si>
  <si>
    <t>2025-09-22_04-07-39</t>
  </si>
  <si>
    <t>experiments\gru_training_report_2025-09-21_23-15-20</t>
  </si>
  <si>
    <t>2025-09-21_23-15-20</t>
  </si>
  <si>
    <t>2025-09-21_23-39-45</t>
  </si>
  <si>
    <t>2025-09-21_23-42-10</t>
  </si>
  <si>
    <t>experiments\lstm_training_report_2025-09-22_00-47-42</t>
  </si>
  <si>
    <t>2025-09-22_00-47-42</t>
  </si>
  <si>
    <t>2025-09-22_01-17-50</t>
  </si>
  <si>
    <t>2025-09-22_01-23-44</t>
  </si>
  <si>
    <t>experiments\lstm_training_report_2025-09-22_03-01-07</t>
  </si>
  <si>
    <t>2025-09-22_03-01-07</t>
  </si>
  <si>
    <t>2025-09-22_03-10-18</t>
  </si>
  <si>
    <t>2025-09-22_03-15-45</t>
  </si>
  <si>
    <t>experiments\lstm_training_report_2025-09-22_01-23-52</t>
  </si>
  <si>
    <t>2025-09-22_01-23-52</t>
  </si>
  <si>
    <t>2025-09-22_01-52-18</t>
  </si>
  <si>
    <t>2025-09-22_01-57-45</t>
  </si>
  <si>
    <t>experiments\lstm_training_report_2025-09-22_01-57-52</t>
  </si>
  <si>
    <t>2025-09-22_01-57-52</t>
  </si>
  <si>
    <t>2025-09-22_02-09-55</t>
  </si>
  <si>
    <t>2025-09-22_02-15-30</t>
  </si>
  <si>
    <t>experiments\lstm_training_report_2025-09-22_04-16-49</t>
  </si>
  <si>
    <t>2025-09-22_04-16-49</t>
  </si>
  <si>
    <t>2025-09-22_04-29-51</t>
  </si>
  <si>
    <t>2025-09-22_04-32-05</t>
  </si>
  <si>
    <t>experiments\lstm_training_report_2025-09-22_00-33-33</t>
  </si>
  <si>
    <t>2025-09-22_00-33-33</t>
  </si>
  <si>
    <t>2025-09-22_00-42-06</t>
  </si>
  <si>
    <t>2025-09-22_00-47-32</t>
  </si>
  <si>
    <t>experiments\gru_training_report_2025-09-21_23-53-33</t>
  </si>
  <si>
    <t>2025-09-21_23-53-33</t>
  </si>
  <si>
    <t>2025-09-22_00-02-11</t>
  </si>
  <si>
    <t>2025-09-22_00-04-28</t>
  </si>
  <si>
    <t>experiments\gru_training_report_2025-09-21_19-46-03</t>
  </si>
  <si>
    <t>2025-09-21_19-46-03</t>
  </si>
  <si>
    <t>2025-09-21_20-10-48</t>
  </si>
  <si>
    <t>2025-09-21_20-16-55</t>
  </si>
  <si>
    <t>experiments\gru_training_report_2025-09-21_19-28-34</t>
  </si>
  <si>
    <t>2025-09-21_19-28-34</t>
  </si>
  <si>
    <t>2025-09-21_19-39-17</t>
  </si>
  <si>
    <t>2025-09-21_19-45-45</t>
  </si>
  <si>
    <t>16.0</t>
  </si>
  <si>
    <t>experiments\lstm_training_report_2025-09-22_04-32-14</t>
  </si>
  <si>
    <t>2025-09-22_04-32-14</t>
  </si>
  <si>
    <t>2025-09-22_04-57-25</t>
  </si>
  <si>
    <t>2025-09-22_04-59-47</t>
  </si>
  <si>
    <t>experiments\gru_training_report_2025-09-22_00-10-59</t>
  </si>
  <si>
    <t>2025-09-22_00-10-59</t>
  </si>
  <si>
    <t>2025-09-22_00-21-36</t>
  </si>
  <si>
    <t>2025-09-22_00-23-51</t>
  </si>
  <si>
    <t>experiments\lstm_training_report_2025-09-22_02-15-41</t>
  </si>
  <si>
    <t>2025-09-22_02-15-41</t>
  </si>
  <si>
    <t>2025-09-22_02-55-37</t>
  </si>
  <si>
    <t>2025-09-22_03-00-53</t>
  </si>
  <si>
    <t>experiments\lstm_training_report_2025-09-22_03-15-58</t>
  </si>
  <si>
    <t>2025-09-22_03-15-58</t>
  </si>
  <si>
    <t>2025-09-22_03-26-57</t>
  </si>
  <si>
    <t>2025-09-22_03-32-23</t>
  </si>
  <si>
    <t>experiments\gru_training_report_2025-09-21_20-17-09</t>
  </si>
  <si>
    <t>2025-09-21_20-17-09</t>
  </si>
  <si>
    <t>2025-09-21_21-49-55</t>
  </si>
  <si>
    <t>2025-09-21_21-56-34</t>
  </si>
  <si>
    <t>256.0</t>
  </si>
  <si>
    <t>Médias</t>
  </si>
  <si>
    <t>Desvio padrão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</si>
</sst>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  <font>
      <i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0" fillId="0" fontId="1" numFmtId="2" xfId="0" applyAlignment="1" applyFont="1" applyNumberFormat="1">
      <alignment horizontal="right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6" fillId="2" fontId="3" numFmtId="0" xfId="0" applyAlignment="1" applyBorder="1" applyFill="1" applyFont="1">
      <alignment horizontal="center" vertical="bottom"/>
    </xf>
    <xf borderId="6" fillId="0" fontId="4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3" t="s">
        <v>0</v>
      </c>
      <c r="BA1" s="4"/>
      <c r="BB1" s="4"/>
      <c r="BC1" s="5"/>
      <c r="BD1" s="3" t="s">
        <v>1</v>
      </c>
      <c r="BE1" s="5"/>
      <c r="BF1" s="3" t="s">
        <v>2</v>
      </c>
      <c r="BG1" s="4"/>
      <c r="BH1" s="5"/>
      <c r="BI1" s="6" t="s">
        <v>3</v>
      </c>
      <c r="BK1" s="7"/>
    </row>
    <row r="2">
      <c r="A2" s="8" t="s">
        <v>4</v>
      </c>
      <c r="B2" s="9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8" t="s">
        <v>18</v>
      </c>
      <c r="P2" s="8" t="s">
        <v>19</v>
      </c>
      <c r="Q2" s="8" t="s">
        <v>20</v>
      </c>
      <c r="R2" s="8" t="s">
        <v>21</v>
      </c>
      <c r="S2" s="8" t="s">
        <v>22</v>
      </c>
      <c r="T2" s="8" t="s">
        <v>23</v>
      </c>
      <c r="U2" s="8" t="s">
        <v>24</v>
      </c>
      <c r="V2" s="8" t="s">
        <v>25</v>
      </c>
      <c r="W2" s="8" t="s">
        <v>26</v>
      </c>
      <c r="X2" s="8" t="s">
        <v>27</v>
      </c>
      <c r="Y2" s="8" t="s">
        <v>28</v>
      </c>
      <c r="Z2" s="8" t="s">
        <v>29</v>
      </c>
      <c r="AA2" s="8" t="s">
        <v>30</v>
      </c>
      <c r="AB2" s="8" t="s">
        <v>31</v>
      </c>
      <c r="AC2" s="8" t="s">
        <v>32</v>
      </c>
      <c r="AD2" s="8" t="s">
        <v>33</v>
      </c>
      <c r="AE2" s="8" t="s">
        <v>34</v>
      </c>
      <c r="AF2" s="8" t="s">
        <v>35</v>
      </c>
      <c r="AG2" s="8" t="s">
        <v>36</v>
      </c>
      <c r="AH2" s="8" t="s">
        <v>37</v>
      </c>
      <c r="AI2" s="8" t="s">
        <v>38</v>
      </c>
      <c r="AJ2" s="8" t="s">
        <v>39</v>
      </c>
      <c r="AK2" s="8" t="s">
        <v>40</v>
      </c>
      <c r="AL2" s="8" t="s">
        <v>41</v>
      </c>
      <c r="AM2" s="8" t="s">
        <v>42</v>
      </c>
      <c r="AN2" s="8" t="s">
        <v>43</v>
      </c>
      <c r="AO2" s="8" t="s">
        <v>44</v>
      </c>
      <c r="AP2" s="8" t="s">
        <v>45</v>
      </c>
      <c r="AQ2" s="8" t="s">
        <v>46</v>
      </c>
      <c r="AR2" s="8" t="s">
        <v>47</v>
      </c>
      <c r="AS2" s="8" t="s">
        <v>48</v>
      </c>
      <c r="AT2" s="8" t="s">
        <v>49</v>
      </c>
      <c r="AU2" s="8" t="s">
        <v>50</v>
      </c>
      <c r="AV2" s="8" t="s">
        <v>51</v>
      </c>
      <c r="AW2" s="8" t="s">
        <v>52</v>
      </c>
      <c r="AX2" s="8" t="s">
        <v>53</v>
      </c>
      <c r="AY2" s="8" t="s">
        <v>54</v>
      </c>
      <c r="AZ2" s="10" t="s">
        <v>55</v>
      </c>
      <c r="BA2" s="11" t="s">
        <v>56</v>
      </c>
      <c r="BB2" s="11" t="s">
        <v>57</v>
      </c>
      <c r="BC2" s="12" t="s">
        <v>58</v>
      </c>
      <c r="BD2" s="10" t="s">
        <v>59</v>
      </c>
      <c r="BE2" s="12" t="s">
        <v>60</v>
      </c>
      <c r="BF2" s="10" t="s">
        <v>61</v>
      </c>
      <c r="BG2" s="11" t="s">
        <v>62</v>
      </c>
      <c r="BH2" s="12" t="s">
        <v>63</v>
      </c>
      <c r="BI2" s="1" t="s">
        <v>64</v>
      </c>
      <c r="BJ2" s="1" t="s">
        <v>65</v>
      </c>
      <c r="BK2" s="1"/>
    </row>
    <row r="3">
      <c r="A3" s="1" t="s">
        <v>66</v>
      </c>
      <c r="B3" s="13">
        <f t="shared" ref="B3:B34" si="2">(((1*AZ3)+(1*BA3)+(1*BB3)+(1*BC3)+(1*BD3)+(1*BE3)+(1*BF3)+(3*BG3)+(2*BH3)+(3*BI3)+(2*BJ3))/17)*-1</f>
        <v>0.856863999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H3" s="1" t="s">
        <v>71</v>
      </c>
      <c r="I3" s="1" t="s">
        <v>72</v>
      </c>
      <c r="J3" s="14" t="s">
        <v>73</v>
      </c>
      <c r="K3" s="1" t="s">
        <v>74</v>
      </c>
      <c r="L3" s="14" t="s">
        <v>75</v>
      </c>
      <c r="M3" s="14" t="s">
        <v>76</v>
      </c>
      <c r="N3" s="15">
        <v>150.0</v>
      </c>
      <c r="O3" s="14" t="s">
        <v>77</v>
      </c>
      <c r="P3" s="1" t="s">
        <v>78</v>
      </c>
      <c r="Q3" s="14" t="s">
        <v>79</v>
      </c>
      <c r="R3" s="1" t="s">
        <v>80</v>
      </c>
      <c r="S3" s="1" t="s">
        <v>81</v>
      </c>
      <c r="T3" s="1" t="s">
        <v>82</v>
      </c>
      <c r="U3" s="14" t="s">
        <v>83</v>
      </c>
      <c r="V3" s="1"/>
      <c r="W3" s="16">
        <v>303.687678337097</v>
      </c>
      <c r="X3" s="16">
        <v>143.72276353836</v>
      </c>
      <c r="Y3" s="17">
        <v>2.69905057630994</v>
      </c>
      <c r="Z3" s="17">
        <v>11.2464119750993</v>
      </c>
      <c r="AA3" s="17">
        <v>3.35356705242333</v>
      </c>
      <c r="AB3" s="17">
        <v>0.668393528413039</v>
      </c>
      <c r="AC3" s="17">
        <v>0.0959354510783001</v>
      </c>
      <c r="AD3" s="17">
        <v>0.0133178047779409</v>
      </c>
      <c r="AE3" s="17">
        <v>0.115402793631441</v>
      </c>
      <c r="AF3" s="17">
        <v>0.715536582262152</v>
      </c>
      <c r="AG3" s="17">
        <v>0.0962863074558494</v>
      </c>
      <c r="AH3" s="17">
        <v>0.115621854754084</v>
      </c>
      <c r="AI3" s="17">
        <v>0.71672684714253</v>
      </c>
      <c r="AJ3" s="17">
        <v>0.111318499125687</v>
      </c>
      <c r="AK3" s="17">
        <v>0.139422327645695</v>
      </c>
      <c r="AL3" s="17">
        <v>0.591365690145446</v>
      </c>
      <c r="AM3" s="17">
        <v>10.0</v>
      </c>
      <c r="AN3" s="17">
        <v>2.35291065297217</v>
      </c>
      <c r="AO3" s="17">
        <v>8.5467857079264</v>
      </c>
      <c r="AP3" s="17">
        <v>2.92348861942823</v>
      </c>
      <c r="AQ3" s="17">
        <v>0.668295207159235</v>
      </c>
      <c r="AR3" s="17">
        <v>2.24534319747737</v>
      </c>
      <c r="AS3" s="17">
        <v>7.26969621692764</v>
      </c>
      <c r="AT3" s="17">
        <v>2.6962374185015</v>
      </c>
      <c r="AU3" s="17">
        <v>0.71672684714253</v>
      </c>
      <c r="AV3" s="17">
        <v>2.59588555600041</v>
      </c>
      <c r="AW3" s="17">
        <v>10.5706345205792</v>
      </c>
      <c r="AX3" s="17">
        <v>3.25125122384893</v>
      </c>
      <c r="AY3" s="17">
        <v>0.591365690145446</v>
      </c>
      <c r="AZ3" s="18">
        <f t="shared" ref="AZ3:AZ6" si="3">(AG3-$AG$36)/AG$37</f>
        <v>-0.5064245823</v>
      </c>
      <c r="BA3" s="18">
        <f t="shared" ref="BA3:BA6" si="4">(AH3-AH$36)/AH$37</f>
        <v>-0.5484036408</v>
      </c>
      <c r="BB3" s="18">
        <f t="shared" ref="BB3:BB34" si="5">(AV3-AV$36)/AV$37</f>
        <v>-1.186130445</v>
      </c>
      <c r="BC3" s="18">
        <f t="shared" ref="BC3:BC34" si="6">(AX3-AX$36)/AX$37</f>
        <v>-1.205583928</v>
      </c>
      <c r="BD3" s="18">
        <f t="shared" ref="BD3:BD34" si="7">(AN3-AN$36)/AN$37</f>
        <v>-1.266580103</v>
      </c>
      <c r="BE3" s="18">
        <f t="shared" ref="BE3:BE34" si="8">(AP3-AP$36)/AP$37</f>
        <v>-1.294641332</v>
      </c>
      <c r="BF3" s="18">
        <f t="shared" ref="BF3:BF34" si="9">-((AU3-AU$36)/AU$37)</f>
        <v>-0.6683852089</v>
      </c>
      <c r="BG3" s="18">
        <f t="shared" ref="BG3:BG34" si="10">-((AY3-AY$36)/AY$37)</f>
        <v>-0.8355895088</v>
      </c>
      <c r="BH3" s="18">
        <f t="shared" ref="BH3:BH34" si="11">-((AQ3-AQ$36)/AQ$37)</f>
        <v>-0.9476390846</v>
      </c>
      <c r="BI3" s="18">
        <f t="shared" ref="BI3:BJ3" si="1">((W3-W$36)/W$37)</f>
        <v>-0.5567679558</v>
      </c>
      <c r="BJ3" s="18">
        <f t="shared" si="1"/>
        <v>-0.9090940903</v>
      </c>
      <c r="BK3" s="2"/>
    </row>
    <row r="4">
      <c r="A4" s="1" t="s">
        <v>66</v>
      </c>
      <c r="B4" s="13">
        <f t="shared" si="2"/>
        <v>0.8123866823</v>
      </c>
      <c r="C4" s="1" t="s">
        <v>84</v>
      </c>
      <c r="D4" s="1" t="s">
        <v>68</v>
      </c>
      <c r="E4" s="1" t="s">
        <v>69</v>
      </c>
      <c r="F4" s="1" t="s">
        <v>85</v>
      </c>
      <c r="G4" s="1" t="s">
        <v>86</v>
      </c>
      <c r="H4" s="1" t="s">
        <v>86</v>
      </c>
      <c r="I4" s="1" t="s">
        <v>87</v>
      </c>
      <c r="J4" s="14" t="s">
        <v>88</v>
      </c>
      <c r="K4" s="1" t="s">
        <v>74</v>
      </c>
      <c r="L4" s="14" t="s">
        <v>89</v>
      </c>
      <c r="M4" s="14" t="s">
        <v>90</v>
      </c>
      <c r="N4" s="15">
        <v>20.0</v>
      </c>
      <c r="O4" s="14" t="s">
        <v>77</v>
      </c>
      <c r="P4" s="1" t="s">
        <v>78</v>
      </c>
      <c r="Q4" s="14" t="s">
        <v>91</v>
      </c>
      <c r="R4" s="1" t="s">
        <v>80</v>
      </c>
      <c r="S4" s="1" t="s">
        <v>92</v>
      </c>
      <c r="T4" s="1" t="s">
        <v>82</v>
      </c>
      <c r="U4" s="14" t="s">
        <v>83</v>
      </c>
      <c r="V4" s="1" t="s">
        <v>93</v>
      </c>
      <c r="W4" s="16">
        <v>491.42365860939</v>
      </c>
      <c r="X4" s="16">
        <v>364.552724838256</v>
      </c>
      <c r="Y4" s="17">
        <v>2.40664525644583</v>
      </c>
      <c r="Z4" s="17">
        <v>9.22830855854984</v>
      </c>
      <c r="AA4" s="17">
        <v>3.03781312107078</v>
      </c>
      <c r="AB4" s="17">
        <v>0.721666516878547</v>
      </c>
      <c r="AC4" s="17">
        <v>0.0653246841768267</v>
      </c>
      <c r="AD4" s="17">
        <v>0.0064707914800285</v>
      </c>
      <c r="AE4" s="17">
        <v>0.0804412299758558</v>
      </c>
      <c r="AF4" s="17">
        <v>0.848636593112722</v>
      </c>
      <c r="AG4" s="17">
        <v>0.0655819513910241</v>
      </c>
      <c r="AH4" s="17">
        <v>0.0806058907060662</v>
      </c>
      <c r="AI4" s="17">
        <v>0.849217706773491</v>
      </c>
      <c r="AJ4" s="17">
        <v>0.104970170769907</v>
      </c>
      <c r="AK4" s="17">
        <v>0.131365690360024</v>
      </c>
      <c r="AL4" s="17">
        <v>0.603141841892997</v>
      </c>
      <c r="AM4" s="17">
        <v>10.0</v>
      </c>
      <c r="AN4" s="17">
        <v>2.1311858596237</v>
      </c>
      <c r="AO4" s="17">
        <v>7.23670052408563</v>
      </c>
      <c r="AP4" s="17">
        <v>2.69011161926148</v>
      </c>
      <c r="AQ4" s="17">
        <v>0.721537598046461</v>
      </c>
      <c r="AR4" s="17">
        <v>1.60675780908005</v>
      </c>
      <c r="AS4" s="17">
        <v>3.9000100973151</v>
      </c>
      <c r="AT4" s="17">
        <v>1.97484432229862</v>
      </c>
      <c r="AU4" s="17">
        <v>0.849217706773491</v>
      </c>
      <c r="AV4" s="17">
        <v>2.57176918386272</v>
      </c>
      <c r="AW4" s="17">
        <v>10.3584809984103</v>
      </c>
      <c r="AX4" s="17">
        <v>3.21845941382058</v>
      </c>
      <c r="AY4" s="17">
        <v>0.603141841892997</v>
      </c>
      <c r="AZ4" s="18">
        <f t="shared" si="3"/>
        <v>-1.587660355</v>
      </c>
      <c r="BA4" s="18">
        <f t="shared" si="4"/>
        <v>-1.578657317</v>
      </c>
      <c r="BB4" s="18">
        <f t="shared" si="5"/>
        <v>-1.221936533</v>
      </c>
      <c r="BC4" s="18">
        <f t="shared" si="6"/>
        <v>-1.242081743</v>
      </c>
      <c r="BD4" s="18">
        <f t="shared" si="7"/>
        <v>-1.584984327</v>
      </c>
      <c r="BE4" s="18">
        <f t="shared" si="8"/>
        <v>-1.559670304</v>
      </c>
      <c r="BF4" s="18">
        <f t="shared" si="9"/>
        <v>-1.264465732</v>
      </c>
      <c r="BG4" s="18">
        <f t="shared" si="10"/>
        <v>-0.8784328264</v>
      </c>
      <c r="BH4" s="18">
        <f t="shared" si="11"/>
        <v>-1.166374772</v>
      </c>
      <c r="BI4" s="18">
        <f t="shared" ref="BI4:BJ4" si="12">((W4-W$36)/W$37)</f>
        <v>-0.3726588396</v>
      </c>
      <c r="BJ4" s="18">
        <f t="shared" si="12"/>
        <v>1.157453627</v>
      </c>
      <c r="BK4" s="2"/>
    </row>
    <row r="5">
      <c r="A5" s="1" t="s">
        <v>94</v>
      </c>
      <c r="B5" s="13">
        <f t="shared" si="2"/>
        <v>0.7978342359</v>
      </c>
      <c r="C5" s="1" t="s">
        <v>95</v>
      </c>
      <c r="D5" s="1" t="s">
        <v>68</v>
      </c>
      <c r="E5" s="1" t="s">
        <v>69</v>
      </c>
      <c r="F5" s="1" t="s">
        <v>96</v>
      </c>
      <c r="G5" s="1" t="s">
        <v>97</v>
      </c>
      <c r="H5" s="1" t="s">
        <v>97</v>
      </c>
      <c r="I5" s="1" t="s">
        <v>98</v>
      </c>
      <c r="J5" s="14" t="s">
        <v>73</v>
      </c>
      <c r="K5" s="1" t="s">
        <v>74</v>
      </c>
      <c r="L5" s="14" t="s">
        <v>75</v>
      </c>
      <c r="M5" s="14" t="s">
        <v>90</v>
      </c>
      <c r="N5" s="15">
        <v>20.0</v>
      </c>
      <c r="O5" s="14" t="s">
        <v>77</v>
      </c>
      <c r="P5" s="1" t="s">
        <v>78</v>
      </c>
      <c r="Q5" s="14" t="s">
        <v>91</v>
      </c>
      <c r="R5" s="1" t="s">
        <v>99</v>
      </c>
      <c r="S5" s="1" t="s">
        <v>92</v>
      </c>
      <c r="T5" s="1" t="s">
        <v>82</v>
      </c>
      <c r="U5" s="14" t="s">
        <v>100</v>
      </c>
      <c r="V5" s="14" t="s">
        <v>101</v>
      </c>
      <c r="W5" s="16">
        <v>195.392321109771</v>
      </c>
      <c r="X5" s="16">
        <v>136.30793094635</v>
      </c>
      <c r="Y5" s="17">
        <v>2.74305446878024</v>
      </c>
      <c r="Z5" s="17">
        <v>12.3886998131341</v>
      </c>
      <c r="AA5" s="17">
        <v>3.51975848789858</v>
      </c>
      <c r="AB5" s="17">
        <v>0.630320458533967</v>
      </c>
      <c r="AC5" s="17">
        <v>0.0928868576975259</v>
      </c>
      <c r="AD5" s="17">
        <v>0.0140144111224035</v>
      </c>
      <c r="AE5" s="17">
        <v>0.118382478105518</v>
      </c>
      <c r="AF5" s="17">
        <v>0.697260400047184</v>
      </c>
      <c r="AG5" s="17">
        <v>0.0934553540313069</v>
      </c>
      <c r="AH5" s="17">
        <v>0.118811920035597</v>
      </c>
      <c r="AI5" s="17">
        <v>0.697730247000659</v>
      </c>
      <c r="AJ5" s="17">
        <v>0.0998425882764081</v>
      </c>
      <c r="AK5" s="17">
        <v>0.130010208932146</v>
      </c>
      <c r="AL5" s="17">
        <v>0.640075239082765</v>
      </c>
      <c r="AM5" s="17">
        <v>10.0</v>
      </c>
      <c r="AN5" s="17">
        <v>2.74305446878025</v>
      </c>
      <c r="AO5" s="17">
        <v>12.3886998131341</v>
      </c>
      <c r="AP5" s="17">
        <v>3.51975848789858</v>
      </c>
      <c r="AQ5" s="17">
        <v>0.630303596218458</v>
      </c>
      <c r="AR5" s="17">
        <v>2.49993072033746</v>
      </c>
      <c r="AS5" s="17">
        <v>10.1010751281124</v>
      </c>
      <c r="AT5" s="17">
        <v>3.17821886095222</v>
      </c>
      <c r="AU5" s="17">
        <v>0.697730247000659</v>
      </c>
      <c r="AV5" s="17">
        <v>2.67078923639391</v>
      </c>
      <c r="AW5" s="17">
        <v>12.09490565812</v>
      </c>
      <c r="AX5" s="17">
        <v>3.47777308893493</v>
      </c>
      <c r="AY5" s="17">
        <v>0.640075239082765</v>
      </c>
      <c r="AZ5" s="18">
        <f t="shared" si="3"/>
        <v>-0.606114936</v>
      </c>
      <c r="BA5" s="18">
        <f t="shared" si="4"/>
        <v>-0.4545442663</v>
      </c>
      <c r="BB5" s="18">
        <f t="shared" si="5"/>
        <v>-1.074919364</v>
      </c>
      <c r="BC5" s="18">
        <f t="shared" si="6"/>
        <v>-0.9534614275</v>
      </c>
      <c r="BD5" s="18">
        <f t="shared" si="7"/>
        <v>-0.7063205253</v>
      </c>
      <c r="BE5" s="18">
        <f t="shared" si="8"/>
        <v>-0.6175018108</v>
      </c>
      <c r="BF5" s="18">
        <f t="shared" si="9"/>
        <v>-0.5829189105</v>
      </c>
      <c r="BG5" s="18">
        <f t="shared" si="10"/>
        <v>-1.012801787</v>
      </c>
      <c r="BH5" s="18">
        <f t="shared" si="11"/>
        <v>-0.7915581689</v>
      </c>
      <c r="BI5" s="18">
        <f t="shared" ref="BI5:BJ5" si="13">((W5-W$36)/W$37)</f>
        <v>-0.6629711593</v>
      </c>
      <c r="BJ5" s="18">
        <f t="shared" si="13"/>
        <v>-0.9784827968</v>
      </c>
      <c r="BK5" s="2"/>
    </row>
    <row r="6">
      <c r="A6" s="1" t="s">
        <v>66</v>
      </c>
      <c r="B6" s="13">
        <f t="shared" si="2"/>
        <v>0.7616411823</v>
      </c>
      <c r="C6" s="1" t="s">
        <v>102</v>
      </c>
      <c r="D6" s="1" t="s">
        <v>68</v>
      </c>
      <c r="E6" s="1" t="s">
        <v>69</v>
      </c>
      <c r="F6" s="1" t="s">
        <v>103</v>
      </c>
      <c r="G6" s="1" t="s">
        <v>104</v>
      </c>
      <c r="H6" s="1" t="s">
        <v>104</v>
      </c>
      <c r="I6" s="1" t="s">
        <v>105</v>
      </c>
      <c r="J6" s="14" t="s">
        <v>73</v>
      </c>
      <c r="K6" s="1" t="s">
        <v>106</v>
      </c>
      <c r="L6" s="14" t="s">
        <v>73</v>
      </c>
      <c r="M6" s="14" t="s">
        <v>76</v>
      </c>
      <c r="N6" s="15">
        <v>20.0</v>
      </c>
      <c r="O6" s="14" t="s">
        <v>77</v>
      </c>
      <c r="P6" s="1" t="s">
        <v>107</v>
      </c>
      <c r="Q6" s="14" t="s">
        <v>91</v>
      </c>
      <c r="R6" s="1" t="s">
        <v>99</v>
      </c>
      <c r="S6" s="1" t="s">
        <v>81</v>
      </c>
      <c r="T6" s="1" t="s">
        <v>82</v>
      </c>
      <c r="U6" s="14" t="s">
        <v>83</v>
      </c>
      <c r="V6" s="14" t="s">
        <v>108</v>
      </c>
      <c r="W6" s="16">
        <v>494.781337738037</v>
      </c>
      <c r="X6" s="16">
        <v>172.102817773818</v>
      </c>
      <c r="Y6" s="17">
        <v>2.59425281292854</v>
      </c>
      <c r="Z6" s="17">
        <v>11.119143704013</v>
      </c>
      <c r="AA6" s="17">
        <v>3.3345380045837</v>
      </c>
      <c r="AB6" s="17">
        <v>0.666903004223522</v>
      </c>
      <c r="AC6" s="17">
        <v>0.0732074549721022</v>
      </c>
      <c r="AD6" s="17">
        <v>0.00829838155211527</v>
      </c>
      <c r="AE6" s="17">
        <v>0.0910954529716784</v>
      </c>
      <c r="AF6" s="17">
        <v>0.816165609793685</v>
      </c>
      <c r="AG6" s="17">
        <v>0.074090144845197</v>
      </c>
      <c r="AH6" s="17">
        <v>0.0917184897087437</v>
      </c>
      <c r="AI6" s="17">
        <v>0.817810344465813</v>
      </c>
      <c r="AJ6" s="17">
        <v>0.11209179016278</v>
      </c>
      <c r="AK6" s="17">
        <v>0.144043713658187</v>
      </c>
      <c r="AL6" s="17">
        <v>0.557371890301665</v>
      </c>
      <c r="AM6" s="17">
        <v>10.0</v>
      </c>
      <c r="AN6" s="17">
        <v>2.59425281292854</v>
      </c>
      <c r="AO6" s="17">
        <v>11.119143704013</v>
      </c>
      <c r="AP6" s="17">
        <v>3.3345380045837</v>
      </c>
      <c r="AQ6" s="17">
        <v>0.666704843364956</v>
      </c>
      <c r="AR6" s="17">
        <v>1.98191137460902</v>
      </c>
      <c r="AS6" s="17">
        <v>6.01951307669574</v>
      </c>
      <c r="AT6" s="17">
        <v>2.45346959970889</v>
      </c>
      <c r="AU6" s="17">
        <v>0.817810344465813</v>
      </c>
      <c r="AV6" s="17">
        <v>2.99845538685436</v>
      </c>
      <c r="AW6" s="17">
        <v>14.8469139654634</v>
      </c>
      <c r="AX6" s="17">
        <v>3.85316934035651</v>
      </c>
      <c r="AY6" s="17">
        <v>0.557371890301665</v>
      </c>
      <c r="AZ6" s="18">
        <f t="shared" si="3"/>
        <v>-1.288049345</v>
      </c>
      <c r="BA6" s="18">
        <f t="shared" si="4"/>
        <v>-1.251697992</v>
      </c>
      <c r="BB6" s="18">
        <f t="shared" si="5"/>
        <v>-0.5884264913</v>
      </c>
      <c r="BC6" s="18">
        <f t="shared" si="6"/>
        <v>-0.5356393272</v>
      </c>
      <c r="BD6" s="18">
        <f t="shared" si="7"/>
        <v>-0.9200046835</v>
      </c>
      <c r="BE6" s="18">
        <f t="shared" si="8"/>
        <v>-0.8278429936</v>
      </c>
      <c r="BF6" s="18">
        <f t="shared" si="9"/>
        <v>-1.123163026</v>
      </c>
      <c r="BG6" s="18">
        <f t="shared" si="10"/>
        <v>-0.7119152225</v>
      </c>
      <c r="BH6" s="18">
        <f t="shared" si="11"/>
        <v>-0.9411053939</v>
      </c>
      <c r="BI6" s="18">
        <f t="shared" ref="BI6:BJ6" si="14">((W6-W$36)/W$37)</f>
        <v>-0.3693660273</v>
      </c>
      <c r="BJ6" s="18">
        <f t="shared" si="14"/>
        <v>-0.6435108518</v>
      </c>
      <c r="BK6" s="2"/>
    </row>
    <row r="7">
      <c r="A7" s="1" t="s">
        <v>66</v>
      </c>
      <c r="B7" s="13">
        <f t="shared" si="2"/>
        <v>0.7306466454</v>
      </c>
      <c r="C7" s="1" t="s">
        <v>109</v>
      </c>
      <c r="D7" s="1" t="s">
        <v>68</v>
      </c>
      <c r="E7" s="1" t="s">
        <v>69</v>
      </c>
      <c r="F7" s="1" t="s">
        <v>110</v>
      </c>
      <c r="G7" s="1" t="s">
        <v>111</v>
      </c>
      <c r="H7" s="1" t="s">
        <v>111</v>
      </c>
      <c r="I7" s="1" t="s">
        <v>112</v>
      </c>
      <c r="J7" s="14" t="s">
        <v>88</v>
      </c>
      <c r="K7" s="1" t="s">
        <v>74</v>
      </c>
      <c r="L7" s="14" t="s">
        <v>89</v>
      </c>
      <c r="M7" s="14" t="s">
        <v>76</v>
      </c>
      <c r="N7" s="15">
        <v>20.0</v>
      </c>
      <c r="O7" s="14" t="s">
        <v>77</v>
      </c>
      <c r="P7" s="1" t="s">
        <v>107</v>
      </c>
      <c r="Q7" s="14" t="s">
        <v>79</v>
      </c>
      <c r="R7" s="1" t="s">
        <v>99</v>
      </c>
      <c r="S7" s="1" t="s">
        <v>81</v>
      </c>
      <c r="T7" s="1" t="s">
        <v>82</v>
      </c>
      <c r="U7" s="14" t="s">
        <v>108</v>
      </c>
      <c r="V7" s="1"/>
      <c r="W7" s="16">
        <v>807.953213214874</v>
      </c>
      <c r="X7" s="16">
        <v>366.853484392166</v>
      </c>
      <c r="Y7" s="17">
        <v>2.45919224132798</v>
      </c>
      <c r="Z7" s="17">
        <v>9.48315938808969</v>
      </c>
      <c r="AA7" s="17">
        <v>3.07947388170279</v>
      </c>
      <c r="AB7" s="17">
        <v>0.713975648340263</v>
      </c>
      <c r="AC7" s="17">
        <v>0.0778849524696821</v>
      </c>
      <c r="AD7" s="17">
        <v>0.0087523365564011</v>
      </c>
      <c r="AE7" s="17">
        <v>0.0935539232549933</v>
      </c>
      <c r="AF7" s="17">
        <v>0.796287658580634</v>
      </c>
      <c r="AG7" s="17">
        <v>0.0781436095805824</v>
      </c>
      <c r="AH7" s="17">
        <v>0.0937095311830689</v>
      </c>
      <c r="AI7" s="17">
        <v>0.797159450291663</v>
      </c>
      <c r="AJ7" s="17">
        <v>0.0988554490639409</v>
      </c>
      <c r="AK7" s="17">
        <v>0.124802880324619</v>
      </c>
      <c r="AL7" s="17">
        <v>0.641310966423336</v>
      </c>
      <c r="AM7" s="17">
        <v>10.0</v>
      </c>
      <c r="AN7" s="17">
        <v>2.17771843057356</v>
      </c>
      <c r="AO7" s="17">
        <v>7.43655070464618</v>
      </c>
      <c r="AP7" s="17">
        <v>2.72700397958018</v>
      </c>
      <c r="AQ7" s="17">
        <v>0.713938894728297</v>
      </c>
      <c r="AR7" s="17">
        <v>1.91451843472421</v>
      </c>
      <c r="AS7" s="17">
        <v>5.27108110978897</v>
      </c>
      <c r="AT7" s="17">
        <v>2.29588351398518</v>
      </c>
      <c r="AU7" s="17">
        <v>0.797159450291663</v>
      </c>
      <c r="AV7" s="17">
        <v>2.42195850206654</v>
      </c>
      <c r="AW7" s="17">
        <v>9.34934930212708</v>
      </c>
      <c r="AX7" s="17">
        <v>3.05767056795317</v>
      </c>
      <c r="AY7" s="17">
        <v>0.641310966423335</v>
      </c>
      <c r="AZ7" s="18">
        <f t="shared" ref="AZ7:BA7" si="15">(AG7-AG$36)/AG$37</f>
        <v>-1.145308978</v>
      </c>
      <c r="BA7" s="18">
        <f t="shared" si="15"/>
        <v>-1.193116775</v>
      </c>
      <c r="BB7" s="18">
        <f t="shared" si="5"/>
        <v>-1.444363625</v>
      </c>
      <c r="BC7" s="18">
        <f t="shared" si="6"/>
        <v>-1.421042329</v>
      </c>
      <c r="BD7" s="18">
        <f t="shared" si="7"/>
        <v>-1.518161998</v>
      </c>
      <c r="BE7" s="18">
        <f t="shared" si="8"/>
        <v>-1.517774383</v>
      </c>
      <c r="BF7" s="18">
        <f t="shared" si="9"/>
        <v>-1.030254007</v>
      </c>
      <c r="BG7" s="18">
        <f t="shared" si="10"/>
        <v>-1.017297539</v>
      </c>
      <c r="BH7" s="18">
        <f t="shared" si="11"/>
        <v>-1.135157023</v>
      </c>
      <c r="BI7" s="18">
        <f t="shared" ref="BI7:BJ7" si="16">((W7-W$36)/W$37)</f>
        <v>-0.06224430691</v>
      </c>
      <c r="BJ7" s="18">
        <f t="shared" si="16"/>
        <v>1.178984353</v>
      </c>
      <c r="BK7" s="2"/>
    </row>
    <row r="8">
      <c r="A8" s="1" t="s">
        <v>66</v>
      </c>
      <c r="B8" s="13">
        <f t="shared" si="2"/>
        <v>0.7169485105</v>
      </c>
      <c r="C8" s="1" t="s">
        <v>113</v>
      </c>
      <c r="D8" s="1" t="s">
        <v>68</v>
      </c>
      <c r="E8" s="1" t="s">
        <v>69</v>
      </c>
      <c r="F8" s="1" t="s">
        <v>114</v>
      </c>
      <c r="G8" s="1" t="s">
        <v>115</v>
      </c>
      <c r="H8" s="1" t="s">
        <v>115</v>
      </c>
      <c r="I8" s="1" t="s">
        <v>116</v>
      </c>
      <c r="J8" s="14" t="s">
        <v>73</v>
      </c>
      <c r="K8" s="1" t="s">
        <v>106</v>
      </c>
      <c r="L8" s="14" t="s">
        <v>73</v>
      </c>
      <c r="M8" s="14" t="s">
        <v>90</v>
      </c>
      <c r="N8" s="15">
        <v>20.0</v>
      </c>
      <c r="O8" s="14" t="s">
        <v>77</v>
      </c>
      <c r="P8" s="1" t="s">
        <v>78</v>
      </c>
      <c r="Q8" s="14" t="s">
        <v>91</v>
      </c>
      <c r="R8" s="1" t="s">
        <v>99</v>
      </c>
      <c r="S8" s="1" t="s">
        <v>81</v>
      </c>
      <c r="T8" s="1" t="s">
        <v>82</v>
      </c>
      <c r="U8" s="14" t="s">
        <v>83</v>
      </c>
      <c r="V8" s="14" t="s">
        <v>83</v>
      </c>
      <c r="W8" s="16">
        <v>239.175660848617</v>
      </c>
      <c r="X8" s="16">
        <v>135.971987009048</v>
      </c>
      <c r="Y8" s="17">
        <v>2.67943543775912</v>
      </c>
      <c r="Z8" s="17">
        <v>12.0384472680185</v>
      </c>
      <c r="AA8" s="17">
        <v>3.46964656240639</v>
      </c>
      <c r="AB8" s="17">
        <v>0.632113052810684</v>
      </c>
      <c r="AC8" s="17">
        <v>0.095676754324766</v>
      </c>
      <c r="AD8" s="17">
        <v>0.0137067757478962</v>
      </c>
      <c r="AE8" s="17">
        <v>0.117075940089739</v>
      </c>
      <c r="AF8" s="17">
        <v>0.691652869755333</v>
      </c>
      <c r="AG8" s="17">
        <v>0.0967154121824837</v>
      </c>
      <c r="AH8" s="17">
        <v>0.1177354142289</v>
      </c>
      <c r="AI8" s="17">
        <v>0.69599764120007</v>
      </c>
      <c r="AJ8" s="17">
        <v>0.106144135957678</v>
      </c>
      <c r="AK8" s="17">
        <v>0.139613630139389</v>
      </c>
      <c r="AL8" s="17">
        <v>0.567799216218996</v>
      </c>
      <c r="AM8" s="17">
        <v>10.0</v>
      </c>
      <c r="AN8" s="17">
        <v>2.67943543775912</v>
      </c>
      <c r="AO8" s="17">
        <v>12.0384472680185</v>
      </c>
      <c r="AP8" s="17">
        <v>3.46964656240639</v>
      </c>
      <c r="AQ8" s="17">
        <v>0.632150187425307</v>
      </c>
      <c r="AR8" s="17">
        <v>2.58713727588144</v>
      </c>
      <c r="AS8" s="17">
        <v>9.91886101662738</v>
      </c>
      <c r="AT8" s="17">
        <v>3.14942233062309</v>
      </c>
      <c r="AU8" s="17">
        <v>0.69599764120007</v>
      </c>
      <c r="AV8" s="17">
        <v>2.83935563686789</v>
      </c>
      <c r="AW8" s="17">
        <v>13.9477197210171</v>
      </c>
      <c r="AX8" s="17">
        <v>3.73466460622867</v>
      </c>
      <c r="AY8" s="17">
        <v>0.567799216218996</v>
      </c>
      <c r="AZ8" s="18">
        <f t="shared" ref="AZ8:AZ14" si="18">(AG8-$AG$36)/AG$37</f>
        <v>-0.4913139127</v>
      </c>
      <c r="BA8" s="18">
        <f t="shared" ref="BA8:BA14" si="19">(AH8-AH$36)/AH$37</f>
        <v>-0.48621765</v>
      </c>
      <c r="BB8" s="18">
        <f t="shared" si="5"/>
        <v>-0.8246452595</v>
      </c>
      <c r="BC8" s="18">
        <f t="shared" si="6"/>
        <v>-0.6675370133</v>
      </c>
      <c r="BD8" s="18">
        <f t="shared" si="7"/>
        <v>-0.7976795832</v>
      </c>
      <c r="BE8" s="18">
        <f t="shared" si="8"/>
        <v>-0.6744102125</v>
      </c>
      <c r="BF8" s="18">
        <f t="shared" si="9"/>
        <v>-0.5751238628</v>
      </c>
      <c r="BG8" s="18">
        <f t="shared" si="10"/>
        <v>-0.7498513195</v>
      </c>
      <c r="BH8" s="18">
        <f t="shared" si="11"/>
        <v>-0.7991445186</v>
      </c>
      <c r="BI8" s="18">
        <f t="shared" ref="BI8:BJ8" si="17">((W8-W$36)/W$37)</f>
        <v>-0.6200336682</v>
      </c>
      <c r="BJ8" s="18">
        <f t="shared" si="17"/>
        <v>-0.981626592</v>
      </c>
      <c r="BK8" s="2"/>
    </row>
    <row r="9">
      <c r="A9" s="1" t="s">
        <v>94</v>
      </c>
      <c r="B9" s="13">
        <f t="shared" si="2"/>
        <v>0.6932622884</v>
      </c>
      <c r="C9" s="1" t="s">
        <v>117</v>
      </c>
      <c r="D9" s="1" t="s">
        <v>68</v>
      </c>
      <c r="E9" s="1" t="s">
        <v>69</v>
      </c>
      <c r="F9" s="1" t="s">
        <v>118</v>
      </c>
      <c r="G9" s="1" t="s">
        <v>119</v>
      </c>
      <c r="H9" s="1" t="s">
        <v>119</v>
      </c>
      <c r="I9" s="1" t="s">
        <v>120</v>
      </c>
      <c r="J9" s="14" t="s">
        <v>73</v>
      </c>
      <c r="K9" s="1" t="s">
        <v>106</v>
      </c>
      <c r="L9" s="14" t="s">
        <v>73</v>
      </c>
      <c r="M9" s="14" t="s">
        <v>76</v>
      </c>
      <c r="N9" s="15">
        <v>20.0</v>
      </c>
      <c r="O9" s="14" t="s">
        <v>108</v>
      </c>
      <c r="P9" s="1" t="s">
        <v>78</v>
      </c>
      <c r="Q9" s="14" t="s">
        <v>79</v>
      </c>
      <c r="R9" s="1" t="s">
        <v>99</v>
      </c>
      <c r="S9" s="1" t="s">
        <v>81</v>
      </c>
      <c r="T9" s="1" t="s">
        <v>82</v>
      </c>
      <c r="U9" s="14" t="s">
        <v>121</v>
      </c>
      <c r="V9" s="1"/>
      <c r="W9" s="16">
        <v>112.2860622406</v>
      </c>
      <c r="X9" s="16">
        <v>123.732687950134</v>
      </c>
      <c r="Y9" s="17">
        <v>2.85761349406776</v>
      </c>
      <c r="Z9" s="17">
        <v>13.9279194787287</v>
      </c>
      <c r="AA9" s="17">
        <v>3.73201279187635</v>
      </c>
      <c r="AB9" s="17">
        <v>0.582690434425594</v>
      </c>
      <c r="AC9" s="17">
        <v>0.0948879102034817</v>
      </c>
      <c r="AD9" s="17">
        <v>0.01395951120624</v>
      </c>
      <c r="AE9" s="17">
        <v>0.118150375396102</v>
      </c>
      <c r="AF9" s="17">
        <v>0.690754370106879</v>
      </c>
      <c r="AG9" s="17">
        <v>0.0963713948934256</v>
      </c>
      <c r="AH9" s="17">
        <v>0.119300918927593</v>
      </c>
      <c r="AI9" s="17">
        <v>0.691753962143374</v>
      </c>
      <c r="AJ9" s="17">
        <v>0.105417402602262</v>
      </c>
      <c r="AK9" s="17">
        <v>0.141691714650517</v>
      </c>
      <c r="AL9" s="17">
        <v>0.571708669535399</v>
      </c>
      <c r="AM9" s="17">
        <v>10.0</v>
      </c>
      <c r="AN9" s="17">
        <v>2.85761349406776</v>
      </c>
      <c r="AO9" s="17">
        <v>13.9279194787287</v>
      </c>
      <c r="AP9" s="17">
        <v>3.73201279187635</v>
      </c>
      <c r="AQ9" s="17">
        <v>0.582512086556829</v>
      </c>
      <c r="AR9" s="17">
        <v>2.57793481339914</v>
      </c>
      <c r="AS9" s="17">
        <v>10.1843930176894</v>
      </c>
      <c r="AT9" s="17">
        <v>3.19129958131313</v>
      </c>
      <c r="AU9" s="17">
        <v>0.691753962143374</v>
      </c>
      <c r="AV9" s="17">
        <v>2.81991551961052</v>
      </c>
      <c r="AW9" s="17">
        <v>14.366020585307</v>
      </c>
      <c r="AX9" s="17">
        <v>3.79025336690135</v>
      </c>
      <c r="AY9" s="17">
        <v>0.571708669535399</v>
      </c>
      <c r="AZ9" s="18">
        <f t="shared" si="18"/>
        <v>-0.5034282785</v>
      </c>
      <c r="BA9" s="18">
        <f t="shared" si="19"/>
        <v>-0.4401567456</v>
      </c>
      <c r="BB9" s="18">
        <f t="shared" si="5"/>
        <v>-0.8535084133</v>
      </c>
      <c r="BC9" s="18">
        <f t="shared" si="6"/>
        <v>-0.6056658234</v>
      </c>
      <c r="BD9" s="18">
        <f t="shared" si="7"/>
        <v>-0.5418099307</v>
      </c>
      <c r="BE9" s="18">
        <f t="shared" si="8"/>
        <v>-0.3764603202</v>
      </c>
      <c r="BF9" s="18">
        <f t="shared" si="9"/>
        <v>-0.556031418</v>
      </c>
      <c r="BG9" s="18">
        <f t="shared" si="10"/>
        <v>-0.7640744676</v>
      </c>
      <c r="BH9" s="18">
        <f t="shared" si="11"/>
        <v>-0.5952163344</v>
      </c>
      <c r="BI9" s="18">
        <f t="shared" ref="BI9:BJ9" si="20">((W9-W$36)/W$37)</f>
        <v>-0.7444718917</v>
      </c>
      <c r="BJ9" s="18">
        <f t="shared" si="20"/>
        <v>-1.096163113</v>
      </c>
      <c r="BK9" s="2"/>
    </row>
    <row r="10">
      <c r="A10" s="1" t="s">
        <v>66</v>
      </c>
      <c r="B10" s="13">
        <f t="shared" si="2"/>
        <v>0.6442708557</v>
      </c>
      <c r="C10" s="1" t="s">
        <v>122</v>
      </c>
      <c r="D10" s="1" t="s">
        <v>68</v>
      </c>
      <c r="E10" s="1" t="s">
        <v>69</v>
      </c>
      <c r="F10" s="1" t="s">
        <v>123</v>
      </c>
      <c r="G10" s="1" t="s">
        <v>124</v>
      </c>
      <c r="H10" s="1" t="s">
        <v>124</v>
      </c>
      <c r="I10" s="1" t="s">
        <v>125</v>
      </c>
      <c r="J10" s="14" t="s">
        <v>73</v>
      </c>
      <c r="K10" s="1" t="s">
        <v>74</v>
      </c>
      <c r="L10" s="14" t="s">
        <v>75</v>
      </c>
      <c r="M10" s="14" t="s">
        <v>90</v>
      </c>
      <c r="N10" s="15">
        <v>20.0</v>
      </c>
      <c r="O10" s="14" t="s">
        <v>108</v>
      </c>
      <c r="P10" s="1" t="s">
        <v>107</v>
      </c>
      <c r="Q10" s="14" t="s">
        <v>91</v>
      </c>
      <c r="R10" s="1" t="s">
        <v>126</v>
      </c>
      <c r="S10" s="1" t="s">
        <v>81</v>
      </c>
      <c r="T10" s="1" t="s">
        <v>82</v>
      </c>
      <c r="U10" s="14" t="s">
        <v>127</v>
      </c>
      <c r="V10" s="1" t="s">
        <v>93</v>
      </c>
      <c r="W10" s="16">
        <v>644.304824590683</v>
      </c>
      <c r="X10" s="16">
        <v>139.724162817001</v>
      </c>
      <c r="Y10" s="17">
        <v>2.938514949519</v>
      </c>
      <c r="Z10" s="17">
        <v>13.3974793722152</v>
      </c>
      <c r="AA10" s="17">
        <v>3.66025673583359</v>
      </c>
      <c r="AB10" s="17">
        <v>0.60025148697593</v>
      </c>
      <c r="AC10" s="17">
        <v>0.104463172765798</v>
      </c>
      <c r="AD10" s="17">
        <v>0.0165156673005819</v>
      </c>
      <c r="AE10" s="17">
        <v>0.128513296201529</v>
      </c>
      <c r="AF10" s="17">
        <v>0.643228212169468</v>
      </c>
      <c r="AG10" s="17">
        <v>0.104874482149247</v>
      </c>
      <c r="AH10" s="17">
        <v>0.12875408237781</v>
      </c>
      <c r="AI10" s="17">
        <v>0.645025890293548</v>
      </c>
      <c r="AJ10" s="17">
        <v>0.113704030737014</v>
      </c>
      <c r="AK10" s="17">
        <v>0.143480719280702</v>
      </c>
      <c r="AL10" s="17">
        <v>0.561626893787225</v>
      </c>
      <c r="AM10" s="17">
        <v>10.0</v>
      </c>
      <c r="AN10" s="17">
        <v>2.56166490147581</v>
      </c>
      <c r="AO10" s="17">
        <v>10.1815037075125</v>
      </c>
      <c r="AP10" s="17">
        <v>3.19084686368879</v>
      </c>
      <c r="AQ10" s="17">
        <v>0.60020018094277</v>
      </c>
      <c r="AR10" s="17">
        <v>2.44561466011926</v>
      </c>
      <c r="AS10" s="17">
        <v>9.01484814507683</v>
      </c>
      <c r="AT10" s="17">
        <v>3.00247367100476</v>
      </c>
      <c r="AU10" s="17">
        <v>0.645025890293548</v>
      </c>
      <c r="AV10" s="17">
        <v>2.65151482788122</v>
      </c>
      <c r="AW10" s="17">
        <v>11.1949843228301</v>
      </c>
      <c r="AX10" s="17">
        <v>3.34589066211527</v>
      </c>
      <c r="AY10" s="17">
        <v>0.561626893787225</v>
      </c>
      <c r="AZ10" s="18">
        <f t="shared" si="18"/>
        <v>-0.2039970804</v>
      </c>
      <c r="BA10" s="18">
        <f t="shared" si="19"/>
        <v>-0.1620219959</v>
      </c>
      <c r="BB10" s="18">
        <f t="shared" si="5"/>
        <v>-1.103536487</v>
      </c>
      <c r="BC10" s="18">
        <f t="shared" si="6"/>
        <v>-1.100248702</v>
      </c>
      <c r="BD10" s="18">
        <f t="shared" si="7"/>
        <v>-0.9668020151</v>
      </c>
      <c r="BE10" s="18">
        <f t="shared" si="8"/>
        <v>-0.9910223786</v>
      </c>
      <c r="BF10" s="18">
        <f t="shared" si="9"/>
        <v>-0.3458003606</v>
      </c>
      <c r="BG10" s="18">
        <f t="shared" si="10"/>
        <v>-0.7273955313</v>
      </c>
      <c r="BH10" s="18">
        <f t="shared" si="11"/>
        <v>-0.6678843234</v>
      </c>
      <c r="BI10" s="18">
        <f t="shared" ref="BI10:BJ10" si="21">((W10-W$36)/W$37)</f>
        <v>-0.2227311788</v>
      </c>
      <c r="BJ10" s="18">
        <f t="shared" si="21"/>
        <v>-0.946513375</v>
      </c>
      <c r="BK10" s="2"/>
    </row>
    <row r="11">
      <c r="A11" s="1" t="s">
        <v>94</v>
      </c>
      <c r="B11" s="13">
        <f t="shared" si="2"/>
        <v>0.5824874333</v>
      </c>
      <c r="C11" s="1" t="s">
        <v>128</v>
      </c>
      <c r="D11" s="1" t="s">
        <v>68</v>
      </c>
      <c r="E11" s="1" t="s">
        <v>69</v>
      </c>
      <c r="F11" s="1" t="s">
        <v>129</v>
      </c>
      <c r="G11" s="1" t="s">
        <v>130</v>
      </c>
      <c r="H11" s="1" t="s">
        <v>130</v>
      </c>
      <c r="I11" s="1" t="s">
        <v>131</v>
      </c>
      <c r="J11" s="14" t="s">
        <v>88</v>
      </c>
      <c r="K11" s="1" t="s">
        <v>74</v>
      </c>
      <c r="L11" s="14" t="s">
        <v>89</v>
      </c>
      <c r="M11" s="14" t="s">
        <v>76</v>
      </c>
      <c r="N11" s="15">
        <v>20.0</v>
      </c>
      <c r="O11" s="14" t="s">
        <v>108</v>
      </c>
      <c r="P11" s="1" t="s">
        <v>78</v>
      </c>
      <c r="Q11" s="14" t="s">
        <v>79</v>
      </c>
      <c r="R11" s="1" t="s">
        <v>80</v>
      </c>
      <c r="S11" s="1" t="s">
        <v>92</v>
      </c>
      <c r="T11" s="1" t="s">
        <v>82</v>
      </c>
      <c r="U11" s="14" t="s">
        <v>121</v>
      </c>
      <c r="V11" s="1"/>
      <c r="W11" s="16">
        <v>249.993406772613</v>
      </c>
      <c r="X11" s="16">
        <v>317.522227048873</v>
      </c>
      <c r="Y11" s="17">
        <v>2.67155991833055</v>
      </c>
      <c r="Z11" s="17">
        <v>11.1820703089677</v>
      </c>
      <c r="AA11" s="17">
        <v>3.34396027323408</v>
      </c>
      <c r="AB11" s="17">
        <v>0.662721680735378</v>
      </c>
      <c r="AC11" s="17">
        <v>0.0925715462385737</v>
      </c>
      <c r="AD11" s="17">
        <v>0.0124597776280774</v>
      </c>
      <c r="AE11" s="17">
        <v>0.111623374022099</v>
      </c>
      <c r="AF11" s="17">
        <v>0.70999624410879</v>
      </c>
      <c r="AG11" s="17">
        <v>0.0928806348413743</v>
      </c>
      <c r="AH11" s="17">
        <v>0.111802287697465</v>
      </c>
      <c r="AI11" s="17">
        <v>0.711272181950805</v>
      </c>
      <c r="AJ11" s="17">
        <v>0.104457505820395</v>
      </c>
      <c r="AK11" s="17">
        <v>0.131938375132258</v>
      </c>
      <c r="AL11" s="17">
        <v>0.599122995613297</v>
      </c>
      <c r="AM11" s="17">
        <v>10.0</v>
      </c>
      <c r="AN11" s="17">
        <v>2.67155991833054</v>
      </c>
      <c r="AO11" s="17">
        <v>11.1820703089677</v>
      </c>
      <c r="AP11" s="17">
        <v>3.34396027323408</v>
      </c>
      <c r="AQ11" s="17">
        <v>0.662690959742103</v>
      </c>
      <c r="AR11" s="17">
        <v>2.5696975639447</v>
      </c>
      <c r="AS11" s="17">
        <v>9.56786536893229</v>
      </c>
      <c r="AT11" s="17">
        <v>3.09319662629653</v>
      </c>
      <c r="AU11" s="17">
        <v>0.711272181950805</v>
      </c>
      <c r="AV11" s="17">
        <v>2.88999099436428</v>
      </c>
      <c r="AW11" s="17">
        <v>13.3246539179301</v>
      </c>
      <c r="AX11" s="17">
        <v>3.6502950453258</v>
      </c>
      <c r="AY11" s="17">
        <v>0.599122995613297</v>
      </c>
      <c r="AZ11" s="18">
        <f t="shared" si="18"/>
        <v>-0.626353333</v>
      </c>
      <c r="BA11" s="18">
        <f t="shared" si="19"/>
        <v>-0.660784468</v>
      </c>
      <c r="BB11" s="18">
        <f t="shared" si="5"/>
        <v>-0.7494658719</v>
      </c>
      <c r="BC11" s="18">
        <f t="shared" si="6"/>
        <v>-0.7614416993</v>
      </c>
      <c r="BD11" s="18">
        <f t="shared" si="7"/>
        <v>-0.8089890927</v>
      </c>
      <c r="BE11" s="18">
        <f t="shared" si="8"/>
        <v>-0.8171428211</v>
      </c>
      <c r="BF11" s="18">
        <f t="shared" si="9"/>
        <v>-0.6438444996</v>
      </c>
      <c r="BG11" s="18">
        <f t="shared" si="10"/>
        <v>-0.8638116911</v>
      </c>
      <c r="BH11" s="18">
        <f t="shared" si="11"/>
        <v>-0.9246151579</v>
      </c>
      <c r="BI11" s="18">
        <f t="shared" ref="BI11:BJ11" si="22">((W11-W$36)/W$37)</f>
        <v>-0.6094249099</v>
      </c>
      <c r="BJ11" s="18">
        <f t="shared" si="22"/>
        <v>0.7173377689</v>
      </c>
      <c r="BK11" s="2"/>
    </row>
    <row r="12">
      <c r="A12" s="1" t="s">
        <v>94</v>
      </c>
      <c r="B12" s="13">
        <f t="shared" si="2"/>
        <v>0.5733258803</v>
      </c>
      <c r="C12" s="1" t="s">
        <v>132</v>
      </c>
      <c r="D12" s="1" t="s">
        <v>68</v>
      </c>
      <c r="E12" s="1" t="s">
        <v>69</v>
      </c>
      <c r="F12" s="1" t="s">
        <v>133</v>
      </c>
      <c r="G12" s="1" t="s">
        <v>134</v>
      </c>
      <c r="H12" s="1" t="s">
        <v>134</v>
      </c>
      <c r="I12" s="1" t="s">
        <v>135</v>
      </c>
      <c r="J12" s="14" t="s">
        <v>73</v>
      </c>
      <c r="K12" s="1" t="s">
        <v>74</v>
      </c>
      <c r="L12" s="14" t="s">
        <v>75</v>
      </c>
      <c r="M12" s="14" t="s">
        <v>76</v>
      </c>
      <c r="N12" s="15">
        <v>20.0</v>
      </c>
      <c r="O12" s="14" t="s">
        <v>77</v>
      </c>
      <c r="P12" s="1" t="s">
        <v>107</v>
      </c>
      <c r="Q12" s="14" t="s">
        <v>79</v>
      </c>
      <c r="R12" s="1" t="s">
        <v>80</v>
      </c>
      <c r="S12" s="1" t="s">
        <v>136</v>
      </c>
      <c r="T12" s="1" t="s">
        <v>82</v>
      </c>
      <c r="U12" s="14" t="s">
        <v>108</v>
      </c>
      <c r="V12" s="1"/>
      <c r="W12" s="16">
        <v>339.809797763824</v>
      </c>
      <c r="X12" s="16">
        <v>132.86934685707</v>
      </c>
      <c r="Y12" s="17">
        <v>2.90491724471766</v>
      </c>
      <c r="Z12" s="17">
        <v>13.5988696099157</v>
      </c>
      <c r="AA12" s="17">
        <v>3.68766451970834</v>
      </c>
      <c r="AB12" s="17">
        <v>0.598973907197007</v>
      </c>
      <c r="AC12" s="17">
        <v>0.10488915866206</v>
      </c>
      <c r="AD12" s="17">
        <v>0.017238081405186</v>
      </c>
      <c r="AE12" s="17">
        <v>0.131293874210436</v>
      </c>
      <c r="AF12" s="17">
        <v>0.6318009136247</v>
      </c>
      <c r="AG12" s="17">
        <v>0.105522876148877</v>
      </c>
      <c r="AH12" s="17">
        <v>0.131799635371789</v>
      </c>
      <c r="AI12" s="17">
        <v>0.631910041411766</v>
      </c>
      <c r="AJ12" s="17">
        <v>0.112993870711812</v>
      </c>
      <c r="AK12" s="17">
        <v>0.142992834032209</v>
      </c>
      <c r="AL12" s="17">
        <v>0.570168026685779</v>
      </c>
      <c r="AM12" s="17">
        <v>10.0</v>
      </c>
      <c r="AN12" s="17">
        <v>2.90491724471767</v>
      </c>
      <c r="AO12" s="17">
        <v>13.5988696099157</v>
      </c>
      <c r="AP12" s="17">
        <v>3.68766451970834</v>
      </c>
      <c r="AQ12" s="17">
        <v>0.598911169463376</v>
      </c>
      <c r="AR12" s="17">
        <v>2.82273693698248</v>
      </c>
      <c r="AS12" s="17">
        <v>12.4301391455926</v>
      </c>
      <c r="AT12" s="17">
        <v>3.52564024619537</v>
      </c>
      <c r="AU12" s="17">
        <v>0.631910041411766</v>
      </c>
      <c r="AV12" s="17">
        <v>3.02258604154096</v>
      </c>
      <c r="AW12" s="17">
        <v>14.6310710776664</v>
      </c>
      <c r="AX12" s="17">
        <v>3.8250583103616</v>
      </c>
      <c r="AY12" s="17">
        <v>0.570168026685779</v>
      </c>
      <c r="AZ12" s="18">
        <f t="shared" si="18"/>
        <v>-0.1811642685</v>
      </c>
      <c r="BA12" s="18">
        <f t="shared" si="19"/>
        <v>-0.07241451957</v>
      </c>
      <c r="BB12" s="18">
        <f t="shared" si="5"/>
        <v>-0.5525991972</v>
      </c>
      <c r="BC12" s="18">
        <f t="shared" si="6"/>
        <v>-0.5669273583</v>
      </c>
      <c r="BD12" s="18">
        <f t="shared" si="7"/>
        <v>-0.4738801615</v>
      </c>
      <c r="BE12" s="18">
        <f t="shared" si="8"/>
        <v>-0.4268233679</v>
      </c>
      <c r="BF12" s="18">
        <f t="shared" si="9"/>
        <v>-0.2867917462</v>
      </c>
      <c r="BG12" s="18">
        <f t="shared" si="10"/>
        <v>-0.7584693895</v>
      </c>
      <c r="BH12" s="18">
        <f t="shared" si="11"/>
        <v>-0.6625886782</v>
      </c>
      <c r="BI12" s="18">
        <f t="shared" ref="BI12:BJ12" si="23">((W12-W$36)/W$37)</f>
        <v>-0.5213436782</v>
      </c>
      <c r="BJ12" s="18">
        <f t="shared" si="23"/>
        <v>-1.010661393</v>
      </c>
      <c r="BK12" s="2"/>
    </row>
    <row r="13">
      <c r="A13" s="1" t="s">
        <v>66</v>
      </c>
      <c r="B13" s="13">
        <f t="shared" si="2"/>
        <v>0.5399945076</v>
      </c>
      <c r="C13" s="1" t="s">
        <v>137</v>
      </c>
      <c r="D13" s="1" t="s">
        <v>68</v>
      </c>
      <c r="E13" s="1" t="s">
        <v>69</v>
      </c>
      <c r="F13" s="1" t="s">
        <v>138</v>
      </c>
      <c r="G13" s="1" t="s">
        <v>139</v>
      </c>
      <c r="H13" s="1" t="s">
        <v>139</v>
      </c>
      <c r="I13" s="1" t="s">
        <v>140</v>
      </c>
      <c r="J13" s="14" t="s">
        <v>73</v>
      </c>
      <c r="K13" s="1" t="s">
        <v>74</v>
      </c>
      <c r="L13" s="14" t="s">
        <v>75</v>
      </c>
      <c r="M13" s="14" t="s">
        <v>76</v>
      </c>
      <c r="N13" s="15">
        <v>20.0</v>
      </c>
      <c r="O13" s="14" t="s">
        <v>108</v>
      </c>
      <c r="P13" s="1" t="s">
        <v>78</v>
      </c>
      <c r="Q13" s="14" t="s">
        <v>91</v>
      </c>
      <c r="R13" s="1" t="s">
        <v>126</v>
      </c>
      <c r="S13" s="1" t="s">
        <v>92</v>
      </c>
      <c r="T13" s="1" t="s">
        <v>82</v>
      </c>
      <c r="U13" s="14" t="s">
        <v>101</v>
      </c>
      <c r="V13" s="1" t="s">
        <v>141</v>
      </c>
      <c r="W13" s="16">
        <v>149.871419429779</v>
      </c>
      <c r="X13" s="16">
        <v>136.624994993209</v>
      </c>
      <c r="Y13" s="17">
        <v>3.28867545825084</v>
      </c>
      <c r="Z13" s="17">
        <v>16.4688933464144</v>
      </c>
      <c r="AA13" s="17">
        <v>4.05818843160522</v>
      </c>
      <c r="AB13" s="17">
        <v>0.514379826929327</v>
      </c>
      <c r="AC13" s="17">
        <v>0.104816414912405</v>
      </c>
      <c r="AD13" s="17">
        <v>0.0162985847785591</v>
      </c>
      <c r="AE13" s="17">
        <v>0.127665910792815</v>
      </c>
      <c r="AF13" s="17">
        <v>0.651868216443715</v>
      </c>
      <c r="AG13" s="17">
        <v>0.10526049596882</v>
      </c>
      <c r="AH13" s="17">
        <v>0.127963145292661</v>
      </c>
      <c r="AI13" s="17">
        <v>0.653027252283118</v>
      </c>
      <c r="AJ13" s="17">
        <v>0.126444897803815</v>
      </c>
      <c r="AK13" s="17">
        <v>0.158319218885068</v>
      </c>
      <c r="AL13" s="17">
        <v>0.473088779172446</v>
      </c>
      <c r="AM13" s="17">
        <v>10.0</v>
      </c>
      <c r="AN13" s="17">
        <v>2.86691905213041</v>
      </c>
      <c r="AO13" s="17">
        <v>12.5156452200174</v>
      </c>
      <c r="AP13" s="17">
        <v>3.53774578227682</v>
      </c>
      <c r="AQ13" s="17">
        <v>0.514261893670243</v>
      </c>
      <c r="AR13" s="17">
        <v>2.45461628793957</v>
      </c>
      <c r="AS13" s="17">
        <v>8.90443180375641</v>
      </c>
      <c r="AT13" s="17">
        <v>2.98402945758858</v>
      </c>
      <c r="AU13" s="17">
        <v>0.653027252283118</v>
      </c>
      <c r="AV13" s="17">
        <v>2.94862476961951</v>
      </c>
      <c r="AW13" s="17">
        <v>13.6302454440077</v>
      </c>
      <c r="AX13" s="17">
        <v>3.6919162292782</v>
      </c>
      <c r="AY13" s="17">
        <v>0.473088779172446</v>
      </c>
      <c r="AZ13" s="18">
        <f t="shared" si="18"/>
        <v>-0.1904038316</v>
      </c>
      <c r="BA13" s="18">
        <f t="shared" si="19"/>
        <v>-0.1852932626</v>
      </c>
      <c r="BB13" s="18">
        <f t="shared" si="5"/>
        <v>-0.662411064</v>
      </c>
      <c r="BC13" s="18">
        <f t="shared" si="6"/>
        <v>-0.7151166483</v>
      </c>
      <c r="BD13" s="18">
        <f t="shared" si="7"/>
        <v>-0.5284468379</v>
      </c>
      <c r="BE13" s="18">
        <f t="shared" si="8"/>
        <v>-0.5970749729</v>
      </c>
      <c r="BF13" s="18">
        <f t="shared" si="9"/>
        <v>-0.3817987386</v>
      </c>
      <c r="BG13" s="18">
        <f t="shared" si="10"/>
        <v>-0.4052812579</v>
      </c>
      <c r="BH13" s="18">
        <f t="shared" si="11"/>
        <v>-0.314824102</v>
      </c>
      <c r="BI13" s="18">
        <f t="shared" ref="BI13:BJ13" si="24">((W13-W$36)/W$37)</f>
        <v>-0.7076126445</v>
      </c>
      <c r="BJ13" s="18">
        <f t="shared" si="24"/>
        <v>-0.9755156814</v>
      </c>
      <c r="BK13" s="2"/>
    </row>
    <row r="14">
      <c r="A14" s="1" t="s">
        <v>94</v>
      </c>
      <c r="B14" s="13">
        <f t="shared" si="2"/>
        <v>0.4850737992</v>
      </c>
      <c r="C14" s="1" t="s">
        <v>142</v>
      </c>
      <c r="D14" s="1" t="s">
        <v>68</v>
      </c>
      <c r="E14" s="1" t="s">
        <v>69</v>
      </c>
      <c r="F14" s="1" t="s">
        <v>143</v>
      </c>
      <c r="G14" s="1" t="s">
        <v>144</v>
      </c>
      <c r="H14" s="1" t="s">
        <v>144</v>
      </c>
      <c r="I14" s="1" t="s">
        <v>145</v>
      </c>
      <c r="J14" s="14" t="s">
        <v>73</v>
      </c>
      <c r="K14" s="1" t="s">
        <v>106</v>
      </c>
      <c r="L14" s="14" t="s">
        <v>73</v>
      </c>
      <c r="M14" s="14" t="s">
        <v>76</v>
      </c>
      <c r="N14" s="15">
        <v>150.0</v>
      </c>
      <c r="O14" s="14" t="s">
        <v>77</v>
      </c>
      <c r="P14" s="1" t="s">
        <v>78</v>
      </c>
      <c r="Q14" s="14" t="s">
        <v>79</v>
      </c>
      <c r="R14" s="1" t="s">
        <v>80</v>
      </c>
      <c r="S14" s="1" t="s">
        <v>136</v>
      </c>
      <c r="T14" s="1" t="s">
        <v>82</v>
      </c>
      <c r="U14" s="14" t="s">
        <v>121</v>
      </c>
      <c r="V14" s="1"/>
      <c r="W14" s="16">
        <v>172.379208803176</v>
      </c>
      <c r="X14" s="16">
        <v>122.97968840599</v>
      </c>
      <c r="Y14" s="17">
        <v>3.2146310620748</v>
      </c>
      <c r="Z14" s="17">
        <v>16.2133606288112</v>
      </c>
      <c r="AA14" s="17">
        <v>4.02658175488977</v>
      </c>
      <c r="AB14" s="17">
        <v>0.514193813260725</v>
      </c>
      <c r="AC14" s="17">
        <v>0.0958009613459315</v>
      </c>
      <c r="AD14" s="17">
        <v>0.013720455310985</v>
      </c>
      <c r="AE14" s="17">
        <v>0.117134347272629</v>
      </c>
      <c r="AF14" s="17">
        <v>0.696050185255101</v>
      </c>
      <c r="AG14" s="17">
        <v>0.0967655339838953</v>
      </c>
      <c r="AH14" s="17">
        <v>0.117726363200244</v>
      </c>
      <c r="AI14" s="17">
        <v>0.699836845245082</v>
      </c>
      <c r="AJ14" s="17">
        <v>0.122336555440003</v>
      </c>
      <c r="AK14" s="17">
        <v>0.155467148109664</v>
      </c>
      <c r="AL14" s="17">
        <v>0.484382515700996</v>
      </c>
      <c r="AM14" s="17">
        <v>10.0</v>
      </c>
      <c r="AN14" s="17">
        <v>3.2146310620748</v>
      </c>
      <c r="AO14" s="17">
        <v>16.2133606288112</v>
      </c>
      <c r="AP14" s="17">
        <v>4.02658175488977</v>
      </c>
      <c r="AQ14" s="17">
        <v>0.51400622977741</v>
      </c>
      <c r="AR14" s="17">
        <v>2.5884780340692</v>
      </c>
      <c r="AS14" s="17">
        <v>9.91733603036772</v>
      </c>
      <c r="AT14" s="17">
        <v>3.14918021560655</v>
      </c>
      <c r="AU14" s="17">
        <v>0.699836845245082</v>
      </c>
      <c r="AV14" s="17">
        <v>3.27250285802009</v>
      </c>
      <c r="AW14" s="17">
        <v>17.2951700552714</v>
      </c>
      <c r="AX14" s="17">
        <v>4.15874621193351</v>
      </c>
      <c r="AY14" s="17">
        <v>0.484382515700996</v>
      </c>
      <c r="AZ14" s="18">
        <f t="shared" si="18"/>
        <v>-0.4895489031</v>
      </c>
      <c r="BA14" s="18">
        <f t="shared" si="19"/>
        <v>-0.486483953</v>
      </c>
      <c r="BB14" s="18">
        <f t="shared" si="5"/>
        <v>-0.1815424071</v>
      </c>
      <c r="BC14" s="18">
        <f t="shared" si="6"/>
        <v>-0.195527326</v>
      </c>
      <c r="BD14" s="18">
        <f t="shared" si="7"/>
        <v>-0.02912075371</v>
      </c>
      <c r="BE14" s="18">
        <f t="shared" si="8"/>
        <v>-0.0419401688</v>
      </c>
      <c r="BF14" s="18">
        <f t="shared" si="9"/>
        <v>-0.5923965619</v>
      </c>
      <c r="BG14" s="18">
        <f t="shared" si="10"/>
        <v>-0.4463694802</v>
      </c>
      <c r="BH14" s="18">
        <f t="shared" si="11"/>
        <v>-0.3137737582</v>
      </c>
      <c r="BI14" s="18">
        <f t="shared" ref="BI14:BJ14" si="25">((W14-W$36)/W$37)</f>
        <v>-0.6855396822</v>
      </c>
      <c r="BJ14" s="18">
        <f t="shared" si="25"/>
        <v>-1.103209754</v>
      </c>
      <c r="BK14" s="2"/>
    </row>
    <row r="15">
      <c r="A15" s="1" t="s">
        <v>66</v>
      </c>
      <c r="B15" s="13">
        <f t="shared" si="2"/>
        <v>0.4809011318</v>
      </c>
      <c r="C15" s="1" t="s">
        <v>146</v>
      </c>
      <c r="D15" s="1" t="s">
        <v>68</v>
      </c>
      <c r="E15" s="1" t="s">
        <v>69</v>
      </c>
      <c r="F15" s="1" t="s">
        <v>147</v>
      </c>
      <c r="G15" s="1" t="s">
        <v>148</v>
      </c>
      <c r="H15" s="1" t="s">
        <v>148</v>
      </c>
      <c r="I15" s="1" t="s">
        <v>149</v>
      </c>
      <c r="J15" s="14" t="s">
        <v>88</v>
      </c>
      <c r="K15" s="1" t="s">
        <v>74</v>
      </c>
      <c r="L15" s="14" t="s">
        <v>89</v>
      </c>
      <c r="M15" s="14" t="s">
        <v>76</v>
      </c>
      <c r="N15" s="15">
        <v>150.0</v>
      </c>
      <c r="O15" s="14" t="s">
        <v>108</v>
      </c>
      <c r="P15" s="1" t="s">
        <v>107</v>
      </c>
      <c r="Q15" s="14" t="s">
        <v>79</v>
      </c>
      <c r="R15" s="1" t="s">
        <v>80</v>
      </c>
      <c r="S15" s="1" t="s">
        <v>92</v>
      </c>
      <c r="T15" s="1" t="s">
        <v>82</v>
      </c>
      <c r="U15" s="14" t="s">
        <v>127</v>
      </c>
      <c r="V15" s="1"/>
      <c r="W15" s="16">
        <v>889.605242013931</v>
      </c>
      <c r="X15" s="16">
        <v>327.217785358428</v>
      </c>
      <c r="Y15" s="17">
        <v>2.9823070089586</v>
      </c>
      <c r="Z15" s="17">
        <v>13.727410672591</v>
      </c>
      <c r="AA15" s="17">
        <v>3.70505204721756</v>
      </c>
      <c r="AB15" s="17">
        <v>0.586031071466254</v>
      </c>
      <c r="AC15" s="17">
        <v>0.0424576020119962</v>
      </c>
      <c r="AD15" s="17">
        <v>0.0028031033843867</v>
      </c>
      <c r="AE15" s="17">
        <v>0.0529443423265104</v>
      </c>
      <c r="AF15" s="17">
        <v>0.934757221686552</v>
      </c>
      <c r="AG15" s="17">
        <v>0.0422597663396237</v>
      </c>
      <c r="AH15" s="17">
        <v>0.0527677831335708</v>
      </c>
      <c r="AI15" s="17">
        <v>0.935683123259614</v>
      </c>
      <c r="AJ15" s="17">
        <v>0.136307309738527</v>
      </c>
      <c r="AK15" s="17">
        <v>0.165959622623289</v>
      </c>
      <c r="AL15" s="17">
        <v>0.365730600762664</v>
      </c>
      <c r="AM15" s="17">
        <v>10.0</v>
      </c>
      <c r="AN15" s="17">
        <v>2.64095861636696</v>
      </c>
      <c r="AO15" s="17">
        <v>10.7648286117005</v>
      </c>
      <c r="AP15" s="17">
        <v>3.28097982494567</v>
      </c>
      <c r="AQ15" s="17">
        <v>0.585910337597837</v>
      </c>
      <c r="AR15" s="17">
        <v>1.03536427532077</v>
      </c>
      <c r="AS15" s="17">
        <v>1.67135947183315</v>
      </c>
      <c r="AT15" s="17">
        <v>1.29281068677248</v>
      </c>
      <c r="AU15" s="17">
        <v>0.935683123259614</v>
      </c>
      <c r="AV15" s="17">
        <v>3.33952908859417</v>
      </c>
      <c r="AW15" s="17">
        <v>16.532443453844</v>
      </c>
      <c r="AX15" s="17">
        <v>4.06601075427058</v>
      </c>
      <c r="AY15" s="17">
        <v>0.365730600762663</v>
      </c>
      <c r="AZ15" s="18">
        <f t="shared" ref="AZ15:BA15" si="26">(AG15-AG$36)/AG$37</f>
        <v>-2.408937334</v>
      </c>
      <c r="BA15" s="18">
        <f t="shared" si="26"/>
        <v>-2.397721234</v>
      </c>
      <c r="BB15" s="18">
        <f t="shared" si="5"/>
        <v>-0.08202714314</v>
      </c>
      <c r="BC15" s="18">
        <f t="shared" si="6"/>
        <v>-0.2987433905</v>
      </c>
      <c r="BD15" s="18">
        <f t="shared" si="7"/>
        <v>-0.8529335865</v>
      </c>
      <c r="BE15" s="18">
        <f t="shared" si="8"/>
        <v>-0.888665051</v>
      </c>
      <c r="BF15" s="18">
        <f t="shared" si="9"/>
        <v>-1.653476346</v>
      </c>
      <c r="BG15" s="18">
        <f t="shared" si="10"/>
        <v>-0.01469691143</v>
      </c>
      <c r="BH15" s="18">
        <f t="shared" si="11"/>
        <v>-0.6091773674</v>
      </c>
      <c r="BI15" s="18">
        <f t="shared" ref="BI15:BJ15" si="27">((W15-W$36)/W$37)</f>
        <v>0.01783028956</v>
      </c>
      <c r="BJ15" s="18">
        <f t="shared" si="27"/>
        <v>0.8080697229</v>
      </c>
      <c r="BK15" s="2"/>
    </row>
    <row r="16">
      <c r="A16" s="1" t="s">
        <v>66</v>
      </c>
      <c r="B16" s="13">
        <f t="shared" si="2"/>
        <v>0.2795366053</v>
      </c>
      <c r="C16" s="1" t="s">
        <v>150</v>
      </c>
      <c r="D16" s="1" t="s">
        <v>68</v>
      </c>
      <c r="E16" s="1" t="s">
        <v>69</v>
      </c>
      <c r="F16" s="1" t="s">
        <v>151</v>
      </c>
      <c r="G16" s="1" t="s">
        <v>152</v>
      </c>
      <c r="H16" s="1" t="s">
        <v>152</v>
      </c>
      <c r="I16" s="1" t="s">
        <v>153</v>
      </c>
      <c r="J16" s="14" t="s">
        <v>88</v>
      </c>
      <c r="K16" s="1" t="s">
        <v>74</v>
      </c>
      <c r="L16" s="14" t="s">
        <v>89</v>
      </c>
      <c r="M16" s="14" t="s">
        <v>90</v>
      </c>
      <c r="N16" s="15">
        <v>150.0</v>
      </c>
      <c r="O16" s="14" t="s">
        <v>108</v>
      </c>
      <c r="P16" s="1" t="s">
        <v>78</v>
      </c>
      <c r="Q16" s="14" t="s">
        <v>79</v>
      </c>
      <c r="R16" s="1" t="s">
        <v>99</v>
      </c>
      <c r="S16" s="1" t="s">
        <v>81</v>
      </c>
      <c r="T16" s="1" t="s">
        <v>82</v>
      </c>
      <c r="U16" s="14" t="s">
        <v>100</v>
      </c>
      <c r="V16" s="1"/>
      <c r="W16" s="16">
        <v>614.188953638076</v>
      </c>
      <c r="X16" s="16">
        <v>332.19306063652</v>
      </c>
      <c r="Y16" s="17">
        <v>3.1961275508693</v>
      </c>
      <c r="Z16" s="17">
        <v>15.2882156129621</v>
      </c>
      <c r="AA16" s="17">
        <v>3.9100147842383</v>
      </c>
      <c r="AB16" s="17">
        <v>0.538832761687484</v>
      </c>
      <c r="AC16" s="17">
        <v>0.0974499640645335</v>
      </c>
      <c r="AD16" s="17">
        <v>0.0134940187222994</v>
      </c>
      <c r="AE16" s="17">
        <v>0.116163758213564</v>
      </c>
      <c r="AF16" s="17">
        <v>0.684350723908824</v>
      </c>
      <c r="AG16" s="17">
        <v>0.0977563871968326</v>
      </c>
      <c r="AH16" s="17">
        <v>0.116339056492831</v>
      </c>
      <c r="AI16" s="17">
        <v>0.685900058033807</v>
      </c>
      <c r="AJ16" s="17">
        <v>0.12515008491693</v>
      </c>
      <c r="AK16" s="17">
        <v>0.154265265961075</v>
      </c>
      <c r="AL16" s="17">
        <v>0.452722350812909</v>
      </c>
      <c r="AM16" s="17">
        <v>10.0</v>
      </c>
      <c r="AN16" s="17">
        <v>2.83030572275776</v>
      </c>
      <c r="AO16" s="17">
        <v>11.9887883285127</v>
      </c>
      <c r="AP16" s="17">
        <v>3.46248297158452</v>
      </c>
      <c r="AQ16" s="17">
        <v>0.538681090455647</v>
      </c>
      <c r="AR16" s="17">
        <v>2.39503148632242</v>
      </c>
      <c r="AS16" s="17">
        <v>8.12424933340169</v>
      </c>
      <c r="AT16" s="17">
        <v>2.85030688407436</v>
      </c>
      <c r="AU16" s="17">
        <v>0.685900058033807</v>
      </c>
      <c r="AV16" s="17">
        <v>3.06617708046498</v>
      </c>
      <c r="AW16" s="17">
        <v>14.2846128122952</v>
      </c>
      <c r="AX16" s="17">
        <v>3.77949901604633</v>
      </c>
      <c r="AY16" s="17">
        <v>0.452722350812909</v>
      </c>
      <c r="AZ16" s="18">
        <f t="shared" ref="AZ16:AZ34" si="29">(AG16-$AG$36)/AG$37</f>
        <v>-0.4546565921</v>
      </c>
      <c r="BA16" s="18">
        <f t="shared" ref="BA16:BA34" si="30">(AH16-AH$36)/AH$37</f>
        <v>-0.5273018449</v>
      </c>
      <c r="BB16" s="18">
        <f t="shared" si="5"/>
        <v>-0.4878786586</v>
      </c>
      <c r="BC16" s="18">
        <f t="shared" si="6"/>
        <v>-0.6176355899</v>
      </c>
      <c r="BD16" s="18">
        <f t="shared" si="7"/>
        <v>-0.5810248043</v>
      </c>
      <c r="BE16" s="18">
        <f t="shared" si="8"/>
        <v>-0.682545372</v>
      </c>
      <c r="BF16" s="18">
        <f t="shared" si="9"/>
        <v>-0.5296945202</v>
      </c>
      <c r="BG16" s="18">
        <f t="shared" si="10"/>
        <v>-0.3311852903</v>
      </c>
      <c r="BH16" s="18">
        <f t="shared" si="11"/>
        <v>-0.4151454756</v>
      </c>
      <c r="BI16" s="18">
        <f t="shared" ref="BI16:BJ16" si="28">((W16-W$36)/W$37)</f>
        <v>-0.2522652424</v>
      </c>
      <c r="BJ16" s="18">
        <f t="shared" si="28"/>
        <v>0.8546288207</v>
      </c>
      <c r="BK16" s="2"/>
    </row>
    <row r="17">
      <c r="A17" s="1" t="s">
        <v>94</v>
      </c>
      <c r="B17" s="13">
        <f t="shared" si="2"/>
        <v>0.2753045566</v>
      </c>
      <c r="C17" s="1" t="s">
        <v>154</v>
      </c>
      <c r="D17" s="1" t="s">
        <v>68</v>
      </c>
      <c r="E17" s="1" t="s">
        <v>69</v>
      </c>
      <c r="F17" s="1" t="s">
        <v>155</v>
      </c>
      <c r="G17" s="1" t="s">
        <v>156</v>
      </c>
      <c r="H17" s="1" t="s">
        <v>156</v>
      </c>
      <c r="I17" s="1" t="s">
        <v>157</v>
      </c>
      <c r="J17" s="14" t="s">
        <v>73</v>
      </c>
      <c r="K17" s="1" t="s">
        <v>74</v>
      </c>
      <c r="L17" s="14" t="s">
        <v>75</v>
      </c>
      <c r="M17" s="14" t="s">
        <v>76</v>
      </c>
      <c r="N17" s="15">
        <v>150.0</v>
      </c>
      <c r="O17" s="14" t="s">
        <v>108</v>
      </c>
      <c r="P17" s="1" t="s">
        <v>107</v>
      </c>
      <c r="Q17" s="14" t="s">
        <v>91</v>
      </c>
      <c r="R17" s="1" t="s">
        <v>80</v>
      </c>
      <c r="S17" s="1" t="s">
        <v>92</v>
      </c>
      <c r="T17" s="1" t="s">
        <v>82</v>
      </c>
      <c r="U17" s="14" t="s">
        <v>158</v>
      </c>
      <c r="V17" s="14" t="s">
        <v>83</v>
      </c>
      <c r="W17" s="16">
        <v>692.986011266708</v>
      </c>
      <c r="X17" s="16">
        <v>134.139004945755</v>
      </c>
      <c r="Y17" s="17">
        <v>3.29322391852486</v>
      </c>
      <c r="Z17" s="17">
        <v>15.9899613291495</v>
      </c>
      <c r="AA17" s="17">
        <v>3.99874496925591</v>
      </c>
      <c r="AB17" s="17">
        <v>0.528543654843664</v>
      </c>
      <c r="AC17" s="17">
        <v>0.103942916107838</v>
      </c>
      <c r="AD17" s="17">
        <v>0.0152458684113612</v>
      </c>
      <c r="AE17" s="17">
        <v>0.123474160905677</v>
      </c>
      <c r="AF17" s="17">
        <v>0.674353851329856</v>
      </c>
      <c r="AG17" s="17">
        <v>0.104171658133199</v>
      </c>
      <c r="AH17" s="17">
        <v>0.123554716824717</v>
      </c>
      <c r="AI17" s="17">
        <v>0.676522400212253</v>
      </c>
      <c r="AJ17" s="17">
        <v>0.13459447753968</v>
      </c>
      <c r="AK17" s="17">
        <v>0.164390422105394</v>
      </c>
      <c r="AL17" s="17">
        <v>0.431902090154442</v>
      </c>
      <c r="AM17" s="17">
        <v>10.0</v>
      </c>
      <c r="AN17" s="17">
        <v>3.29322391852487</v>
      </c>
      <c r="AO17" s="17">
        <v>15.9899613291495</v>
      </c>
      <c r="AP17" s="17">
        <v>3.99874496925591</v>
      </c>
      <c r="AQ17" s="17">
        <v>0.528387647370482</v>
      </c>
      <c r="AR17" s="17">
        <v>2.78659185506309</v>
      </c>
      <c r="AS17" s="17">
        <v>10.9236111500177</v>
      </c>
      <c r="AT17" s="17">
        <v>3.30508867506119</v>
      </c>
      <c r="AU17" s="17">
        <v>0.676522400212253</v>
      </c>
      <c r="AV17" s="17">
        <v>3.60040227418646</v>
      </c>
      <c r="AW17" s="17">
        <v>19.3375118978127</v>
      </c>
      <c r="AX17" s="17">
        <v>4.39744379131931</v>
      </c>
      <c r="AY17" s="17">
        <v>0.431902090154442</v>
      </c>
      <c r="AZ17" s="18">
        <f t="shared" si="29"/>
        <v>-0.2287466132</v>
      </c>
      <c r="BA17" s="18">
        <f t="shared" si="30"/>
        <v>-0.3149998053</v>
      </c>
      <c r="BB17" s="18">
        <f t="shared" si="5"/>
        <v>0.3052968002</v>
      </c>
      <c r="BC17" s="18">
        <f t="shared" si="6"/>
        <v>0.07014694105</v>
      </c>
      <c r="BD17" s="18">
        <f t="shared" si="7"/>
        <v>0.08374121866</v>
      </c>
      <c r="BE17" s="18">
        <f t="shared" si="8"/>
        <v>-0.07355234427</v>
      </c>
      <c r="BF17" s="18">
        <f t="shared" si="9"/>
        <v>-0.4875041443</v>
      </c>
      <c r="BG17" s="18">
        <f t="shared" si="10"/>
        <v>-0.2554382161</v>
      </c>
      <c r="BH17" s="18">
        <f t="shared" si="11"/>
        <v>-0.3728569287</v>
      </c>
      <c r="BI17" s="18">
        <f t="shared" ref="BI17:BJ17" si="31">((W17-W$36)/W$37)</f>
        <v>-0.174990462</v>
      </c>
      <c r="BJ17" s="18">
        <f t="shared" si="31"/>
        <v>-0.998779812</v>
      </c>
      <c r="BK17" s="2"/>
    </row>
    <row r="18">
      <c r="A18" s="1" t="s">
        <v>66</v>
      </c>
      <c r="B18" s="13">
        <f t="shared" si="2"/>
        <v>0.2270738094</v>
      </c>
      <c r="C18" s="1" t="s">
        <v>159</v>
      </c>
      <c r="D18" s="1" t="s">
        <v>68</v>
      </c>
      <c r="E18" s="1" t="s">
        <v>69</v>
      </c>
      <c r="F18" s="1" t="s">
        <v>160</v>
      </c>
      <c r="G18" s="1" t="s">
        <v>161</v>
      </c>
      <c r="H18" s="1" t="s">
        <v>161</v>
      </c>
      <c r="I18" s="1" t="s">
        <v>162</v>
      </c>
      <c r="J18" s="14" t="s">
        <v>88</v>
      </c>
      <c r="K18" s="1" t="s">
        <v>106</v>
      </c>
      <c r="L18" s="14" t="s">
        <v>163</v>
      </c>
      <c r="M18" s="14" t="s">
        <v>76</v>
      </c>
      <c r="N18" s="15">
        <v>20.0</v>
      </c>
      <c r="O18" s="14" t="s">
        <v>108</v>
      </c>
      <c r="P18" s="1" t="s">
        <v>78</v>
      </c>
      <c r="Q18" s="14" t="s">
        <v>79</v>
      </c>
      <c r="R18" s="1" t="s">
        <v>80</v>
      </c>
      <c r="S18" s="1" t="s">
        <v>92</v>
      </c>
      <c r="T18" s="1" t="s">
        <v>82</v>
      </c>
      <c r="U18" s="14" t="s">
        <v>100</v>
      </c>
      <c r="V18" s="1"/>
      <c r="W18" s="16">
        <v>204.887410640716</v>
      </c>
      <c r="X18" s="16">
        <v>332.693548679351</v>
      </c>
      <c r="Y18" s="17">
        <v>3.24950663555686</v>
      </c>
      <c r="Z18" s="17">
        <v>16.8841576647565</v>
      </c>
      <c r="AA18" s="17">
        <v>4.10903366556621</v>
      </c>
      <c r="AB18" s="17">
        <v>0.485315458476602</v>
      </c>
      <c r="AC18" s="17">
        <v>0.104341100926886</v>
      </c>
      <c r="AD18" s="17">
        <v>0.0159024641369269</v>
      </c>
      <c r="AE18" s="17">
        <v>0.126104972689132</v>
      </c>
      <c r="AF18" s="17">
        <v>0.617327780693392</v>
      </c>
      <c r="AG18" s="17">
        <v>0.105570189638516</v>
      </c>
      <c r="AH18" s="17">
        <v>0.126996186723366</v>
      </c>
      <c r="AI18" s="17">
        <v>0.619695078378463</v>
      </c>
      <c r="AJ18" s="17">
        <v>0.123069204362283</v>
      </c>
      <c r="AK18" s="17">
        <v>0.159014836575229</v>
      </c>
      <c r="AL18" s="17">
        <v>0.412665885327674</v>
      </c>
      <c r="AM18" s="17">
        <v>10.0</v>
      </c>
      <c r="AN18" s="17">
        <v>2.87757515317384</v>
      </c>
      <c r="AO18" s="17">
        <v>13.2403020386748</v>
      </c>
      <c r="AP18" s="17">
        <v>3.63872258336285</v>
      </c>
      <c r="AQ18" s="17">
        <v>0.485000757740183</v>
      </c>
      <c r="AR18" s="17">
        <v>2.58646964614372</v>
      </c>
      <c r="AS18" s="17">
        <v>9.68085087322619</v>
      </c>
      <c r="AT18" s="17">
        <v>3.11140657472246</v>
      </c>
      <c r="AU18" s="17">
        <v>0.619695078378463</v>
      </c>
      <c r="AV18" s="17">
        <v>3.01519550687601</v>
      </c>
      <c r="AW18" s="17">
        <v>15.1777523801909</v>
      </c>
      <c r="AX18" s="17">
        <v>3.89586349609312</v>
      </c>
      <c r="AY18" s="17">
        <v>0.412665885327675</v>
      </c>
      <c r="AZ18" s="18">
        <f t="shared" si="29"/>
        <v>-0.1794981519</v>
      </c>
      <c r="BA18" s="18">
        <f t="shared" si="30"/>
        <v>-0.2137435038</v>
      </c>
      <c r="BB18" s="18">
        <f t="shared" si="5"/>
        <v>-0.5635720806</v>
      </c>
      <c r="BC18" s="18">
        <f t="shared" si="6"/>
        <v>-0.4881200412</v>
      </c>
      <c r="BD18" s="18">
        <f t="shared" si="7"/>
        <v>-0.5131443201</v>
      </c>
      <c r="BE18" s="18">
        <f t="shared" si="8"/>
        <v>-0.4824030997</v>
      </c>
      <c r="BF18" s="18">
        <f t="shared" si="9"/>
        <v>-0.2318362453</v>
      </c>
      <c r="BG18" s="18">
        <f t="shared" si="10"/>
        <v>-0.1854541627</v>
      </c>
      <c r="BH18" s="18">
        <f t="shared" si="11"/>
        <v>-0.1946105923</v>
      </c>
      <c r="BI18" s="18">
        <f t="shared" ref="BI18:BJ18" si="32">((W18-W$36)/W$37)</f>
        <v>-0.6536595051</v>
      </c>
      <c r="BJ18" s="18">
        <f t="shared" si="32"/>
        <v>0.8593124353</v>
      </c>
      <c r="BK18" s="2"/>
    </row>
    <row r="19">
      <c r="A19" s="1" t="s">
        <v>94</v>
      </c>
      <c r="B19" s="13">
        <f t="shared" si="2"/>
        <v>0.1393591467</v>
      </c>
      <c r="C19" s="1" t="s">
        <v>164</v>
      </c>
      <c r="D19" s="1" t="s">
        <v>68</v>
      </c>
      <c r="E19" s="1" t="s">
        <v>69</v>
      </c>
      <c r="F19" s="1" t="s">
        <v>165</v>
      </c>
      <c r="G19" s="1" t="s">
        <v>166</v>
      </c>
      <c r="H19" s="1" t="s">
        <v>166</v>
      </c>
      <c r="I19" s="1" t="s">
        <v>167</v>
      </c>
      <c r="J19" s="14" t="s">
        <v>73</v>
      </c>
      <c r="K19" s="1" t="s">
        <v>74</v>
      </c>
      <c r="L19" s="14" t="s">
        <v>75</v>
      </c>
      <c r="M19" s="14" t="s">
        <v>90</v>
      </c>
      <c r="N19" s="15">
        <v>150.0</v>
      </c>
      <c r="O19" s="14" t="s">
        <v>108</v>
      </c>
      <c r="P19" s="1" t="s">
        <v>78</v>
      </c>
      <c r="Q19" s="14" t="s">
        <v>79</v>
      </c>
      <c r="R19" s="1" t="s">
        <v>99</v>
      </c>
      <c r="S19" s="1" t="s">
        <v>136</v>
      </c>
      <c r="T19" s="1" t="s">
        <v>82</v>
      </c>
      <c r="U19" s="14" t="s">
        <v>101</v>
      </c>
      <c r="V19" s="1"/>
      <c r="W19" s="16">
        <v>320.327401399612</v>
      </c>
      <c r="X19" s="16">
        <v>129.177507400512</v>
      </c>
      <c r="Y19" s="17">
        <v>3.42359850811273</v>
      </c>
      <c r="Z19" s="17">
        <v>18.0283293344335</v>
      </c>
      <c r="AA19" s="17">
        <v>4.2459780185999</v>
      </c>
      <c r="AB19" s="17">
        <v>0.462075022199831</v>
      </c>
      <c r="AC19" s="17">
        <v>0.120612365876635</v>
      </c>
      <c r="AD19" s="17">
        <v>0.0216147788651011</v>
      </c>
      <c r="AE19" s="17">
        <v>0.147019654689776</v>
      </c>
      <c r="AF19" s="17">
        <v>0.533077098314277</v>
      </c>
      <c r="AG19" s="17">
        <v>0.121241868034622</v>
      </c>
      <c r="AH19" s="17">
        <v>0.147504171281421</v>
      </c>
      <c r="AI19" s="17">
        <v>0.534110131147697</v>
      </c>
      <c r="AJ19" s="17">
        <v>0.13516352077187</v>
      </c>
      <c r="AK19" s="17">
        <v>0.168474578117464</v>
      </c>
      <c r="AL19" s="17">
        <v>0.395598452779493</v>
      </c>
      <c r="AM19" s="17">
        <v>10.0</v>
      </c>
      <c r="AN19" s="17">
        <v>3.42359850811273</v>
      </c>
      <c r="AO19" s="17">
        <v>18.0283293344336</v>
      </c>
      <c r="AP19" s="17">
        <v>4.2459780185999</v>
      </c>
      <c r="AQ19" s="17">
        <v>0.46200903874809</v>
      </c>
      <c r="AR19" s="17">
        <v>3.24321996992614</v>
      </c>
      <c r="AS19" s="17">
        <v>15.5688371727813</v>
      </c>
      <c r="AT19" s="17">
        <v>3.94573658177803</v>
      </c>
      <c r="AU19" s="17">
        <v>0.534110131147697</v>
      </c>
      <c r="AV19" s="17">
        <v>3.61562418064754</v>
      </c>
      <c r="AW19" s="17">
        <v>20.3102995043311</v>
      </c>
      <c r="AX19" s="17">
        <v>4.50669496464217</v>
      </c>
      <c r="AY19" s="17">
        <v>0.395598452779493</v>
      </c>
      <c r="AZ19" s="18">
        <f t="shared" si="29"/>
        <v>0.3723707513</v>
      </c>
      <c r="BA19" s="18">
        <f t="shared" si="30"/>
        <v>0.3896506069</v>
      </c>
      <c r="BB19" s="18">
        <f t="shared" si="5"/>
        <v>0.3278970871</v>
      </c>
      <c r="BC19" s="18">
        <f t="shared" si="6"/>
        <v>0.1917452642</v>
      </c>
      <c r="BD19" s="18">
        <f t="shared" si="7"/>
        <v>0.2709634929</v>
      </c>
      <c r="BE19" s="18">
        <f t="shared" si="8"/>
        <v>0.2072119164</v>
      </c>
      <c r="BF19" s="18">
        <f t="shared" si="9"/>
        <v>0.1532131101</v>
      </c>
      <c r="BG19" s="18">
        <f t="shared" si="10"/>
        <v>-0.1233604118</v>
      </c>
      <c r="BH19" s="18">
        <f t="shared" si="11"/>
        <v>-0.100153725</v>
      </c>
      <c r="BI19" s="18">
        <f t="shared" ref="BI19:BJ19" si="33">((W19-W$36)/W$37)</f>
        <v>-0.5404496949</v>
      </c>
      <c r="BJ19" s="18">
        <f t="shared" si="33"/>
        <v>-1.045209976</v>
      </c>
      <c r="BK19" s="2"/>
    </row>
    <row r="20">
      <c r="A20" s="1" t="s">
        <v>66</v>
      </c>
      <c r="B20" s="13">
        <f t="shared" si="2"/>
        <v>0.1253538914</v>
      </c>
      <c r="C20" s="1" t="s">
        <v>168</v>
      </c>
      <c r="D20" s="1" t="s">
        <v>68</v>
      </c>
      <c r="E20" s="1" t="s">
        <v>69</v>
      </c>
      <c r="F20" s="1" t="s">
        <v>169</v>
      </c>
      <c r="G20" s="1" t="s">
        <v>170</v>
      </c>
      <c r="H20" s="1" t="s">
        <v>170</v>
      </c>
      <c r="I20" s="1" t="s">
        <v>171</v>
      </c>
      <c r="J20" s="14" t="s">
        <v>73</v>
      </c>
      <c r="K20" s="1" t="s">
        <v>74</v>
      </c>
      <c r="L20" s="14" t="s">
        <v>75</v>
      </c>
      <c r="M20" s="14" t="s">
        <v>90</v>
      </c>
      <c r="N20" s="15">
        <v>150.0</v>
      </c>
      <c r="O20" s="14" t="s">
        <v>77</v>
      </c>
      <c r="P20" s="1" t="s">
        <v>107</v>
      </c>
      <c r="Q20" s="14" t="s">
        <v>91</v>
      </c>
      <c r="R20" s="1" t="s">
        <v>99</v>
      </c>
      <c r="S20" s="1" t="s">
        <v>81</v>
      </c>
      <c r="T20" s="1" t="s">
        <v>82</v>
      </c>
      <c r="U20" s="14" t="s">
        <v>83</v>
      </c>
      <c r="V20" s="14" t="s">
        <v>158</v>
      </c>
      <c r="W20" s="16">
        <v>1465.66320610046</v>
      </c>
      <c r="X20" s="16">
        <v>144.244060277938</v>
      </c>
      <c r="Y20" s="17">
        <v>3.18516268261802</v>
      </c>
      <c r="Z20" s="17">
        <v>15.318110171574</v>
      </c>
      <c r="AA20" s="17">
        <v>3.91383573640668</v>
      </c>
      <c r="AB20" s="17">
        <v>0.542999404262801</v>
      </c>
      <c r="AC20" s="17">
        <v>0.10330962060209</v>
      </c>
      <c r="AD20" s="17">
        <v>0.0155425212081132</v>
      </c>
      <c r="AE20" s="17">
        <v>0.124669648303479</v>
      </c>
      <c r="AF20" s="17">
        <v>0.664250134257843</v>
      </c>
      <c r="AG20" s="17">
        <v>0.10366934941162</v>
      </c>
      <c r="AH20" s="17">
        <v>0.124876441511686</v>
      </c>
      <c r="AI20" s="17">
        <v>0.666085182230864</v>
      </c>
      <c r="AJ20" s="17">
        <v>0.135961419484419</v>
      </c>
      <c r="AK20" s="17">
        <v>0.166777434252086</v>
      </c>
      <c r="AL20" s="17">
        <v>0.407714106841679</v>
      </c>
      <c r="AM20" s="17">
        <v>10.0</v>
      </c>
      <c r="AN20" s="17">
        <v>3.18516268261803</v>
      </c>
      <c r="AO20" s="17">
        <v>15.318110171574</v>
      </c>
      <c r="AP20" s="17">
        <v>3.91383573640668</v>
      </c>
      <c r="AQ20" s="17">
        <v>0.542885829136276</v>
      </c>
      <c r="AR20" s="17">
        <v>2.77315509676084</v>
      </c>
      <c r="AS20" s="17">
        <v>11.1585715315795</v>
      </c>
      <c r="AT20" s="17">
        <v>3.3404448104376</v>
      </c>
      <c r="AU20" s="17">
        <v>0.666085182230864</v>
      </c>
      <c r="AV20" s="17">
        <v>3.63696797120823</v>
      </c>
      <c r="AW20" s="17">
        <v>19.9031652674558</v>
      </c>
      <c r="AX20" s="17">
        <v>4.46129636624331</v>
      </c>
      <c r="AY20" s="17">
        <v>0.407714106841679</v>
      </c>
      <c r="AZ20" s="18">
        <f t="shared" si="29"/>
        <v>-0.2464351183</v>
      </c>
      <c r="BA20" s="18">
        <f t="shared" si="30"/>
        <v>-0.2761114938</v>
      </c>
      <c r="BB20" s="18">
        <f t="shared" si="5"/>
        <v>0.359586665</v>
      </c>
      <c r="BC20" s="18">
        <f t="shared" si="6"/>
        <v>0.1412158898</v>
      </c>
      <c r="BD20" s="18">
        <f t="shared" si="7"/>
        <v>-0.07143833291</v>
      </c>
      <c r="BE20" s="18">
        <f t="shared" si="8"/>
        <v>-0.1699774705</v>
      </c>
      <c r="BF20" s="18">
        <f t="shared" si="9"/>
        <v>-0.440546774</v>
      </c>
      <c r="BG20" s="18">
        <f t="shared" si="10"/>
        <v>-0.1674388872</v>
      </c>
      <c r="BH20" s="18">
        <f t="shared" si="11"/>
        <v>-0.4324198014</v>
      </c>
      <c r="BI20" s="18">
        <f t="shared" ref="BI20:BJ20" si="34">((W20-W$36)/W$37)</f>
        <v>0.5827594126</v>
      </c>
      <c r="BJ20" s="18">
        <f t="shared" si="34"/>
        <v>-0.904215746</v>
      </c>
      <c r="BK20" s="2"/>
    </row>
    <row r="21">
      <c r="A21" s="1" t="s">
        <v>94</v>
      </c>
      <c r="B21" s="13">
        <f t="shared" si="2"/>
        <v>0.093536549</v>
      </c>
      <c r="C21" s="1" t="s">
        <v>172</v>
      </c>
      <c r="D21" s="1" t="s">
        <v>68</v>
      </c>
      <c r="E21" s="1" t="s">
        <v>69</v>
      </c>
      <c r="F21" s="1" t="s">
        <v>173</v>
      </c>
      <c r="G21" s="1" t="s">
        <v>174</v>
      </c>
      <c r="H21" s="1" t="s">
        <v>174</v>
      </c>
      <c r="I21" s="1" t="s">
        <v>175</v>
      </c>
      <c r="J21" s="14" t="s">
        <v>88</v>
      </c>
      <c r="K21" s="1" t="s">
        <v>74</v>
      </c>
      <c r="L21" s="14" t="s">
        <v>89</v>
      </c>
      <c r="M21" s="14" t="s">
        <v>90</v>
      </c>
      <c r="N21" s="15">
        <v>20.0</v>
      </c>
      <c r="O21" s="14" t="s">
        <v>108</v>
      </c>
      <c r="P21" s="1" t="s">
        <v>107</v>
      </c>
      <c r="Q21" s="14" t="s">
        <v>91</v>
      </c>
      <c r="R21" s="1" t="s">
        <v>126</v>
      </c>
      <c r="S21" s="1" t="s">
        <v>81</v>
      </c>
      <c r="T21" s="1" t="s">
        <v>82</v>
      </c>
      <c r="U21" s="14" t="s">
        <v>158</v>
      </c>
      <c r="V21" s="14" t="s">
        <v>83</v>
      </c>
      <c r="W21" s="16">
        <v>1808.0409450531</v>
      </c>
      <c r="X21" s="16">
        <v>354.730869531631</v>
      </c>
      <c r="Y21" s="17">
        <v>2.97912529499041</v>
      </c>
      <c r="Z21" s="17">
        <v>13.813213899196</v>
      </c>
      <c r="AA21" s="17">
        <v>3.71661322970201</v>
      </c>
      <c r="AB21" s="17">
        <v>0.583277083944528</v>
      </c>
      <c r="AC21" s="17">
        <v>0.0982396892534644</v>
      </c>
      <c r="AD21" s="17">
        <v>0.0140379253994591</v>
      </c>
      <c r="AE21" s="17">
        <v>0.118481751335212</v>
      </c>
      <c r="AF21" s="17">
        <v>0.671627772174445</v>
      </c>
      <c r="AG21" s="17">
        <v>0.0985819882569352</v>
      </c>
      <c r="AH21" s="17">
        <v>0.118686890555556</v>
      </c>
      <c r="AI21" s="17">
        <v>0.673094456264151</v>
      </c>
      <c r="AJ21" s="17">
        <v>0.109226762512342</v>
      </c>
      <c r="AK21" s="17">
        <v>0.139507917767301</v>
      </c>
      <c r="AL21" s="17">
        <v>0.552421598617254</v>
      </c>
      <c r="AM21" s="17">
        <v>10.0</v>
      </c>
      <c r="AN21" s="17">
        <v>2.9791252949904</v>
      </c>
      <c r="AO21" s="17">
        <v>13.813213899196</v>
      </c>
      <c r="AP21" s="17">
        <v>3.71661322970201</v>
      </c>
      <c r="AQ21" s="17">
        <v>0.583188978059855</v>
      </c>
      <c r="AR21" s="17">
        <v>2.72743500844188</v>
      </c>
      <c r="AS21" s="17">
        <v>10.782492863485</v>
      </c>
      <c r="AT21" s="17">
        <v>3.28367063870373</v>
      </c>
      <c r="AU21" s="17">
        <v>0.673094456264151</v>
      </c>
      <c r="AV21" s="17">
        <v>3.02194042950814</v>
      </c>
      <c r="AW21" s="17">
        <v>14.8974312084537</v>
      </c>
      <c r="AX21" s="17">
        <v>3.85971905822868</v>
      </c>
      <c r="AY21" s="17">
        <v>0.552421598617253</v>
      </c>
      <c r="AZ21" s="18">
        <f t="shared" si="29"/>
        <v>-0.4255835382</v>
      </c>
      <c r="BA21" s="18">
        <f t="shared" si="30"/>
        <v>-0.4582229336</v>
      </c>
      <c r="BB21" s="18">
        <f t="shared" si="5"/>
        <v>-0.5535577511</v>
      </c>
      <c r="BC21" s="18">
        <f t="shared" si="6"/>
        <v>-0.5283493853</v>
      </c>
      <c r="BD21" s="18">
        <f t="shared" si="7"/>
        <v>-0.3673149176</v>
      </c>
      <c r="BE21" s="18">
        <f t="shared" si="8"/>
        <v>-0.3939484623</v>
      </c>
      <c r="BF21" s="18">
        <f t="shared" si="9"/>
        <v>-0.4720817172</v>
      </c>
      <c r="BG21" s="18">
        <f t="shared" si="10"/>
        <v>-0.6939053561</v>
      </c>
      <c r="BH21" s="18">
        <f t="shared" si="11"/>
        <v>-0.5979972074</v>
      </c>
      <c r="BI21" s="18">
        <f t="shared" ref="BI21:BJ21" si="35">((W21-W$36)/W$37)</f>
        <v>0.9185227695</v>
      </c>
      <c r="BJ21" s="18">
        <f t="shared" si="35"/>
        <v>1.065539773</v>
      </c>
      <c r="BK21" s="2"/>
    </row>
    <row r="22">
      <c r="A22" s="1" t="s">
        <v>94</v>
      </c>
      <c r="B22" s="13">
        <f t="shared" si="2"/>
        <v>0.005034307685</v>
      </c>
      <c r="C22" s="1" t="s">
        <v>176</v>
      </c>
      <c r="D22" s="1" t="s">
        <v>68</v>
      </c>
      <c r="E22" s="1" t="s">
        <v>69</v>
      </c>
      <c r="F22" s="1" t="s">
        <v>177</v>
      </c>
      <c r="G22" s="1" t="s">
        <v>178</v>
      </c>
      <c r="H22" s="1" t="s">
        <v>178</v>
      </c>
      <c r="I22" s="1" t="s">
        <v>179</v>
      </c>
      <c r="J22" s="14" t="s">
        <v>88</v>
      </c>
      <c r="K22" s="1" t="s">
        <v>106</v>
      </c>
      <c r="L22" s="14" t="s">
        <v>163</v>
      </c>
      <c r="M22" s="14" t="s">
        <v>90</v>
      </c>
      <c r="N22" s="15">
        <v>20.0</v>
      </c>
      <c r="O22" s="14" t="s">
        <v>77</v>
      </c>
      <c r="P22" s="1" t="s">
        <v>78</v>
      </c>
      <c r="Q22" s="14" t="s">
        <v>91</v>
      </c>
      <c r="R22" s="1" t="s">
        <v>80</v>
      </c>
      <c r="S22" s="1" t="s">
        <v>92</v>
      </c>
      <c r="T22" s="1" t="s">
        <v>82</v>
      </c>
      <c r="U22" s="14" t="s">
        <v>121</v>
      </c>
      <c r="V22" s="14" t="s">
        <v>83</v>
      </c>
      <c r="W22" s="16">
        <v>550.850040435791</v>
      </c>
      <c r="X22" s="16">
        <v>326.742190122604</v>
      </c>
      <c r="Y22" s="17">
        <v>3.38070141500579</v>
      </c>
      <c r="Z22" s="17">
        <v>18.1478564036258</v>
      </c>
      <c r="AA22" s="17">
        <v>4.26003009421598</v>
      </c>
      <c r="AB22" s="17">
        <v>0.444866043962681</v>
      </c>
      <c r="AC22" s="17">
        <v>0.111704218384129</v>
      </c>
      <c r="AD22" s="17">
        <v>0.0184598889313358</v>
      </c>
      <c r="AE22" s="17">
        <v>0.135867173854967</v>
      </c>
      <c r="AF22" s="17">
        <v>0.552851229087793</v>
      </c>
      <c r="AG22" s="17">
        <v>0.112931225722844</v>
      </c>
      <c r="AH22" s="17">
        <v>0.13669183205009</v>
      </c>
      <c r="AI22" s="17">
        <v>0.556979011316915</v>
      </c>
      <c r="AJ22" s="17">
        <v>0.118570370246045</v>
      </c>
      <c r="AK22" s="17">
        <v>0.1527830705416</v>
      </c>
      <c r="AL22" s="17">
        <v>0.456632333179188</v>
      </c>
      <c r="AM22" s="17">
        <v>10.0</v>
      </c>
      <c r="AN22" s="17">
        <v>3.38070141500579</v>
      </c>
      <c r="AO22" s="17">
        <v>18.1478564036258</v>
      </c>
      <c r="AP22" s="17">
        <v>4.26003009421598</v>
      </c>
      <c r="AQ22" s="17">
        <v>0.444718536992008</v>
      </c>
      <c r="AR22" s="17">
        <v>3.12443057833216</v>
      </c>
      <c r="AS22" s="17">
        <v>14.3020668581231</v>
      </c>
      <c r="AT22" s="17">
        <v>3.78180735338582</v>
      </c>
      <c r="AU22" s="17">
        <v>0.556979011316915</v>
      </c>
      <c r="AV22" s="17">
        <v>3.28044691014065</v>
      </c>
      <c r="AW22" s="17">
        <v>17.86751450126</v>
      </c>
      <c r="AX22" s="17">
        <v>4.22699828498427</v>
      </c>
      <c r="AY22" s="17">
        <v>0.456632333179188</v>
      </c>
      <c r="AZ22" s="18">
        <f t="shared" si="29"/>
        <v>0.07971638832</v>
      </c>
      <c r="BA22" s="18">
        <f t="shared" si="30"/>
        <v>0.0715256446</v>
      </c>
      <c r="BB22" s="18">
        <f t="shared" si="5"/>
        <v>-0.1697477047</v>
      </c>
      <c r="BC22" s="18">
        <f t="shared" si="6"/>
        <v>-0.1195616647</v>
      </c>
      <c r="BD22" s="18">
        <f t="shared" si="7"/>
        <v>0.2093618315</v>
      </c>
      <c r="BE22" s="18">
        <f t="shared" si="8"/>
        <v>0.2231698177</v>
      </c>
      <c r="BF22" s="18">
        <f t="shared" si="9"/>
        <v>0.05032530273</v>
      </c>
      <c r="BG22" s="18">
        <f t="shared" si="10"/>
        <v>-0.3454103631</v>
      </c>
      <c r="BH22" s="18">
        <f t="shared" si="11"/>
        <v>-0.02911916555</v>
      </c>
      <c r="BI22" s="18">
        <f t="shared" ref="BI22:BJ22" si="36">((W22-W$36)/W$37)</f>
        <v>-0.3143805137</v>
      </c>
      <c r="BJ22" s="18">
        <f t="shared" si="36"/>
        <v>0.8036190576</v>
      </c>
      <c r="BK22" s="2"/>
    </row>
    <row r="23">
      <c r="A23" s="1" t="s">
        <v>94</v>
      </c>
      <c r="B23" s="13">
        <f t="shared" si="2"/>
        <v>-0.06782235111</v>
      </c>
      <c r="C23" s="1" t="s">
        <v>180</v>
      </c>
      <c r="D23" s="1" t="s">
        <v>68</v>
      </c>
      <c r="E23" s="1" t="s">
        <v>69</v>
      </c>
      <c r="F23" s="1" t="s">
        <v>181</v>
      </c>
      <c r="G23" s="1" t="s">
        <v>182</v>
      </c>
      <c r="H23" s="1" t="s">
        <v>182</v>
      </c>
      <c r="I23" s="1" t="s">
        <v>183</v>
      </c>
      <c r="J23" s="14" t="s">
        <v>88</v>
      </c>
      <c r="K23" s="1" t="s">
        <v>74</v>
      </c>
      <c r="L23" s="14" t="s">
        <v>89</v>
      </c>
      <c r="M23" s="14" t="s">
        <v>90</v>
      </c>
      <c r="N23" s="15">
        <v>150.0</v>
      </c>
      <c r="O23" s="14" t="s">
        <v>77</v>
      </c>
      <c r="P23" s="1" t="s">
        <v>107</v>
      </c>
      <c r="Q23" s="14" t="s">
        <v>79</v>
      </c>
      <c r="R23" s="1" t="s">
        <v>80</v>
      </c>
      <c r="S23" s="1" t="s">
        <v>92</v>
      </c>
      <c r="T23" s="1" t="s">
        <v>82</v>
      </c>
      <c r="U23" s="14" t="s">
        <v>83</v>
      </c>
      <c r="V23" s="1"/>
      <c r="W23" s="16">
        <v>1705.33039331436</v>
      </c>
      <c r="X23" s="16">
        <v>327.046343564987</v>
      </c>
      <c r="Y23" s="17">
        <v>3.23132418867527</v>
      </c>
      <c r="Z23" s="17">
        <v>16.0312750389585</v>
      </c>
      <c r="AA23" s="17">
        <v>4.00390747132829</v>
      </c>
      <c r="AB23" s="17">
        <v>0.51638925768023</v>
      </c>
      <c r="AC23" s="17">
        <v>0.100606489679871</v>
      </c>
      <c r="AD23" s="17">
        <v>0.0147209867953625</v>
      </c>
      <c r="AE23" s="17">
        <v>0.121330073746629</v>
      </c>
      <c r="AF23" s="17">
        <v>0.655649742235414</v>
      </c>
      <c r="AG23" s="17">
        <v>0.101096020792756</v>
      </c>
      <c r="AH23" s="17">
        <v>0.121711161736788</v>
      </c>
      <c r="AI23" s="17">
        <v>0.656222382822822</v>
      </c>
      <c r="AJ23" s="17">
        <v>0.122790157016703</v>
      </c>
      <c r="AK23" s="17">
        <v>0.154005617957024</v>
      </c>
      <c r="AL23" s="17">
        <v>0.454563075782435</v>
      </c>
      <c r="AM23" s="17">
        <v>10.0</v>
      </c>
      <c r="AN23" s="17">
        <v>3.23132418867526</v>
      </c>
      <c r="AO23" s="17">
        <v>16.0312750389585</v>
      </c>
      <c r="AP23" s="17">
        <v>4.00390747132829</v>
      </c>
      <c r="AQ23" s="17">
        <v>0.516259417920057</v>
      </c>
      <c r="AR23" s="17">
        <v>2.7969899085996</v>
      </c>
      <c r="AS23" s="17">
        <v>11.3389930971437</v>
      </c>
      <c r="AT23" s="17">
        <v>3.36734214138446</v>
      </c>
      <c r="AU23" s="17">
        <v>0.656222382822822</v>
      </c>
      <c r="AV23" s="17">
        <v>3.39719434412893</v>
      </c>
      <c r="AW23" s="17">
        <v>18.154604940673</v>
      </c>
      <c r="AX23" s="17">
        <v>4.26082209681102</v>
      </c>
      <c r="AY23" s="17">
        <v>0.454563075782434</v>
      </c>
      <c r="AZ23" s="18">
        <f t="shared" si="29"/>
        <v>-0.3370533665</v>
      </c>
      <c r="BA23" s="18">
        <f t="shared" si="30"/>
        <v>-0.3692416193</v>
      </c>
      <c r="BB23" s="18">
        <f t="shared" si="5"/>
        <v>0.003589682972</v>
      </c>
      <c r="BC23" s="18">
        <f t="shared" si="6"/>
        <v>-0.08191521497</v>
      </c>
      <c r="BD23" s="18">
        <f t="shared" si="7"/>
        <v>-0.005148865189</v>
      </c>
      <c r="BE23" s="18">
        <f t="shared" si="8"/>
        <v>-0.06768967307</v>
      </c>
      <c r="BF23" s="18">
        <f t="shared" si="9"/>
        <v>-0.3961737309</v>
      </c>
      <c r="BG23" s="18">
        <f t="shared" si="10"/>
        <v>-0.3378821099</v>
      </c>
      <c r="BH23" s="18">
        <f t="shared" si="11"/>
        <v>-0.3230305299</v>
      </c>
      <c r="BI23" s="18">
        <f t="shared" ref="BI23:BJ23" si="37">((W23-W$36)/W$37)</f>
        <v>0.8177964789</v>
      </c>
      <c r="BJ23" s="18">
        <f t="shared" si="37"/>
        <v>0.8064653544</v>
      </c>
      <c r="BK23" s="2"/>
    </row>
    <row r="24">
      <c r="A24" s="1" t="s">
        <v>94</v>
      </c>
      <c r="B24" s="13">
        <f t="shared" si="2"/>
        <v>-0.09544526154</v>
      </c>
      <c r="C24" s="1" t="s">
        <v>184</v>
      </c>
      <c r="D24" s="1" t="s">
        <v>68</v>
      </c>
      <c r="E24" s="1" t="s">
        <v>69</v>
      </c>
      <c r="F24" s="1" t="s">
        <v>185</v>
      </c>
      <c r="G24" s="1" t="s">
        <v>186</v>
      </c>
      <c r="H24" s="1" t="s">
        <v>186</v>
      </c>
      <c r="I24" s="1" t="s">
        <v>187</v>
      </c>
      <c r="J24" s="14" t="s">
        <v>88</v>
      </c>
      <c r="K24" s="1" t="s">
        <v>106</v>
      </c>
      <c r="L24" s="14" t="s">
        <v>163</v>
      </c>
      <c r="M24" s="14" t="s">
        <v>76</v>
      </c>
      <c r="N24" s="15">
        <v>20.0</v>
      </c>
      <c r="O24" s="14" t="s">
        <v>77</v>
      </c>
      <c r="P24" s="1" t="s">
        <v>107</v>
      </c>
      <c r="Q24" s="14" t="s">
        <v>91</v>
      </c>
      <c r="R24" s="1" t="s">
        <v>80</v>
      </c>
      <c r="S24" s="1" t="s">
        <v>92</v>
      </c>
      <c r="T24" s="1" t="s">
        <v>82</v>
      </c>
      <c r="U24" s="14" t="s">
        <v>83</v>
      </c>
      <c r="V24" s="14" t="s">
        <v>108</v>
      </c>
      <c r="W24" s="16">
        <v>722.599123477935</v>
      </c>
      <c r="X24" s="16">
        <v>334.385579824447</v>
      </c>
      <c r="Y24" s="17">
        <v>3.32957016238264</v>
      </c>
      <c r="Z24" s="17">
        <v>18.5399111746713</v>
      </c>
      <c r="AA24" s="17">
        <v>4.30579971372001</v>
      </c>
      <c r="AB24" s="17">
        <v>0.434770975720703</v>
      </c>
      <c r="AC24" s="17">
        <v>0.109660707065891</v>
      </c>
      <c r="AD24" s="17">
        <v>0.0185513316714923</v>
      </c>
      <c r="AE24" s="17">
        <v>0.136203273350872</v>
      </c>
      <c r="AF24" s="17">
        <v>0.553586211501758</v>
      </c>
      <c r="AG24" s="17">
        <v>0.111547985224348</v>
      </c>
      <c r="AH24" s="17">
        <v>0.137738057691207</v>
      </c>
      <c r="AI24" s="17">
        <v>0.552638615980109</v>
      </c>
      <c r="AJ24" s="17">
        <v>0.121278636954406</v>
      </c>
      <c r="AK24" s="17">
        <v>0.160915193030231</v>
      </c>
      <c r="AL24" s="17">
        <v>0.398543761694654</v>
      </c>
      <c r="AM24" s="17">
        <v>10.0</v>
      </c>
      <c r="AN24" s="17">
        <v>3.32957016238263</v>
      </c>
      <c r="AO24" s="17">
        <v>18.5399111746713</v>
      </c>
      <c r="AP24" s="17">
        <v>4.30579971372001</v>
      </c>
      <c r="AQ24" s="17">
        <v>0.434497095081602</v>
      </c>
      <c r="AR24" s="17">
        <v>3.08616092454032</v>
      </c>
      <c r="AS24" s="17">
        <v>14.5218378893631</v>
      </c>
      <c r="AT24" s="17">
        <v>3.81075292945674</v>
      </c>
      <c r="AU24" s="17">
        <v>0.552638615980109</v>
      </c>
      <c r="AV24" s="17">
        <v>3.35537562240527</v>
      </c>
      <c r="AW24" s="17">
        <v>19.8201883120082</v>
      </c>
      <c r="AX24" s="17">
        <v>4.45198700716974</v>
      </c>
      <c r="AY24" s="17">
        <v>0.398543761694654</v>
      </c>
      <c r="AZ24" s="18">
        <f t="shared" si="29"/>
        <v>0.03100639075</v>
      </c>
      <c r="BA24" s="18">
        <f t="shared" si="30"/>
        <v>0.1023081132</v>
      </c>
      <c r="BB24" s="18">
        <f t="shared" si="5"/>
        <v>-0.0584994588</v>
      </c>
      <c r="BC24" s="18">
        <f t="shared" si="6"/>
        <v>0.1308544226</v>
      </c>
      <c r="BD24" s="18">
        <f t="shared" si="7"/>
        <v>0.1359356413</v>
      </c>
      <c r="BE24" s="18">
        <f t="shared" si="8"/>
        <v>0.2751469843</v>
      </c>
      <c r="BF24" s="18">
        <f t="shared" si="9"/>
        <v>0.06985287716</v>
      </c>
      <c r="BG24" s="18">
        <f t="shared" si="10"/>
        <v>-0.1340758652</v>
      </c>
      <c r="BH24" s="18">
        <f t="shared" si="11"/>
        <v>0.012873579</v>
      </c>
      <c r="BI24" s="18">
        <f t="shared" ref="BI24:BJ24" si="38">((W24-W$36)/W$37)</f>
        <v>-0.1459494444</v>
      </c>
      <c r="BJ24" s="18">
        <f t="shared" si="38"/>
        <v>0.8751466232</v>
      </c>
      <c r="BK24" s="2"/>
    </row>
    <row r="25">
      <c r="A25" s="1" t="s">
        <v>94</v>
      </c>
      <c r="B25" s="13">
        <f t="shared" si="2"/>
        <v>-0.1796971184</v>
      </c>
      <c r="C25" s="1" t="s">
        <v>188</v>
      </c>
      <c r="D25" s="1" t="s">
        <v>68</v>
      </c>
      <c r="E25" s="1" t="s">
        <v>69</v>
      </c>
      <c r="F25" s="1" t="s">
        <v>189</v>
      </c>
      <c r="G25" s="1" t="s">
        <v>190</v>
      </c>
      <c r="H25" s="1" t="s">
        <v>190</v>
      </c>
      <c r="I25" s="1" t="s">
        <v>191</v>
      </c>
      <c r="J25" s="14" t="s">
        <v>73</v>
      </c>
      <c r="K25" s="1" t="s">
        <v>106</v>
      </c>
      <c r="L25" s="14" t="s">
        <v>73</v>
      </c>
      <c r="M25" s="14" t="s">
        <v>90</v>
      </c>
      <c r="N25" s="15">
        <v>20.0</v>
      </c>
      <c r="O25" s="14" t="s">
        <v>108</v>
      </c>
      <c r="P25" s="1" t="s">
        <v>107</v>
      </c>
      <c r="Q25" s="14" t="s">
        <v>91</v>
      </c>
      <c r="R25" s="1" t="s">
        <v>80</v>
      </c>
      <c r="S25" s="1" t="s">
        <v>81</v>
      </c>
      <c r="T25" s="1" t="s">
        <v>82</v>
      </c>
      <c r="U25" s="14" t="s">
        <v>158</v>
      </c>
      <c r="V25" s="14" t="s">
        <v>83</v>
      </c>
      <c r="W25" s="16">
        <v>782.196872234344</v>
      </c>
      <c r="X25" s="16">
        <v>134.419016361236</v>
      </c>
      <c r="Y25" s="17">
        <v>3.59668499344858</v>
      </c>
      <c r="Z25" s="17">
        <v>20.4885475500864</v>
      </c>
      <c r="AA25" s="17">
        <v>4.5264276808634</v>
      </c>
      <c r="AB25" s="17">
        <v>0.373882096335073</v>
      </c>
      <c r="AC25" s="17">
        <v>0.135009423575323</v>
      </c>
      <c r="AD25" s="17">
        <v>0.0272996314739839</v>
      </c>
      <c r="AE25" s="17">
        <v>0.165226001204362</v>
      </c>
      <c r="AF25" s="17">
        <v>0.385868480190761</v>
      </c>
      <c r="AG25" s="17">
        <v>0.137012063560603</v>
      </c>
      <c r="AH25" s="17">
        <v>0.166730971668846</v>
      </c>
      <c r="AI25" s="17">
        <v>0.390329356794748</v>
      </c>
      <c r="AJ25" s="17">
        <v>0.135139347396213</v>
      </c>
      <c r="AK25" s="17">
        <v>0.174127891750251</v>
      </c>
      <c r="AL25" s="17">
        <v>0.327694607252538</v>
      </c>
      <c r="AM25" s="17">
        <v>10.0</v>
      </c>
      <c r="AN25" s="17">
        <v>3.59668499344859</v>
      </c>
      <c r="AO25" s="17">
        <v>20.4885475500864</v>
      </c>
      <c r="AP25" s="17">
        <v>4.5264276808634</v>
      </c>
      <c r="AQ25" s="17">
        <v>0.373946804896583</v>
      </c>
      <c r="AR25" s="17">
        <v>3.66507270024614</v>
      </c>
      <c r="AS25" s="17">
        <v>19.8920771527649</v>
      </c>
      <c r="AT25" s="17">
        <v>4.46005349214164</v>
      </c>
      <c r="AU25" s="17">
        <v>0.390329356794748</v>
      </c>
      <c r="AV25" s="17">
        <v>3.6149775428487</v>
      </c>
      <c r="AW25" s="17">
        <v>21.6962290140625</v>
      </c>
      <c r="AX25" s="17">
        <v>4.65792110431923</v>
      </c>
      <c r="AY25" s="17">
        <v>0.327694607252538</v>
      </c>
      <c r="AZ25" s="18">
        <f t="shared" si="29"/>
        <v>0.927708877</v>
      </c>
      <c r="BA25" s="18">
        <f t="shared" si="30"/>
        <v>0.9553492053</v>
      </c>
      <c r="BB25" s="18">
        <f t="shared" si="5"/>
        <v>0.3269370103</v>
      </c>
      <c r="BC25" s="18">
        <f t="shared" si="6"/>
        <v>0.360062404</v>
      </c>
      <c r="BD25" s="18">
        <f t="shared" si="7"/>
        <v>0.5195214791</v>
      </c>
      <c r="BE25" s="18">
        <f t="shared" si="8"/>
        <v>0.5256978238</v>
      </c>
      <c r="BF25" s="18">
        <f t="shared" si="9"/>
        <v>0.8000873127</v>
      </c>
      <c r="BG25" s="18">
        <f t="shared" si="10"/>
        <v>0.1236834513</v>
      </c>
      <c r="BH25" s="18">
        <f t="shared" si="11"/>
        <v>0.261632305</v>
      </c>
      <c r="BI25" s="18">
        <f t="shared" ref="BI25:BJ25" si="39">((W25-W$36)/W$37)</f>
        <v>-0.08750306216</v>
      </c>
      <c r="BJ25" s="18">
        <f t="shared" si="39"/>
        <v>-0.9961594386</v>
      </c>
      <c r="BK25" s="2"/>
    </row>
    <row r="26">
      <c r="A26" s="1" t="s">
        <v>94</v>
      </c>
      <c r="B26" s="13">
        <f t="shared" si="2"/>
        <v>-0.2812293144</v>
      </c>
      <c r="C26" s="1" t="s">
        <v>192</v>
      </c>
      <c r="D26" s="1" t="s">
        <v>68</v>
      </c>
      <c r="E26" s="1" t="s">
        <v>69</v>
      </c>
      <c r="F26" s="1" t="s">
        <v>193</v>
      </c>
      <c r="G26" s="1" t="s">
        <v>194</v>
      </c>
      <c r="H26" s="1" t="s">
        <v>194</v>
      </c>
      <c r="I26" s="1" t="s">
        <v>195</v>
      </c>
      <c r="J26" s="14" t="s">
        <v>88</v>
      </c>
      <c r="K26" s="1" t="s">
        <v>74</v>
      </c>
      <c r="L26" s="14" t="s">
        <v>89</v>
      </c>
      <c r="M26" s="14" t="s">
        <v>76</v>
      </c>
      <c r="N26" s="15">
        <v>150.0</v>
      </c>
      <c r="O26" s="14" t="s">
        <v>77</v>
      </c>
      <c r="P26" s="1" t="s">
        <v>78</v>
      </c>
      <c r="Q26" s="14" t="s">
        <v>91</v>
      </c>
      <c r="R26" s="1" t="s">
        <v>99</v>
      </c>
      <c r="S26" s="1" t="s">
        <v>81</v>
      </c>
      <c r="T26" s="1" t="s">
        <v>82</v>
      </c>
      <c r="U26" s="14" t="s">
        <v>100</v>
      </c>
      <c r="V26" s="14" t="s">
        <v>83</v>
      </c>
      <c r="W26" s="16">
        <v>512.954291582107</v>
      </c>
      <c r="X26" s="16">
        <v>326.686750888824</v>
      </c>
      <c r="Y26" s="17">
        <v>3.66388170281665</v>
      </c>
      <c r="Z26" s="17">
        <v>19.8362312530614</v>
      </c>
      <c r="AA26" s="17">
        <v>4.45378841583897</v>
      </c>
      <c r="AB26" s="17">
        <v>0.401664471657592</v>
      </c>
      <c r="AC26" s="17">
        <v>0.127325538691521</v>
      </c>
      <c r="AD26" s="17">
        <v>0.0229650030364421</v>
      </c>
      <c r="AE26" s="17">
        <v>0.15154208338426</v>
      </c>
      <c r="AF26" s="17">
        <v>0.46548507257357</v>
      </c>
      <c r="AG26" s="17">
        <v>0.127696374095926</v>
      </c>
      <c r="AH26" s="17">
        <v>0.151737927064477</v>
      </c>
      <c r="AI26" s="17">
        <v>0.46816668112572</v>
      </c>
      <c r="AJ26" s="17">
        <v>0.138167120293037</v>
      </c>
      <c r="AK26" s="17">
        <v>0.169721611544357</v>
      </c>
      <c r="AL26" s="17">
        <v>0.336649324818615</v>
      </c>
      <c r="AM26" s="17">
        <v>10.0</v>
      </c>
      <c r="AN26" s="17">
        <v>3.66388170281668</v>
      </c>
      <c r="AO26" s="17">
        <v>19.8362312530614</v>
      </c>
      <c r="AP26" s="17">
        <v>4.45378841583897</v>
      </c>
      <c r="AQ26" s="17">
        <v>0.401636732605958</v>
      </c>
      <c r="AR26" s="17">
        <v>3.53293301665422</v>
      </c>
      <c r="AS26" s="17">
        <v>17.6238979260201</v>
      </c>
      <c r="AT26" s="17">
        <v>4.19808264878386</v>
      </c>
      <c r="AU26" s="17">
        <v>0.46816668112572</v>
      </c>
      <c r="AV26" s="17">
        <v>3.82262366144097</v>
      </c>
      <c r="AW26" s="17">
        <v>22.0489528615885</v>
      </c>
      <c r="AX26" s="17">
        <v>4.69563125272721</v>
      </c>
      <c r="AY26" s="17">
        <v>0.336649324818615</v>
      </c>
      <c r="AZ26" s="18">
        <f t="shared" si="29"/>
        <v>0.5996623719</v>
      </c>
      <c r="BA26" s="18">
        <f t="shared" si="30"/>
        <v>0.5142178601</v>
      </c>
      <c r="BB26" s="18">
        <f t="shared" si="5"/>
        <v>0.6352336</v>
      </c>
      <c r="BC26" s="18">
        <f t="shared" si="6"/>
        <v>0.4020344092</v>
      </c>
      <c r="BD26" s="18">
        <f t="shared" si="7"/>
        <v>0.6160182028</v>
      </c>
      <c r="BE26" s="18">
        <f t="shared" si="8"/>
        <v>0.4432067912</v>
      </c>
      <c r="BF26" s="18">
        <f t="shared" si="9"/>
        <v>0.4498947551</v>
      </c>
      <c r="BG26" s="18">
        <f t="shared" si="10"/>
        <v>0.09110491314</v>
      </c>
      <c r="BH26" s="18">
        <f t="shared" si="11"/>
        <v>0.1478737893</v>
      </c>
      <c r="BI26" s="18">
        <f t="shared" ref="BI26:BJ26" si="40">((W26-W$36)/W$37)</f>
        <v>-0.351544156</v>
      </c>
      <c r="BJ26" s="18">
        <f t="shared" si="40"/>
        <v>0.803100252</v>
      </c>
      <c r="BK26" s="2"/>
    </row>
    <row r="27">
      <c r="A27" s="1" t="s">
        <v>66</v>
      </c>
      <c r="B27" s="13">
        <f t="shared" si="2"/>
        <v>-0.3653108019</v>
      </c>
      <c r="C27" s="1" t="s">
        <v>196</v>
      </c>
      <c r="D27" s="1" t="s">
        <v>68</v>
      </c>
      <c r="E27" s="1" t="s">
        <v>69</v>
      </c>
      <c r="F27" s="1" t="s">
        <v>197</v>
      </c>
      <c r="G27" s="1" t="s">
        <v>198</v>
      </c>
      <c r="H27" s="1" t="s">
        <v>198</v>
      </c>
      <c r="I27" s="1" t="s">
        <v>199</v>
      </c>
      <c r="J27" s="14" t="s">
        <v>73</v>
      </c>
      <c r="K27" s="1" t="s">
        <v>106</v>
      </c>
      <c r="L27" s="14" t="s">
        <v>73</v>
      </c>
      <c r="M27" s="14" t="s">
        <v>76</v>
      </c>
      <c r="N27" s="15">
        <v>150.0</v>
      </c>
      <c r="O27" s="14" t="s">
        <v>108</v>
      </c>
      <c r="P27" s="1" t="s">
        <v>107</v>
      </c>
      <c r="Q27" s="14" t="s">
        <v>79</v>
      </c>
      <c r="R27" s="1" t="s">
        <v>126</v>
      </c>
      <c r="S27" s="1" t="s">
        <v>92</v>
      </c>
      <c r="T27" s="1" t="s">
        <v>82</v>
      </c>
      <c r="U27" s="14" t="s">
        <v>127</v>
      </c>
      <c r="V27" s="1"/>
      <c r="W27" s="16">
        <v>518.463577270507</v>
      </c>
      <c r="X27" s="16">
        <v>136.761530160903</v>
      </c>
      <c r="Y27" s="17">
        <v>3.8632912766075</v>
      </c>
      <c r="Z27" s="17">
        <v>24.6134171929491</v>
      </c>
      <c r="AA27" s="17">
        <v>4.96119110627167</v>
      </c>
      <c r="AB27" s="17">
        <v>0.262421905772219</v>
      </c>
      <c r="AC27" s="17">
        <v>0.132465916350079</v>
      </c>
      <c r="AD27" s="17">
        <v>0.0262538833758178</v>
      </c>
      <c r="AE27" s="17">
        <v>0.16203050137495</v>
      </c>
      <c r="AF27" s="17">
        <v>0.418396634255637</v>
      </c>
      <c r="AG27" s="17">
        <v>0.134255769453807</v>
      </c>
      <c r="AH27" s="17">
        <v>0.163256280751707</v>
      </c>
      <c r="AI27" s="17">
        <v>0.422768900101908</v>
      </c>
      <c r="AJ27" s="17">
        <v>0.145044665858107</v>
      </c>
      <c r="AK27" s="17">
        <v>0.194231675535424</v>
      </c>
      <c r="AL27" s="17">
        <v>0.195195335200693</v>
      </c>
      <c r="AM27" s="17">
        <v>10.0</v>
      </c>
      <c r="AN27" s="17">
        <v>3.8632912766075</v>
      </c>
      <c r="AO27" s="17">
        <v>24.6134171929491</v>
      </c>
      <c r="AP27" s="17">
        <v>4.96119110627167</v>
      </c>
      <c r="AQ27" s="17">
        <v>0.262215422606067</v>
      </c>
      <c r="AR27" s="17">
        <v>3.59134183288935</v>
      </c>
      <c r="AS27" s="17">
        <v>19.0716105364172</v>
      </c>
      <c r="AT27" s="17">
        <v>4.36710551010818</v>
      </c>
      <c r="AU27" s="17">
        <v>0.422768900101908</v>
      </c>
      <c r="AV27" s="17">
        <v>3.87994481170437</v>
      </c>
      <c r="AW27" s="17">
        <v>26.9952706470054</v>
      </c>
      <c r="AX27" s="17">
        <v>5.19569732057261</v>
      </c>
      <c r="AY27" s="17">
        <v>0.195195335200693</v>
      </c>
      <c r="AZ27" s="18">
        <f t="shared" si="29"/>
        <v>0.8306476071</v>
      </c>
      <c r="BA27" s="18">
        <f t="shared" si="30"/>
        <v>0.8531154617</v>
      </c>
      <c r="BB27" s="18">
        <f t="shared" si="5"/>
        <v>0.7203395258</v>
      </c>
      <c r="BC27" s="18">
        <f t="shared" si="6"/>
        <v>0.9586160319</v>
      </c>
      <c r="BD27" s="18">
        <f t="shared" si="7"/>
        <v>0.902377025</v>
      </c>
      <c r="BE27" s="18">
        <f t="shared" si="8"/>
        <v>1.019426441</v>
      </c>
      <c r="BF27" s="18">
        <f t="shared" si="9"/>
        <v>0.6541407923</v>
      </c>
      <c r="BG27" s="18">
        <f t="shared" si="10"/>
        <v>0.6057346778</v>
      </c>
      <c r="BH27" s="18">
        <f t="shared" si="11"/>
        <v>0.7206582854</v>
      </c>
      <c r="BI27" s="18">
        <f t="shared" ref="BI27:BJ27" si="41">((W27-W$36)/W$37)</f>
        <v>-0.346141304</v>
      </c>
      <c r="BJ27" s="18">
        <f t="shared" si="41"/>
        <v>-0.9742379724</v>
      </c>
      <c r="BK27" s="2"/>
    </row>
    <row r="28">
      <c r="A28" s="1" t="s">
        <v>66</v>
      </c>
      <c r="B28" s="13">
        <f t="shared" si="2"/>
        <v>-0.5497940887</v>
      </c>
      <c r="C28" s="1" t="s">
        <v>200</v>
      </c>
      <c r="D28" s="1" t="s">
        <v>68</v>
      </c>
      <c r="E28" s="1" t="s">
        <v>69</v>
      </c>
      <c r="F28" s="1" t="s">
        <v>201</v>
      </c>
      <c r="G28" s="1" t="s">
        <v>202</v>
      </c>
      <c r="H28" s="1" t="s">
        <v>202</v>
      </c>
      <c r="I28" s="1" t="s">
        <v>203</v>
      </c>
      <c r="J28" s="14" t="s">
        <v>88</v>
      </c>
      <c r="K28" s="1" t="s">
        <v>106</v>
      </c>
      <c r="L28" s="14" t="s">
        <v>163</v>
      </c>
      <c r="M28" s="14" t="s">
        <v>90</v>
      </c>
      <c r="N28" s="15">
        <v>20.0</v>
      </c>
      <c r="O28" s="14" t="s">
        <v>108</v>
      </c>
      <c r="P28" s="1" t="s">
        <v>107</v>
      </c>
      <c r="Q28" s="14" t="s">
        <v>91</v>
      </c>
      <c r="R28" s="1" t="s">
        <v>126</v>
      </c>
      <c r="S28" s="1" t="s">
        <v>81</v>
      </c>
      <c r="T28" s="1" t="s">
        <v>82</v>
      </c>
      <c r="U28" s="14" t="s">
        <v>127</v>
      </c>
      <c r="V28" s="1" t="s">
        <v>93</v>
      </c>
      <c r="W28" s="16">
        <v>1485.25092840194</v>
      </c>
      <c r="X28" s="16">
        <v>367.637141227722</v>
      </c>
      <c r="Y28" s="17">
        <v>3.8207623633897</v>
      </c>
      <c r="Z28" s="17">
        <v>23.0880796969104</v>
      </c>
      <c r="AA28" s="17">
        <v>4.80500569166264</v>
      </c>
      <c r="AB28" s="17">
        <v>0.293712404859201</v>
      </c>
      <c r="AC28" s="17">
        <v>0.134229278666123</v>
      </c>
      <c r="AD28" s="17">
        <v>0.0265722213012676</v>
      </c>
      <c r="AE28" s="17">
        <v>0.163009880992741</v>
      </c>
      <c r="AF28" s="17">
        <v>0.356348451528351</v>
      </c>
      <c r="AG28" s="17">
        <v>0.136060817006472</v>
      </c>
      <c r="AH28" s="17">
        <v>0.164326245388287</v>
      </c>
      <c r="AI28" s="17">
        <v>0.359744912448149</v>
      </c>
      <c r="AJ28" s="17">
        <v>0.137097442049429</v>
      </c>
      <c r="AK28" s="17">
        <v>0.176102764897162</v>
      </c>
      <c r="AL28" s="17">
        <v>0.278102274528531</v>
      </c>
      <c r="AM28" s="17">
        <v>10.0</v>
      </c>
      <c r="AN28" s="17">
        <v>3.38344618926681</v>
      </c>
      <c r="AO28" s="17">
        <v>18.1053242187014</v>
      </c>
      <c r="AP28" s="17">
        <v>4.25503516068921</v>
      </c>
      <c r="AQ28" s="17">
        <v>0.293559394178143</v>
      </c>
      <c r="AR28" s="17">
        <v>3.33349001665882</v>
      </c>
      <c r="AS28" s="17">
        <v>16.2086197327778</v>
      </c>
      <c r="AT28" s="17">
        <v>4.02599301201304</v>
      </c>
      <c r="AU28" s="17">
        <v>0.359744912448148</v>
      </c>
      <c r="AV28" s="17">
        <v>3.35888733021119</v>
      </c>
      <c r="AW28" s="17">
        <v>18.6150633286062</v>
      </c>
      <c r="AX28" s="17">
        <v>4.31451773998047</v>
      </c>
      <c r="AY28" s="17">
        <v>0.278102274528531</v>
      </c>
      <c r="AZ28" s="18">
        <f t="shared" si="29"/>
        <v>0.8942112911</v>
      </c>
      <c r="BA28" s="18">
        <f t="shared" si="30"/>
        <v>0.8845963885</v>
      </c>
      <c r="BB28" s="18">
        <f t="shared" si="5"/>
        <v>-0.05328555185</v>
      </c>
      <c r="BC28" s="18">
        <f t="shared" si="6"/>
        <v>-0.02215109553</v>
      </c>
      <c r="BD28" s="18">
        <f t="shared" si="7"/>
        <v>0.2133034192</v>
      </c>
      <c r="BE28" s="18">
        <f t="shared" si="8"/>
        <v>0.2174974417</v>
      </c>
      <c r="BF28" s="18">
        <f t="shared" si="9"/>
        <v>0.9376876847</v>
      </c>
      <c r="BG28" s="18">
        <f t="shared" si="10"/>
        <v>0.3041074222</v>
      </c>
      <c r="BH28" s="18">
        <f t="shared" si="11"/>
        <v>0.5918878632</v>
      </c>
      <c r="BI28" s="18">
        <f t="shared" ref="BI28:BJ28" si="42">((W28-W$36)/W$37)</f>
        <v>0.6019687205</v>
      </c>
      <c r="BJ28" s="18">
        <f t="shared" si="42"/>
        <v>1.186317888</v>
      </c>
      <c r="BK28" s="2"/>
    </row>
    <row r="29">
      <c r="A29" s="1" t="s">
        <v>66</v>
      </c>
      <c r="B29" s="13">
        <f t="shared" si="2"/>
        <v>-0.8454309433</v>
      </c>
      <c r="C29" s="1" t="s">
        <v>204</v>
      </c>
      <c r="D29" s="1" t="s">
        <v>68</v>
      </c>
      <c r="E29" s="1" t="s">
        <v>69</v>
      </c>
      <c r="F29" s="1" t="s">
        <v>205</v>
      </c>
      <c r="G29" s="1" t="s">
        <v>206</v>
      </c>
      <c r="H29" s="1" t="s">
        <v>206</v>
      </c>
      <c r="I29" s="1" t="s">
        <v>207</v>
      </c>
      <c r="J29" s="14" t="s">
        <v>88</v>
      </c>
      <c r="K29" s="1" t="s">
        <v>106</v>
      </c>
      <c r="L29" s="14" t="s">
        <v>163</v>
      </c>
      <c r="M29" s="14" t="s">
        <v>76</v>
      </c>
      <c r="N29" s="15">
        <v>150.0</v>
      </c>
      <c r="O29" s="14" t="s">
        <v>77</v>
      </c>
      <c r="P29" s="1" t="s">
        <v>78</v>
      </c>
      <c r="Q29" s="14" t="s">
        <v>91</v>
      </c>
      <c r="R29" s="1" t="s">
        <v>80</v>
      </c>
      <c r="S29" s="1" t="s">
        <v>92</v>
      </c>
      <c r="T29" s="1" t="s">
        <v>82</v>
      </c>
      <c r="U29" s="14" t="s">
        <v>83</v>
      </c>
      <c r="V29" s="1" t="s">
        <v>208</v>
      </c>
      <c r="W29" s="16">
        <v>642.216650485992</v>
      </c>
      <c r="X29" s="16">
        <v>388.818681001663</v>
      </c>
      <c r="Y29" s="17">
        <v>4.30153436723744</v>
      </c>
      <c r="Z29" s="17">
        <v>28.3142435926938</v>
      </c>
      <c r="AA29" s="17">
        <v>5.32111300318776</v>
      </c>
      <c r="AB29" s="17">
        <v>0.136447135939472</v>
      </c>
      <c r="AC29" s="17">
        <v>0.152263038521607</v>
      </c>
      <c r="AD29" s="17">
        <v>0.0338708004530236</v>
      </c>
      <c r="AE29" s="17">
        <v>0.184040214227824</v>
      </c>
      <c r="AF29" s="17">
        <v>0.18494302094024</v>
      </c>
      <c r="AG29" s="17">
        <v>0.154037007467037</v>
      </c>
      <c r="AH29" s="17">
        <v>0.185212834651591</v>
      </c>
      <c r="AI29" s="17">
        <v>0.191103900020399</v>
      </c>
      <c r="AJ29" s="17">
        <v>0.152989500677055</v>
      </c>
      <c r="AK29" s="17">
        <v>0.193624399824039</v>
      </c>
      <c r="AL29" s="17">
        <v>0.129176577288653</v>
      </c>
      <c r="AM29" s="17">
        <v>10.0</v>
      </c>
      <c r="AN29" s="17">
        <v>3.80919007219221</v>
      </c>
      <c r="AO29" s="17">
        <v>22.203603200556</v>
      </c>
      <c r="AP29" s="17">
        <v>4.71206994860602</v>
      </c>
      <c r="AQ29" s="17">
        <v>0.136361180407901</v>
      </c>
      <c r="AR29" s="17">
        <v>3.77390668294269</v>
      </c>
      <c r="AS29" s="17">
        <v>20.5908524203367</v>
      </c>
      <c r="AT29" s="17">
        <v>4.537714448964</v>
      </c>
      <c r="AU29" s="17">
        <v>0.191103900020399</v>
      </c>
      <c r="AV29" s="17">
        <v>3.74824276658809</v>
      </c>
      <c r="AW29" s="17">
        <v>22.5036175263836</v>
      </c>
      <c r="AX29" s="17">
        <v>4.74379779568898</v>
      </c>
      <c r="AY29" s="17">
        <v>0.129176577288653</v>
      </c>
      <c r="AZ29" s="18">
        <f t="shared" si="29"/>
        <v>1.527232226</v>
      </c>
      <c r="BA29" s="18">
        <f t="shared" si="30"/>
        <v>1.499129958</v>
      </c>
      <c r="BB29" s="18">
        <f t="shared" si="5"/>
        <v>0.5247987102</v>
      </c>
      <c r="BC29" s="18">
        <f t="shared" si="6"/>
        <v>0.4556445506</v>
      </c>
      <c r="BD29" s="18">
        <f t="shared" si="7"/>
        <v>0.8246858847</v>
      </c>
      <c r="BE29" s="18">
        <f t="shared" si="8"/>
        <v>0.736517996</v>
      </c>
      <c r="BF29" s="18">
        <f t="shared" si="9"/>
        <v>1.696408876</v>
      </c>
      <c r="BG29" s="18">
        <f t="shared" si="10"/>
        <v>0.8459203236</v>
      </c>
      <c r="BH29" s="18">
        <f t="shared" si="11"/>
        <v>1.237705204</v>
      </c>
      <c r="BI29" s="18">
        <f t="shared" ref="BI29:BJ29" si="43">((W29-W$36)/W$37)</f>
        <v>-0.2247790115</v>
      </c>
      <c r="BJ29" s="18">
        <f t="shared" si="43"/>
        <v>1.384536745</v>
      </c>
      <c r="BK29" s="2"/>
    </row>
    <row r="30">
      <c r="A30" s="1" t="s">
        <v>94</v>
      </c>
      <c r="B30" s="13">
        <f t="shared" si="2"/>
        <v>-0.9775480683</v>
      </c>
      <c r="C30" s="1" t="s">
        <v>209</v>
      </c>
      <c r="D30" s="1" t="s">
        <v>68</v>
      </c>
      <c r="E30" s="1" t="s">
        <v>69</v>
      </c>
      <c r="F30" s="1" t="s">
        <v>210</v>
      </c>
      <c r="G30" s="1" t="s">
        <v>211</v>
      </c>
      <c r="H30" s="1" t="s">
        <v>211</v>
      </c>
      <c r="I30" s="1" t="s">
        <v>212</v>
      </c>
      <c r="J30" s="14" t="s">
        <v>73</v>
      </c>
      <c r="K30" s="1" t="s">
        <v>106</v>
      </c>
      <c r="L30" s="14" t="s">
        <v>73</v>
      </c>
      <c r="M30" s="14" t="s">
        <v>90</v>
      </c>
      <c r="N30" s="15">
        <v>150.0</v>
      </c>
      <c r="O30" s="14" t="s">
        <v>77</v>
      </c>
      <c r="P30" s="1" t="s">
        <v>107</v>
      </c>
      <c r="Q30" s="14" t="s">
        <v>91</v>
      </c>
      <c r="R30" s="1" t="s">
        <v>80</v>
      </c>
      <c r="S30" s="1" t="s">
        <v>81</v>
      </c>
      <c r="T30" s="1" t="s">
        <v>82</v>
      </c>
      <c r="U30" s="14" t="s">
        <v>83</v>
      </c>
      <c r="V30" s="14" t="s">
        <v>108</v>
      </c>
      <c r="W30" s="16">
        <v>1511.48253822326</v>
      </c>
      <c r="X30" s="16">
        <v>141.622427463531</v>
      </c>
      <c r="Y30" s="17">
        <v>4.22566959815309</v>
      </c>
      <c r="Z30" s="17">
        <v>28.6807004967555</v>
      </c>
      <c r="AA30" s="17">
        <v>5.35543653652581</v>
      </c>
      <c r="AB30" s="17">
        <v>0.123412016858612</v>
      </c>
      <c r="AC30" s="17">
        <v>0.137155942762521</v>
      </c>
      <c r="AD30" s="17">
        <v>0.0289613478099261</v>
      </c>
      <c r="AE30" s="17">
        <v>0.170180339081593</v>
      </c>
      <c r="AF30" s="17">
        <v>0.348486569747883</v>
      </c>
      <c r="AG30" s="17">
        <v>0.139082447179005</v>
      </c>
      <c r="AH30" s="17">
        <v>0.171478184742357</v>
      </c>
      <c r="AI30" s="17">
        <v>0.355117671855561</v>
      </c>
      <c r="AJ30" s="17">
        <v>0.171984873646425</v>
      </c>
      <c r="AK30" s="17">
        <v>0.218573055146081</v>
      </c>
      <c r="AL30" s="17">
        <v>-0.0593102063052459</v>
      </c>
      <c r="AM30" s="17">
        <v>10.0</v>
      </c>
      <c r="AN30" s="17">
        <v>4.2256695981531</v>
      </c>
      <c r="AO30" s="17">
        <v>28.6807004967555</v>
      </c>
      <c r="AP30" s="17">
        <v>5.35543653652581</v>
      </c>
      <c r="AQ30" s="17">
        <v>0.123625325811726</v>
      </c>
      <c r="AR30" s="17">
        <v>3.72045546203839</v>
      </c>
      <c r="AS30" s="17">
        <v>21.0409491893234</v>
      </c>
      <c r="AT30" s="17">
        <v>4.58704144185807</v>
      </c>
      <c r="AU30" s="17">
        <v>0.355117671855562</v>
      </c>
      <c r="AV30" s="17">
        <v>4.6005953700419</v>
      </c>
      <c r="AW30" s="17">
        <v>34.185411988158</v>
      </c>
      <c r="AX30" s="17">
        <v>5.84682922515769</v>
      </c>
      <c r="AY30" s="17">
        <v>-0.0593102063052461</v>
      </c>
      <c r="AZ30" s="18">
        <f t="shared" si="29"/>
        <v>1.000616214</v>
      </c>
      <c r="BA30" s="18">
        <f t="shared" si="30"/>
        <v>1.095023604</v>
      </c>
      <c r="BB30" s="18">
        <f t="shared" si="5"/>
        <v>1.790304671</v>
      </c>
      <c r="BC30" s="18">
        <f t="shared" si="6"/>
        <v>1.683336375</v>
      </c>
      <c r="BD30" s="18">
        <f t="shared" si="7"/>
        <v>1.422764424</v>
      </c>
      <c r="BE30" s="18">
        <f t="shared" si="8"/>
        <v>1.467141773</v>
      </c>
      <c r="BF30" s="18">
        <f t="shared" si="9"/>
        <v>0.9585057849</v>
      </c>
      <c r="BG30" s="18">
        <f t="shared" si="10"/>
        <v>1.531662093</v>
      </c>
      <c r="BH30" s="18">
        <f t="shared" si="11"/>
        <v>1.290027909</v>
      </c>
      <c r="BI30" s="18">
        <f t="shared" ref="BI30:BJ30" si="44">((W30-W$36)/W$37)</f>
        <v>0.6276935628</v>
      </c>
      <c r="BJ30" s="18">
        <f t="shared" si="44"/>
        <v>-0.9287492345</v>
      </c>
      <c r="BK30" s="2"/>
    </row>
    <row r="31">
      <c r="A31" s="1" t="s">
        <v>66</v>
      </c>
      <c r="B31" s="13">
        <f t="shared" si="2"/>
        <v>-1.044547196</v>
      </c>
      <c r="C31" s="1" t="s">
        <v>213</v>
      </c>
      <c r="D31" s="1" t="s">
        <v>68</v>
      </c>
      <c r="E31" s="1" t="s">
        <v>69</v>
      </c>
      <c r="F31" s="1" t="s">
        <v>214</v>
      </c>
      <c r="G31" s="1" t="s">
        <v>215</v>
      </c>
      <c r="H31" s="1" t="s">
        <v>215</v>
      </c>
      <c r="I31" s="1" t="s">
        <v>216</v>
      </c>
      <c r="J31" s="14" t="s">
        <v>73</v>
      </c>
      <c r="K31" s="1" t="s">
        <v>106</v>
      </c>
      <c r="L31" s="14" t="s">
        <v>73</v>
      </c>
      <c r="M31" s="14" t="s">
        <v>90</v>
      </c>
      <c r="N31" s="15">
        <v>150.0</v>
      </c>
      <c r="O31" s="14" t="s">
        <v>108</v>
      </c>
      <c r="P31" s="1" t="s">
        <v>78</v>
      </c>
      <c r="Q31" s="14" t="s">
        <v>91</v>
      </c>
      <c r="R31" s="1" t="s">
        <v>126</v>
      </c>
      <c r="S31" s="1" t="s">
        <v>92</v>
      </c>
      <c r="T31" s="1" t="s">
        <v>82</v>
      </c>
      <c r="U31" s="14" t="s">
        <v>101</v>
      </c>
      <c r="V31" s="14" t="s">
        <v>100</v>
      </c>
      <c r="W31" s="16">
        <v>637.232214927673</v>
      </c>
      <c r="X31" s="16">
        <v>134.924242258071</v>
      </c>
      <c r="Y31" s="17">
        <v>4.45197472937108</v>
      </c>
      <c r="Z31" s="17">
        <v>32.7992140073073</v>
      </c>
      <c r="AA31" s="17">
        <v>5.72705980476084</v>
      </c>
      <c r="AB31" s="17">
        <v>-0.00228579980383286</v>
      </c>
      <c r="AC31" s="17">
        <v>0.160286582280926</v>
      </c>
      <c r="AD31" s="17">
        <v>0.0396198863093224</v>
      </c>
      <c r="AE31" s="17">
        <v>0.199047447382081</v>
      </c>
      <c r="AF31" s="17">
        <v>0.108712474122546</v>
      </c>
      <c r="AG31" s="17">
        <v>0.163695148575434</v>
      </c>
      <c r="AH31" s="17">
        <v>0.202013087666329</v>
      </c>
      <c r="AI31" s="17">
        <v>0.105002680826831</v>
      </c>
      <c r="AJ31" s="17">
        <v>0.162164646915586</v>
      </c>
      <c r="AK31" s="17">
        <v>0.215271155935826</v>
      </c>
      <c r="AL31" s="17">
        <v>-0.0275467663192752</v>
      </c>
      <c r="AM31" s="17">
        <v>10.0</v>
      </c>
      <c r="AN31" s="17">
        <v>4.45197472937109</v>
      </c>
      <c r="AO31" s="17">
        <v>32.7992140073073</v>
      </c>
      <c r="AP31" s="17">
        <v>5.72705980476084</v>
      </c>
      <c r="AQ31" s="17">
        <v>-0.00222100546452996</v>
      </c>
      <c r="AR31" s="17">
        <v>4.37884522439287</v>
      </c>
      <c r="AS31" s="17">
        <v>29.2015958500346</v>
      </c>
      <c r="AT31" s="17">
        <v>5.40385009507431</v>
      </c>
      <c r="AU31" s="17">
        <v>0.105002680826831</v>
      </c>
      <c r="AV31" s="17">
        <v>4.33790430499195</v>
      </c>
      <c r="AW31" s="17">
        <v>33.160361652932</v>
      </c>
      <c r="AX31" s="17">
        <v>5.75850342128335</v>
      </c>
      <c r="AY31" s="17">
        <v>-0.0275467663192754</v>
      </c>
      <c r="AZ31" s="18">
        <f t="shared" si="29"/>
        <v>1.867337964</v>
      </c>
      <c r="BA31" s="18">
        <f t="shared" si="30"/>
        <v>1.993433711</v>
      </c>
      <c r="BB31" s="18">
        <f t="shared" si="5"/>
        <v>1.400281684</v>
      </c>
      <c r="BC31" s="18">
        <f t="shared" si="6"/>
        <v>1.585028326</v>
      </c>
      <c r="BD31" s="18">
        <f t="shared" si="7"/>
        <v>1.747746166</v>
      </c>
      <c r="BE31" s="18">
        <f t="shared" si="8"/>
        <v>1.889166791</v>
      </c>
      <c r="BF31" s="18">
        <f t="shared" si="9"/>
        <v>2.083780955</v>
      </c>
      <c r="BG31" s="18">
        <f t="shared" si="10"/>
        <v>1.416102173</v>
      </c>
      <c r="BH31" s="18">
        <f t="shared" si="11"/>
        <v>1.807042327</v>
      </c>
      <c r="BI31" s="18">
        <f t="shared" ref="BI31:BJ31" si="45">((W31-W$36)/W$37)</f>
        <v>-0.229667153</v>
      </c>
      <c r="BJ31" s="18">
        <f t="shared" si="45"/>
        <v>-0.9914314868</v>
      </c>
      <c r="BK31" s="2"/>
    </row>
    <row r="32">
      <c r="A32" s="1" t="s">
        <v>94</v>
      </c>
      <c r="B32" s="13">
        <f t="shared" si="2"/>
        <v>-1.120302875</v>
      </c>
      <c r="C32" s="1" t="s">
        <v>217</v>
      </c>
      <c r="D32" s="1" t="s">
        <v>68</v>
      </c>
      <c r="E32" s="1" t="s">
        <v>69</v>
      </c>
      <c r="F32" s="1" t="s">
        <v>218</v>
      </c>
      <c r="G32" s="1" t="s">
        <v>219</v>
      </c>
      <c r="H32" s="1" t="s">
        <v>219</v>
      </c>
      <c r="I32" s="1" t="s">
        <v>220</v>
      </c>
      <c r="J32" s="14" t="s">
        <v>88</v>
      </c>
      <c r="K32" s="1" t="s">
        <v>106</v>
      </c>
      <c r="L32" s="14" t="s">
        <v>163</v>
      </c>
      <c r="M32" s="14" t="s">
        <v>76</v>
      </c>
      <c r="N32" s="15">
        <v>150.0</v>
      </c>
      <c r="O32" s="14" t="s">
        <v>108</v>
      </c>
      <c r="P32" s="1" t="s">
        <v>107</v>
      </c>
      <c r="Q32" s="14" t="s">
        <v>79</v>
      </c>
      <c r="R32" s="1" t="s">
        <v>99</v>
      </c>
      <c r="S32" s="1" t="s">
        <v>92</v>
      </c>
      <c r="T32" s="1" t="s">
        <v>82</v>
      </c>
      <c r="U32" s="14" t="s">
        <v>158</v>
      </c>
      <c r="V32" s="1"/>
      <c r="W32" s="16">
        <v>2395.49100732803</v>
      </c>
      <c r="X32" s="16">
        <v>316.036942243576</v>
      </c>
      <c r="Y32" s="17">
        <v>4.32116304233828</v>
      </c>
      <c r="Z32" s="17">
        <v>28.971010405598</v>
      </c>
      <c r="AA32" s="17">
        <v>5.38247251786742</v>
      </c>
      <c r="AB32" s="17">
        <v>0.11675134297523</v>
      </c>
      <c r="AC32" s="17">
        <v>0.115922751831048</v>
      </c>
      <c r="AD32" s="17">
        <v>0.0191140888054317</v>
      </c>
      <c r="AE32" s="17">
        <v>0.138253711723887</v>
      </c>
      <c r="AF32" s="17">
        <v>0.540044189364754</v>
      </c>
      <c r="AG32" s="17">
        <v>0.116905432831995</v>
      </c>
      <c r="AH32" s="17">
        <v>0.138769409076238</v>
      </c>
      <c r="AI32" s="17">
        <v>0.545914052404058</v>
      </c>
      <c r="AJ32" s="17">
        <v>0.160684336040808</v>
      </c>
      <c r="AK32" s="17">
        <v>0.206983883931095</v>
      </c>
      <c r="AL32" s="17">
        <v>0.00486271901587087</v>
      </c>
      <c r="AM32" s="17">
        <v>10.0</v>
      </c>
      <c r="AN32" s="17">
        <v>4.3211630423383</v>
      </c>
      <c r="AO32" s="17">
        <v>28.971010405598</v>
      </c>
      <c r="AP32" s="17">
        <v>5.38247251786742</v>
      </c>
      <c r="AQ32" s="17">
        <v>0.116328531003478</v>
      </c>
      <c r="AR32" s="17">
        <v>3.23438364168537</v>
      </c>
      <c r="AS32" s="17">
        <v>14.7401245489104</v>
      </c>
      <c r="AT32" s="17">
        <v>3.8392869844426</v>
      </c>
      <c r="AU32" s="17">
        <v>0.545914052404058</v>
      </c>
      <c r="AV32" s="17">
        <v>4.44559996379605</v>
      </c>
      <c r="AW32" s="17">
        <v>32.7934221132676</v>
      </c>
      <c r="AX32" s="17">
        <v>5.72655412209363</v>
      </c>
      <c r="AY32" s="17">
        <v>0.00486271901587065</v>
      </c>
      <c r="AZ32" s="18">
        <f t="shared" si="29"/>
        <v>0.2196657455</v>
      </c>
      <c r="BA32" s="18">
        <f t="shared" si="30"/>
        <v>0.1326529455</v>
      </c>
      <c r="BB32" s="18">
        <f t="shared" si="5"/>
        <v>1.560179709</v>
      </c>
      <c r="BC32" s="18">
        <f t="shared" si="6"/>
        <v>1.549468239</v>
      </c>
      <c r="BD32" s="18">
        <f t="shared" si="7"/>
        <v>1.559896206</v>
      </c>
      <c r="BE32" s="18">
        <f t="shared" si="8"/>
        <v>1.497844535</v>
      </c>
      <c r="BF32" s="18">
        <f t="shared" si="9"/>
        <v>0.1001068991</v>
      </c>
      <c r="BG32" s="18">
        <f t="shared" si="10"/>
        <v>1.298191849</v>
      </c>
      <c r="BH32" s="18">
        <f t="shared" si="11"/>
        <v>1.320005327</v>
      </c>
      <c r="BI32" s="18">
        <f t="shared" ref="BI32:BJ32" si="46">((W32-W$36)/W$37)</f>
        <v>1.494623907</v>
      </c>
      <c r="BJ32" s="18">
        <f t="shared" si="46"/>
        <v>0.7034383329</v>
      </c>
      <c r="BK32" s="2"/>
    </row>
    <row r="33">
      <c r="A33" s="1" t="s">
        <v>94</v>
      </c>
      <c r="B33" s="13">
        <f t="shared" si="2"/>
        <v>-1.971284798</v>
      </c>
      <c r="C33" s="1" t="s">
        <v>221</v>
      </c>
      <c r="D33" s="1" t="s">
        <v>68</v>
      </c>
      <c r="E33" s="1" t="s">
        <v>69</v>
      </c>
      <c r="F33" s="1" t="s">
        <v>222</v>
      </c>
      <c r="G33" s="1" t="s">
        <v>223</v>
      </c>
      <c r="H33" s="1" t="s">
        <v>223</v>
      </c>
      <c r="I33" s="1" t="s">
        <v>224</v>
      </c>
      <c r="J33" s="14" t="s">
        <v>88</v>
      </c>
      <c r="K33" s="1" t="s">
        <v>106</v>
      </c>
      <c r="L33" s="14" t="s">
        <v>163</v>
      </c>
      <c r="M33" s="14" t="s">
        <v>90</v>
      </c>
      <c r="N33" s="15">
        <v>150.0</v>
      </c>
      <c r="O33" s="14" t="s">
        <v>108</v>
      </c>
      <c r="P33" s="1" t="s">
        <v>78</v>
      </c>
      <c r="Q33" s="14" t="s">
        <v>91</v>
      </c>
      <c r="R33" s="1" t="s">
        <v>80</v>
      </c>
      <c r="S33" s="1" t="s">
        <v>81</v>
      </c>
      <c r="T33" s="1" t="s">
        <v>82</v>
      </c>
      <c r="U33" s="14" t="s">
        <v>101</v>
      </c>
      <c r="V33" s="14" t="s">
        <v>100</v>
      </c>
      <c r="W33" s="16">
        <v>658.823311805725</v>
      </c>
      <c r="X33" s="16">
        <v>326.405558347702</v>
      </c>
      <c r="Y33" s="17">
        <v>5.07400347333312</v>
      </c>
      <c r="Z33" s="17">
        <v>40.8092695168962</v>
      </c>
      <c r="AA33" s="17">
        <v>6.38821332744111</v>
      </c>
      <c r="AB33" s="17">
        <v>-0.248276477186462</v>
      </c>
      <c r="AC33" s="17">
        <v>0.174733362617384</v>
      </c>
      <c r="AD33" s="17">
        <v>0.0443754907400408</v>
      </c>
      <c r="AE33" s="17">
        <v>0.210654909128747</v>
      </c>
      <c r="AF33" s="17">
        <v>-0.0748952074869995</v>
      </c>
      <c r="AG33" s="17">
        <v>0.177234727596576</v>
      </c>
      <c r="AH33" s="17">
        <v>0.212591829224502</v>
      </c>
      <c r="AI33" s="17">
        <v>-0.0715990278465434</v>
      </c>
      <c r="AJ33" s="17">
        <v>0.188801353527601</v>
      </c>
      <c r="AK33" s="17">
        <v>0.247376760159367</v>
      </c>
      <c r="AL33" s="17">
        <v>-0.424495622146931</v>
      </c>
      <c r="AM33" s="17">
        <v>10.0</v>
      </c>
      <c r="AN33" s="17">
        <v>5.07400347333316</v>
      </c>
      <c r="AO33" s="17">
        <v>40.8092695168962</v>
      </c>
      <c r="AP33" s="17">
        <v>6.38821332744111</v>
      </c>
      <c r="AQ33" s="17">
        <v>-0.248667080983849</v>
      </c>
      <c r="AR33" s="17">
        <v>4.90349413017224</v>
      </c>
      <c r="AS33" s="17">
        <v>34.5944804712729</v>
      </c>
      <c r="AT33" s="17">
        <v>5.88170727521125</v>
      </c>
      <c r="AU33" s="17">
        <v>-0.0715990278465432</v>
      </c>
      <c r="AV33" s="17">
        <v>5.22350411426403</v>
      </c>
      <c r="AW33" s="17">
        <v>46.8415729161984</v>
      </c>
      <c r="AX33" s="17">
        <v>6.84409036440917</v>
      </c>
      <c r="AY33" s="17">
        <v>-0.42449562214693</v>
      </c>
      <c r="AZ33" s="18">
        <f t="shared" si="29"/>
        <v>2.344126246</v>
      </c>
      <c r="BA33" s="18">
        <f t="shared" si="30"/>
        <v>2.304685669</v>
      </c>
      <c r="BB33" s="18">
        <f t="shared" si="5"/>
        <v>2.715150476</v>
      </c>
      <c r="BC33" s="18">
        <f t="shared" si="6"/>
        <v>2.793304155</v>
      </c>
      <c r="BD33" s="18">
        <f t="shared" si="7"/>
        <v>2.641000262</v>
      </c>
      <c r="BE33" s="18">
        <f t="shared" si="8"/>
        <v>2.639989873</v>
      </c>
      <c r="BF33" s="18">
        <f t="shared" si="9"/>
        <v>2.878317568</v>
      </c>
      <c r="BG33" s="18">
        <f t="shared" si="10"/>
        <v>2.860258657</v>
      </c>
      <c r="BH33" s="18">
        <f t="shared" si="11"/>
        <v>2.819516612</v>
      </c>
      <c r="BI33" s="18">
        <f t="shared" ref="BI33:BJ33" si="47">((W33-W$36)/W$37)</f>
        <v>-0.2084931736</v>
      </c>
      <c r="BJ33" s="18">
        <f t="shared" si="47"/>
        <v>0.8004688255</v>
      </c>
      <c r="BK33" s="2"/>
    </row>
    <row r="34">
      <c r="A34" s="1" t="s">
        <v>66</v>
      </c>
      <c r="B34" s="13">
        <f t="shared" si="2"/>
        <v>-2.322423201</v>
      </c>
      <c r="C34" s="1" t="s">
        <v>225</v>
      </c>
      <c r="D34" s="1" t="s">
        <v>68</v>
      </c>
      <c r="E34" s="1" t="s">
        <v>69</v>
      </c>
      <c r="F34" s="1" t="s">
        <v>226</v>
      </c>
      <c r="G34" s="1" t="s">
        <v>227</v>
      </c>
      <c r="H34" s="1" t="s">
        <v>227</v>
      </c>
      <c r="I34" s="1" t="s">
        <v>228</v>
      </c>
      <c r="J34" s="14" t="s">
        <v>88</v>
      </c>
      <c r="K34" s="1" t="s">
        <v>106</v>
      </c>
      <c r="L34" s="14" t="s">
        <v>163</v>
      </c>
      <c r="M34" s="14" t="s">
        <v>90</v>
      </c>
      <c r="N34" s="15">
        <v>150.0</v>
      </c>
      <c r="O34" s="14" t="s">
        <v>77</v>
      </c>
      <c r="P34" s="1" t="s">
        <v>107</v>
      </c>
      <c r="Q34" s="14" t="s">
        <v>91</v>
      </c>
      <c r="R34" s="1" t="s">
        <v>126</v>
      </c>
      <c r="S34" s="1" t="s">
        <v>81</v>
      </c>
      <c r="T34" s="1" t="s">
        <v>82</v>
      </c>
      <c r="U34" s="14" t="s">
        <v>108</v>
      </c>
      <c r="V34" s="1" t="s">
        <v>229</v>
      </c>
      <c r="W34" s="16">
        <v>5565.9098200798</v>
      </c>
      <c r="X34" s="16">
        <v>398.928109407424</v>
      </c>
      <c r="Y34" s="17">
        <v>4.7433034578444</v>
      </c>
      <c r="Z34" s="17">
        <v>35.2856078692599</v>
      </c>
      <c r="AA34" s="17">
        <v>5.94016901015955</v>
      </c>
      <c r="AB34" s="17">
        <v>-0.0789850976727148</v>
      </c>
      <c r="AC34" s="17">
        <v>0.14897925444806</v>
      </c>
      <c r="AD34" s="17">
        <v>0.0312296952121025</v>
      </c>
      <c r="AE34" s="17">
        <v>0.176719255351822</v>
      </c>
      <c r="AF34" s="17">
        <v>0.24353175243921</v>
      </c>
      <c r="AG34" s="17">
        <v>0.150605009555922</v>
      </c>
      <c r="AH34" s="17">
        <v>0.177814250239628</v>
      </c>
      <c r="AI34" s="17">
        <v>0.250326258709133</v>
      </c>
      <c r="AJ34" s="17">
        <v>0.186464051456569</v>
      </c>
      <c r="AK34" s="17">
        <v>0.24311845095237</v>
      </c>
      <c r="AL34" s="17">
        <v>-0.375875584675194</v>
      </c>
      <c r="AM34" s="17">
        <v>10.0</v>
      </c>
      <c r="AN34" s="17">
        <v>4.20039523074176</v>
      </c>
      <c r="AO34" s="17">
        <v>27.6704420252154</v>
      </c>
      <c r="AP34" s="17">
        <v>5.26027014755092</v>
      </c>
      <c r="AQ34" s="17">
        <v>-0.079656105106399</v>
      </c>
      <c r="AR34" s="17">
        <v>3.68982273412032</v>
      </c>
      <c r="AS34" s="17">
        <v>18.9786490298657</v>
      </c>
      <c r="AT34" s="17">
        <v>4.35644913087089</v>
      </c>
      <c r="AU34" s="17">
        <v>0.250326258709133</v>
      </c>
      <c r="AV34" s="17">
        <v>4.56836926068629</v>
      </c>
      <c r="AW34" s="17">
        <v>35.4787253613865</v>
      </c>
      <c r="AX34" s="17">
        <v>5.95640204833308</v>
      </c>
      <c r="AY34" s="17">
        <v>-0.375875584675194</v>
      </c>
      <c r="AZ34" s="18">
        <f t="shared" si="29"/>
        <v>1.406376446</v>
      </c>
      <c r="BA34" s="18">
        <f t="shared" si="30"/>
        <v>1.281445853</v>
      </c>
      <c r="BB34" s="18">
        <f t="shared" si="5"/>
        <v>1.742457884</v>
      </c>
      <c r="BC34" s="18">
        <f t="shared" si="6"/>
        <v>1.805292699</v>
      </c>
      <c r="BD34" s="18">
        <f t="shared" si="7"/>
        <v>1.386469586</v>
      </c>
      <c r="BE34" s="18">
        <f t="shared" si="8"/>
        <v>1.359068355</v>
      </c>
      <c r="BF34" s="18">
        <f t="shared" si="9"/>
        <v>1.429965631</v>
      </c>
      <c r="BG34" s="18">
        <f t="shared" si="10"/>
        <v>2.683372034</v>
      </c>
      <c r="BH34" s="18">
        <f t="shared" si="11"/>
        <v>2.125168907</v>
      </c>
      <c r="BI34" s="18">
        <f t="shared" ref="BI34:BJ34" si="48">((W34-W$36)/W$37)</f>
        <v>4.603793524</v>
      </c>
      <c r="BJ34" s="18">
        <f t="shared" si="48"/>
        <v>1.479141735</v>
      </c>
      <c r="BK34" s="2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9"/>
      <c r="X35" s="20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21" t="s">
        <v>230</v>
      </c>
      <c r="U36" s="22" t="str">
        <f>AVERAGE(#REF!)</f>
        <v>#REF!</v>
      </c>
      <c r="V36" s="1"/>
      <c r="W36" s="16">
        <f t="shared" ref="W36:AY36" si="49">AVERAGE(W3:W34)</f>
        <v>871.423704</v>
      </c>
      <c r="X36" s="16">
        <f t="shared" si="49"/>
        <v>240.8679739</v>
      </c>
      <c r="Y36" s="16">
        <f t="shared" si="49"/>
        <v>3.367826853</v>
      </c>
      <c r="Z36" s="16">
        <f t="shared" si="49"/>
        <v>18.5921102</v>
      </c>
      <c r="AA36" s="16">
        <f t="shared" si="49"/>
        <v>4.229167139</v>
      </c>
      <c r="AB36" s="16">
        <f t="shared" si="49"/>
        <v>0.4377633779</v>
      </c>
      <c r="AC36" s="16">
        <f t="shared" si="49"/>
        <v>0.1096575338</v>
      </c>
      <c r="AD36" s="16">
        <f t="shared" si="49"/>
        <v>0.01891835984</v>
      </c>
      <c r="AE36" s="16">
        <f t="shared" si="49"/>
        <v>0.1335405047</v>
      </c>
      <c r="AF36" s="16">
        <f t="shared" si="49"/>
        <v>0.5658747206</v>
      </c>
      <c r="AG36" s="16">
        <f t="shared" si="49"/>
        <v>0.1106674823</v>
      </c>
      <c r="AH36" s="16">
        <f t="shared" si="49"/>
        <v>0.1342608391</v>
      </c>
      <c r="AI36" s="16">
        <f t="shared" si="49"/>
        <v>0.5681648199</v>
      </c>
      <c r="AJ36" s="16">
        <f t="shared" si="49"/>
        <v>0.1299758181</v>
      </c>
      <c r="AK36" s="16">
        <f t="shared" si="49"/>
        <v>0.1658866897</v>
      </c>
      <c r="AL36" s="16">
        <f t="shared" si="49"/>
        <v>0.3616909262</v>
      </c>
      <c r="AM36" s="16">
        <f t="shared" si="49"/>
        <v>10</v>
      </c>
      <c r="AN36" s="16">
        <f t="shared" si="49"/>
        <v>3.234909666</v>
      </c>
      <c r="AO36" s="16">
        <f t="shared" si="49"/>
        <v>17.26331353</v>
      </c>
      <c r="AP36" s="16">
        <f t="shared" si="49"/>
        <v>4.063513079</v>
      </c>
      <c r="AQ36" s="16">
        <f t="shared" si="49"/>
        <v>0.4376306493</v>
      </c>
      <c r="AR36" s="16">
        <f t="shared" si="49"/>
        <v>2.896039728</v>
      </c>
      <c r="AS36" s="16">
        <f t="shared" si="49"/>
        <v>13.20359304</v>
      </c>
      <c r="AT36" s="16">
        <f t="shared" si="49"/>
        <v>3.513767099</v>
      </c>
      <c r="AU36" s="16">
        <f t="shared" si="49"/>
        <v>0.5681648199</v>
      </c>
      <c r="AV36" s="16">
        <f t="shared" si="49"/>
        <v>3.394776595</v>
      </c>
      <c r="AW36" s="16">
        <f t="shared" si="49"/>
        <v>19.56919691</v>
      </c>
      <c r="AX36" s="16">
        <f t="shared" si="49"/>
        <v>4.334419603</v>
      </c>
      <c r="AY36" s="16">
        <f t="shared" si="49"/>
        <v>0.3616909262</v>
      </c>
      <c r="AZ36" s="19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21" t="s">
        <v>231</v>
      </c>
      <c r="U37" s="22" t="str">
        <f>STDEV(#REF!)</f>
        <v>#REF!</v>
      </c>
      <c r="V37" s="1"/>
      <c r="W37" s="16">
        <f t="shared" ref="W37:AY37" si="50">STDEV(W3:W34)</f>
        <v>1019.699535</v>
      </c>
      <c r="X37" s="16">
        <f t="shared" si="50"/>
        <v>106.8593575</v>
      </c>
      <c r="Y37" s="16">
        <f t="shared" si="50"/>
        <v>0.6797505787</v>
      </c>
      <c r="Z37" s="16">
        <f t="shared" si="50"/>
        <v>7.880747764</v>
      </c>
      <c r="AA37" s="16">
        <f t="shared" si="50"/>
        <v>0.8538371893</v>
      </c>
      <c r="AB37" s="16">
        <f t="shared" si="50"/>
        <v>0.2433498479</v>
      </c>
      <c r="AC37" s="16">
        <f t="shared" si="50"/>
        <v>0.02775479459</v>
      </c>
      <c r="AD37" s="16">
        <f t="shared" si="50"/>
        <v>0.009308793083</v>
      </c>
      <c r="AE37" s="16">
        <f t="shared" si="50"/>
        <v>0.03347092652</v>
      </c>
      <c r="AF37" s="16">
        <f t="shared" si="50"/>
        <v>0.223007601</v>
      </c>
      <c r="AG37" s="16">
        <f t="shared" si="50"/>
        <v>0.02839746597</v>
      </c>
      <c r="AH37" s="16">
        <f t="shared" si="50"/>
        <v>0.03398771084</v>
      </c>
      <c r="AI37" s="16">
        <f t="shared" si="50"/>
        <v>0.2222700701</v>
      </c>
      <c r="AJ37" s="16">
        <f t="shared" si="50"/>
        <v>0.0239592422</v>
      </c>
      <c r="AK37" s="16">
        <f t="shared" si="50"/>
        <v>0.03185582798</v>
      </c>
      <c r="AL37" s="16">
        <f t="shared" si="50"/>
        <v>0.2748655428</v>
      </c>
      <c r="AM37" s="16">
        <f t="shared" si="50"/>
        <v>0</v>
      </c>
      <c r="AN37" s="16">
        <f t="shared" si="50"/>
        <v>0.6963625994</v>
      </c>
      <c r="AO37" s="16">
        <f t="shared" si="50"/>
        <v>7.772884089</v>
      </c>
      <c r="AP37" s="16">
        <f t="shared" si="50"/>
        <v>0.8805716539</v>
      </c>
      <c r="AQ37" s="16">
        <f t="shared" si="50"/>
        <v>0.2434097133</v>
      </c>
      <c r="AR37" s="16">
        <f t="shared" si="50"/>
        <v>0.7833101918</v>
      </c>
      <c r="AS37" s="16">
        <f t="shared" si="50"/>
        <v>6.95119199</v>
      </c>
      <c r="AT37" s="16">
        <f t="shared" si="50"/>
        <v>0.9405743284</v>
      </c>
      <c r="AU37" s="16">
        <f t="shared" si="50"/>
        <v>0.2222700701</v>
      </c>
      <c r="AV37" s="16">
        <f t="shared" si="50"/>
        <v>0.6735271342</v>
      </c>
      <c r="AW37" s="16">
        <f t="shared" si="50"/>
        <v>8.63311045</v>
      </c>
      <c r="AX37" s="16">
        <f t="shared" si="50"/>
        <v>0.8984595384</v>
      </c>
      <c r="AY37" s="16">
        <f t="shared" si="50"/>
        <v>0.2748655428</v>
      </c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9"/>
      <c r="X38" s="20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9"/>
      <c r="X39" s="20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9"/>
      <c r="X40" s="20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9"/>
      <c r="X41" s="20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9"/>
      <c r="X42" s="20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9"/>
      <c r="X43" s="20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9"/>
      <c r="X44" s="20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9"/>
      <c r="X45" s="20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9"/>
      <c r="X46" s="20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9"/>
      <c r="X47" s="20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9"/>
      <c r="X48" s="20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9"/>
      <c r="X49" s="20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9"/>
      <c r="X50" s="20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9"/>
      <c r="X51" s="20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9"/>
      <c r="X52" s="20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9"/>
      <c r="X53" s="20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9"/>
      <c r="X54" s="20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9"/>
      <c r="X55" s="20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9"/>
      <c r="X56" s="20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9"/>
      <c r="X57" s="20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9"/>
      <c r="X58" s="20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9"/>
      <c r="X59" s="20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9"/>
      <c r="X60" s="20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9"/>
      <c r="X61" s="20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9"/>
      <c r="X62" s="20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9"/>
      <c r="X63" s="20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9"/>
      <c r="X64" s="20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9"/>
      <c r="X65" s="20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9"/>
      <c r="X66" s="20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9"/>
      <c r="X67" s="20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9"/>
      <c r="X68" s="20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9"/>
      <c r="X69" s="20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9"/>
      <c r="X70" s="20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9"/>
      <c r="X71" s="20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9"/>
      <c r="X72" s="20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9"/>
      <c r="X73" s="20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9"/>
      <c r="X74" s="20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9"/>
      <c r="X75" s="20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9"/>
      <c r="X76" s="20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9"/>
      <c r="X77" s="20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9"/>
      <c r="X78" s="20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9"/>
      <c r="X79" s="20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9"/>
      <c r="X80" s="20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9"/>
      <c r="X81" s="20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9"/>
      <c r="X82" s="20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9"/>
      <c r="X83" s="20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9"/>
      <c r="X84" s="20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9"/>
      <c r="X85" s="20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9"/>
      <c r="X86" s="20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9"/>
      <c r="X87" s="20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9"/>
      <c r="X88" s="20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9"/>
      <c r="X89" s="20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9"/>
      <c r="X90" s="20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9"/>
      <c r="X91" s="20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9"/>
      <c r="X92" s="20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9"/>
      <c r="X93" s="20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9"/>
      <c r="X94" s="20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9"/>
      <c r="X95" s="20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9"/>
      <c r="X96" s="20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9"/>
      <c r="X97" s="20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9"/>
      <c r="X98" s="20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9"/>
      <c r="X99" s="20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9"/>
      <c r="X100" s="20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9"/>
      <c r="X101" s="20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9"/>
      <c r="X102" s="20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9"/>
      <c r="X103" s="20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9"/>
      <c r="X104" s="20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9"/>
      <c r="X105" s="20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9"/>
      <c r="X106" s="20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9"/>
      <c r="X107" s="20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9"/>
      <c r="X108" s="20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9"/>
      <c r="X109" s="20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9"/>
      <c r="X110" s="20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9"/>
      <c r="X111" s="20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9"/>
      <c r="X112" s="20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9"/>
      <c r="X113" s="20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9"/>
      <c r="X114" s="20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9"/>
      <c r="X115" s="20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9"/>
      <c r="X116" s="20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9"/>
      <c r="X117" s="20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9"/>
      <c r="X118" s="20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9"/>
      <c r="X119" s="20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9"/>
      <c r="X120" s="20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9"/>
      <c r="X121" s="20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9"/>
      <c r="X122" s="20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9"/>
      <c r="X123" s="20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9"/>
      <c r="X124" s="20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9"/>
      <c r="X125" s="20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9"/>
      <c r="X126" s="20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9"/>
      <c r="X127" s="20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9"/>
      <c r="X128" s="20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9"/>
      <c r="X129" s="20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9"/>
      <c r="X130" s="20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9"/>
      <c r="X131" s="20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9"/>
      <c r="X132" s="20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9"/>
      <c r="X133" s="20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9"/>
      <c r="X134" s="20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9"/>
      <c r="X135" s="20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9"/>
      <c r="X136" s="20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9"/>
      <c r="X137" s="20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9"/>
      <c r="X138" s="20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9"/>
      <c r="X139" s="20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9"/>
      <c r="X140" s="20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9"/>
      <c r="X141" s="20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9"/>
      <c r="X142" s="20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9"/>
      <c r="X143" s="20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9"/>
      <c r="X144" s="20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9"/>
      <c r="X145" s="20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9"/>
      <c r="X146" s="20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9"/>
      <c r="X147" s="20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9"/>
      <c r="X148" s="20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9"/>
      <c r="X149" s="20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9"/>
      <c r="X150" s="20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9"/>
      <c r="X151" s="20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9"/>
      <c r="X152" s="20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9"/>
      <c r="X153" s="20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9"/>
      <c r="X154" s="20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9"/>
      <c r="X155" s="20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9"/>
      <c r="X156" s="20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9"/>
      <c r="X157" s="20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9"/>
      <c r="X158" s="20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9"/>
      <c r="X159" s="20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9"/>
      <c r="X160" s="20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9"/>
      <c r="X161" s="20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9"/>
      <c r="X162" s="20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9"/>
      <c r="X163" s="20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9"/>
      <c r="X164" s="20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9"/>
      <c r="X165" s="20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9"/>
      <c r="X166" s="20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9"/>
      <c r="X167" s="20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9"/>
      <c r="X168" s="20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9"/>
      <c r="X169" s="20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9"/>
      <c r="X170" s="20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9"/>
      <c r="X171" s="20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9"/>
      <c r="X172" s="20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9"/>
      <c r="X173" s="20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9"/>
      <c r="X174" s="20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9"/>
      <c r="X175" s="20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9"/>
      <c r="X176" s="20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9"/>
      <c r="X177" s="20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9"/>
      <c r="X178" s="20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9"/>
      <c r="X179" s="20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9"/>
      <c r="X180" s="20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9"/>
      <c r="X181" s="20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9"/>
      <c r="X182" s="20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9"/>
      <c r="X183" s="20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9"/>
      <c r="X184" s="20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9"/>
      <c r="X185" s="20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9"/>
      <c r="X186" s="20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9"/>
      <c r="X187" s="20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9"/>
      <c r="X188" s="20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9"/>
      <c r="X189" s="20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9"/>
      <c r="X190" s="20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9"/>
      <c r="X191" s="20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9"/>
      <c r="X192" s="20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9"/>
      <c r="X193" s="20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9"/>
      <c r="X194" s="20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9"/>
      <c r="X195" s="20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9"/>
      <c r="X196" s="20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9"/>
      <c r="X197" s="20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9"/>
      <c r="X198" s="20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9"/>
      <c r="X199" s="20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9"/>
      <c r="X200" s="20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9"/>
      <c r="X201" s="20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9"/>
      <c r="X202" s="20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9"/>
      <c r="X203" s="20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9"/>
      <c r="X204" s="20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9"/>
      <c r="X205" s="20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9"/>
      <c r="X206" s="20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9"/>
      <c r="X207" s="20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9"/>
      <c r="X208" s="20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9"/>
      <c r="X209" s="20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9"/>
      <c r="X210" s="20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9"/>
      <c r="X211" s="20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9"/>
      <c r="X212" s="20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9"/>
      <c r="X213" s="20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9"/>
      <c r="X214" s="20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9"/>
      <c r="X215" s="20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9"/>
      <c r="X216" s="20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9"/>
      <c r="X217" s="20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9"/>
      <c r="X218" s="20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9"/>
      <c r="X219" s="20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9"/>
      <c r="X220" s="20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9"/>
      <c r="X221" s="20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9"/>
      <c r="X222" s="20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9"/>
      <c r="X223" s="20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9"/>
      <c r="X224" s="20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9"/>
      <c r="X225" s="20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9"/>
      <c r="X226" s="20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9"/>
      <c r="X227" s="20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9"/>
      <c r="X228" s="20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9"/>
      <c r="X229" s="20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9"/>
      <c r="X230" s="20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9"/>
      <c r="X231" s="20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9"/>
      <c r="X232" s="20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9"/>
      <c r="X233" s="20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9"/>
      <c r="X234" s="20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9"/>
      <c r="X235" s="20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9"/>
      <c r="X236" s="20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9"/>
      <c r="X237" s="20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9"/>
      <c r="X238" s="20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9"/>
      <c r="X239" s="20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9"/>
      <c r="X240" s="20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9"/>
      <c r="X241" s="20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9"/>
      <c r="X242" s="20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9"/>
      <c r="X243" s="20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9"/>
      <c r="X244" s="20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9"/>
      <c r="X245" s="20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9"/>
      <c r="X246" s="20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9"/>
      <c r="X247" s="20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9"/>
      <c r="X248" s="20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9"/>
      <c r="X249" s="20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9"/>
      <c r="X250" s="20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9"/>
      <c r="X251" s="20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9"/>
      <c r="X252" s="20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9"/>
      <c r="X253" s="20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9"/>
      <c r="X254" s="20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9"/>
      <c r="X255" s="20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9"/>
      <c r="X256" s="20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9"/>
      <c r="X257" s="20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9"/>
      <c r="X258" s="20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9"/>
      <c r="X259" s="20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9"/>
      <c r="X260" s="20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9"/>
      <c r="X261" s="20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9"/>
      <c r="X262" s="20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9"/>
      <c r="X263" s="20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9"/>
      <c r="X264" s="20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9"/>
      <c r="X265" s="20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9"/>
      <c r="X266" s="20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9"/>
      <c r="X267" s="20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9"/>
      <c r="X268" s="20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9"/>
      <c r="X269" s="20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9"/>
      <c r="X270" s="20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9"/>
      <c r="X271" s="20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9"/>
      <c r="X272" s="20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9"/>
      <c r="X273" s="20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9"/>
      <c r="X274" s="20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9"/>
      <c r="X275" s="20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9"/>
      <c r="X276" s="20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9"/>
      <c r="X277" s="20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9"/>
      <c r="X278" s="20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9"/>
      <c r="X279" s="20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9"/>
      <c r="X280" s="20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9"/>
      <c r="X281" s="20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9"/>
      <c r="X282" s="20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9"/>
      <c r="X283" s="20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9"/>
      <c r="X284" s="20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9"/>
      <c r="X285" s="20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9"/>
      <c r="X286" s="20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9"/>
      <c r="X287" s="20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9"/>
      <c r="X288" s="20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9"/>
      <c r="X289" s="20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9"/>
      <c r="X290" s="20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9"/>
      <c r="X291" s="20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9"/>
      <c r="X292" s="20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9"/>
      <c r="X293" s="20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9"/>
      <c r="X294" s="20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9"/>
      <c r="X295" s="20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9"/>
      <c r="X296" s="20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9"/>
      <c r="X297" s="20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9"/>
      <c r="X298" s="20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9"/>
      <c r="X299" s="20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9"/>
      <c r="X300" s="20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9"/>
      <c r="X301" s="20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9"/>
      <c r="X302" s="20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9"/>
      <c r="X303" s="20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9"/>
      <c r="X304" s="20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9"/>
      <c r="X305" s="20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9"/>
      <c r="X306" s="20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9"/>
      <c r="X307" s="20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9"/>
      <c r="X308" s="20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9"/>
      <c r="X309" s="20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9"/>
      <c r="X310" s="20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9"/>
      <c r="X311" s="20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9"/>
      <c r="X312" s="20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9"/>
      <c r="X313" s="20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9"/>
      <c r="X314" s="20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9"/>
      <c r="X315" s="20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9"/>
      <c r="X316" s="20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9"/>
      <c r="X317" s="20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9"/>
      <c r="X318" s="20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9"/>
      <c r="X319" s="20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9"/>
      <c r="X320" s="20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9"/>
      <c r="X321" s="20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9"/>
      <c r="X322" s="20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9"/>
      <c r="X323" s="20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9"/>
      <c r="X324" s="20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9"/>
      <c r="X325" s="20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9"/>
      <c r="X326" s="20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9"/>
      <c r="X327" s="20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9"/>
      <c r="X328" s="20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9"/>
      <c r="X329" s="20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9"/>
      <c r="X330" s="20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9"/>
      <c r="X331" s="20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9"/>
      <c r="X332" s="20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9"/>
      <c r="X333" s="20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9"/>
      <c r="X334" s="20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9"/>
      <c r="X335" s="20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9"/>
      <c r="X336" s="20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9"/>
      <c r="X337" s="20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9"/>
      <c r="X338" s="20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9"/>
      <c r="X339" s="20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9"/>
      <c r="X340" s="20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9"/>
      <c r="X341" s="20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9"/>
      <c r="X342" s="20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9"/>
      <c r="X343" s="20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9"/>
      <c r="X344" s="20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9"/>
      <c r="X345" s="20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9"/>
      <c r="X346" s="20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9"/>
      <c r="X347" s="20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9"/>
      <c r="X348" s="20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9"/>
      <c r="X349" s="20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9"/>
      <c r="X350" s="20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9"/>
      <c r="X351" s="20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9"/>
      <c r="X352" s="20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9"/>
      <c r="X353" s="20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9"/>
      <c r="X354" s="20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9"/>
      <c r="X355" s="20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9"/>
      <c r="X356" s="20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9"/>
      <c r="X357" s="20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9"/>
      <c r="X358" s="20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9"/>
      <c r="X359" s="20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9"/>
      <c r="X360" s="20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9"/>
      <c r="X361" s="20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9"/>
      <c r="X362" s="20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9"/>
      <c r="X363" s="20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9"/>
      <c r="X364" s="20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9"/>
      <c r="X365" s="20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9"/>
      <c r="X366" s="20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9"/>
      <c r="X367" s="20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9"/>
      <c r="X368" s="20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9"/>
      <c r="X369" s="20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9"/>
      <c r="X370" s="20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9"/>
      <c r="X371" s="20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9"/>
      <c r="X372" s="20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9"/>
      <c r="X373" s="20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9"/>
      <c r="X374" s="20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9"/>
      <c r="X375" s="20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9"/>
      <c r="X376" s="20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9"/>
      <c r="X377" s="20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9"/>
      <c r="X378" s="20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9"/>
      <c r="X379" s="20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9"/>
      <c r="X380" s="20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9"/>
      <c r="X381" s="20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9"/>
      <c r="X382" s="20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9"/>
      <c r="X383" s="20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9"/>
      <c r="X384" s="20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9"/>
      <c r="X385" s="20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9"/>
      <c r="X386" s="20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9"/>
      <c r="X387" s="20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9"/>
      <c r="X388" s="20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9"/>
      <c r="X389" s="20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9"/>
      <c r="X390" s="20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9"/>
      <c r="X391" s="20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9"/>
      <c r="X392" s="20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9"/>
      <c r="X393" s="20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9"/>
      <c r="X394" s="20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9"/>
      <c r="X395" s="20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9"/>
      <c r="X396" s="20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9"/>
      <c r="X397" s="20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9"/>
      <c r="X398" s="20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9"/>
      <c r="X399" s="20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9"/>
      <c r="X400" s="20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9"/>
      <c r="X401" s="20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9"/>
      <c r="X402" s="20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9"/>
      <c r="X403" s="20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9"/>
      <c r="X404" s="20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9"/>
      <c r="X405" s="20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9"/>
      <c r="X406" s="20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9"/>
      <c r="X407" s="20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9"/>
      <c r="X408" s="20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9"/>
      <c r="X409" s="20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9"/>
      <c r="X410" s="20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9"/>
      <c r="X411" s="20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9"/>
      <c r="X412" s="20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9"/>
      <c r="X413" s="20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9"/>
      <c r="X414" s="20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9"/>
      <c r="X415" s="20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9"/>
      <c r="X416" s="20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9"/>
      <c r="X417" s="20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9"/>
      <c r="X418" s="20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9"/>
      <c r="X419" s="20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9"/>
      <c r="X420" s="20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9"/>
      <c r="X421" s="20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9"/>
      <c r="X422" s="20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9"/>
      <c r="X423" s="20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9"/>
      <c r="X424" s="20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9"/>
      <c r="X425" s="20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9"/>
      <c r="X426" s="20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9"/>
      <c r="X427" s="20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9"/>
      <c r="X428" s="20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9"/>
      <c r="X429" s="20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9"/>
      <c r="X430" s="20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9"/>
      <c r="X431" s="20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9"/>
      <c r="X432" s="20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9"/>
      <c r="X433" s="20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9"/>
      <c r="X434" s="20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9"/>
      <c r="X435" s="20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9"/>
      <c r="X436" s="20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9"/>
      <c r="X437" s="20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9"/>
      <c r="X438" s="20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9"/>
      <c r="X439" s="20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9"/>
      <c r="X440" s="20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9"/>
      <c r="X441" s="20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9"/>
      <c r="X442" s="20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9"/>
      <c r="X443" s="20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9"/>
      <c r="X444" s="20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9"/>
      <c r="X445" s="20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9"/>
      <c r="X446" s="20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9"/>
      <c r="X447" s="20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9"/>
      <c r="X448" s="20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9"/>
      <c r="X449" s="20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9"/>
      <c r="X450" s="20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9"/>
      <c r="X451" s="20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9"/>
      <c r="X452" s="20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9"/>
      <c r="X453" s="20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9"/>
      <c r="X454" s="20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9"/>
      <c r="X455" s="20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9"/>
      <c r="X456" s="20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9"/>
      <c r="X457" s="20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9"/>
      <c r="X458" s="20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9"/>
      <c r="X459" s="20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9"/>
      <c r="X460" s="20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9"/>
      <c r="X461" s="20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9"/>
      <c r="X462" s="20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9"/>
      <c r="X463" s="20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9"/>
      <c r="X464" s="20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9"/>
      <c r="X465" s="20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9"/>
      <c r="X466" s="20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9"/>
      <c r="X467" s="20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9"/>
      <c r="X468" s="20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9"/>
      <c r="X469" s="20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9"/>
      <c r="X470" s="20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9"/>
      <c r="X471" s="20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9"/>
      <c r="X472" s="20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9"/>
      <c r="X473" s="20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9"/>
      <c r="X474" s="20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9"/>
      <c r="X475" s="20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9"/>
      <c r="X476" s="20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9"/>
      <c r="X477" s="20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9"/>
      <c r="X478" s="20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9"/>
      <c r="X479" s="20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9"/>
      <c r="X480" s="20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9"/>
      <c r="X481" s="20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9"/>
      <c r="X482" s="20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9"/>
      <c r="X483" s="20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9"/>
      <c r="X484" s="20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9"/>
      <c r="X485" s="20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9"/>
      <c r="X486" s="20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9"/>
      <c r="X487" s="20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9"/>
      <c r="X488" s="20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9"/>
      <c r="X489" s="20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9"/>
      <c r="X490" s="20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9"/>
      <c r="X491" s="20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9"/>
      <c r="X492" s="20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9"/>
      <c r="X493" s="20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9"/>
      <c r="X494" s="20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9"/>
      <c r="X495" s="20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9"/>
      <c r="X496" s="20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9"/>
      <c r="X497" s="20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9"/>
      <c r="X498" s="20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9"/>
      <c r="X499" s="20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9"/>
      <c r="X500" s="20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9"/>
      <c r="X501" s="20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9"/>
      <c r="X502" s="20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9"/>
      <c r="X503" s="20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9"/>
      <c r="X504" s="20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9"/>
      <c r="X505" s="20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9"/>
      <c r="X506" s="20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9"/>
      <c r="X507" s="20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9"/>
      <c r="X508" s="20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9"/>
      <c r="X509" s="20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9"/>
      <c r="X510" s="20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9"/>
      <c r="X511" s="20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9"/>
      <c r="X512" s="20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9"/>
      <c r="X513" s="20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9"/>
      <c r="X514" s="20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9"/>
      <c r="X515" s="20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9"/>
      <c r="X516" s="20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9"/>
      <c r="X517" s="20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9"/>
      <c r="X518" s="20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9"/>
      <c r="X519" s="20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9"/>
      <c r="X520" s="20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9"/>
      <c r="X521" s="20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9"/>
      <c r="X522" s="20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9"/>
      <c r="X523" s="20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9"/>
      <c r="X524" s="20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9"/>
      <c r="X525" s="20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9"/>
      <c r="X526" s="20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9"/>
      <c r="X527" s="20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9"/>
      <c r="X528" s="20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9"/>
      <c r="X529" s="20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9"/>
      <c r="X530" s="20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9"/>
      <c r="X531" s="20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9"/>
      <c r="X532" s="20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9"/>
      <c r="X533" s="20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9"/>
      <c r="X534" s="20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9"/>
      <c r="X535" s="20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9"/>
      <c r="X536" s="20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9"/>
      <c r="X537" s="20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9"/>
      <c r="X538" s="20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9"/>
      <c r="X539" s="20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9"/>
      <c r="X540" s="20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9"/>
      <c r="X541" s="20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9"/>
      <c r="X542" s="20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9"/>
      <c r="X543" s="20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9"/>
      <c r="X544" s="20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9"/>
      <c r="X545" s="20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9"/>
      <c r="X546" s="20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9"/>
      <c r="X547" s="20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9"/>
      <c r="X548" s="20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9"/>
      <c r="X549" s="20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9"/>
      <c r="X550" s="20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9"/>
      <c r="X551" s="20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9"/>
      <c r="X552" s="20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9"/>
      <c r="X553" s="20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9"/>
      <c r="X554" s="20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9"/>
      <c r="X555" s="20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9"/>
      <c r="X556" s="20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9"/>
      <c r="X557" s="20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9"/>
      <c r="X558" s="20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9"/>
      <c r="X559" s="20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9"/>
      <c r="X560" s="20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9"/>
      <c r="X561" s="20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9"/>
      <c r="X562" s="20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9"/>
      <c r="X563" s="20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9"/>
      <c r="X564" s="20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9"/>
      <c r="X565" s="20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9"/>
      <c r="X566" s="20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9"/>
      <c r="X567" s="20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9"/>
      <c r="X568" s="20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9"/>
      <c r="X569" s="20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9"/>
      <c r="X570" s="20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9"/>
      <c r="X571" s="20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9"/>
      <c r="X572" s="20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9"/>
      <c r="X573" s="20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9"/>
      <c r="X574" s="20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9"/>
      <c r="X575" s="20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9"/>
      <c r="X576" s="20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9"/>
      <c r="X577" s="20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9"/>
      <c r="X578" s="20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9"/>
      <c r="X579" s="20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9"/>
      <c r="X580" s="20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9"/>
      <c r="X581" s="20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9"/>
      <c r="X582" s="20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9"/>
      <c r="X583" s="20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9"/>
      <c r="X584" s="20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9"/>
      <c r="X585" s="20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9"/>
      <c r="X586" s="20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9"/>
      <c r="X587" s="20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9"/>
      <c r="X588" s="20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9"/>
      <c r="X589" s="20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9"/>
      <c r="X590" s="20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9"/>
      <c r="X591" s="20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9"/>
      <c r="X592" s="20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9"/>
      <c r="X593" s="20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9"/>
      <c r="X594" s="20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9"/>
      <c r="X595" s="20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9"/>
      <c r="X596" s="20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9"/>
      <c r="X597" s="20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9"/>
      <c r="X598" s="20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9"/>
      <c r="X599" s="20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9"/>
      <c r="X600" s="20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9"/>
      <c r="X601" s="20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9"/>
      <c r="X602" s="20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9"/>
      <c r="X603" s="20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9"/>
      <c r="X604" s="20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9"/>
      <c r="X605" s="20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9"/>
      <c r="X606" s="20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9"/>
      <c r="X607" s="20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9"/>
      <c r="X608" s="20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9"/>
      <c r="X609" s="20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9"/>
      <c r="X610" s="20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9"/>
      <c r="X611" s="20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9"/>
      <c r="X612" s="20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9"/>
      <c r="X613" s="20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9"/>
      <c r="X614" s="20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9"/>
      <c r="X615" s="20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9"/>
      <c r="X616" s="20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9"/>
      <c r="X617" s="20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9"/>
      <c r="X618" s="20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9"/>
      <c r="X619" s="20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9"/>
      <c r="X620" s="20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9"/>
      <c r="X621" s="20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9"/>
      <c r="X622" s="20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9"/>
      <c r="X623" s="20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9"/>
      <c r="X624" s="20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9"/>
      <c r="X625" s="20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9"/>
      <c r="X626" s="20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9"/>
      <c r="X627" s="20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9"/>
      <c r="X628" s="20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9"/>
      <c r="X629" s="20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9"/>
      <c r="X630" s="20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9"/>
      <c r="X631" s="20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9"/>
      <c r="X632" s="20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9"/>
      <c r="X633" s="20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9"/>
      <c r="X634" s="20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9"/>
      <c r="X635" s="20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9"/>
      <c r="X636" s="20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9"/>
      <c r="X637" s="20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9"/>
      <c r="X638" s="20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9"/>
      <c r="X639" s="20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9"/>
      <c r="X640" s="20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9"/>
      <c r="X641" s="20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9"/>
      <c r="X642" s="20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9"/>
      <c r="X643" s="20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9"/>
      <c r="X644" s="20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9"/>
      <c r="X645" s="20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9"/>
      <c r="X646" s="20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9"/>
      <c r="X647" s="20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9"/>
      <c r="X648" s="20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9"/>
      <c r="X649" s="20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9"/>
      <c r="X650" s="20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9"/>
      <c r="X651" s="20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9"/>
      <c r="X652" s="20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9"/>
      <c r="X653" s="20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9"/>
      <c r="X654" s="20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9"/>
      <c r="X655" s="20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9"/>
      <c r="X656" s="20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9"/>
      <c r="X657" s="20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9"/>
      <c r="X658" s="20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9"/>
      <c r="X659" s="20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9"/>
      <c r="X660" s="20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9"/>
      <c r="X661" s="20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9"/>
      <c r="X662" s="20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9"/>
      <c r="X663" s="20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9"/>
      <c r="X664" s="20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9"/>
      <c r="X665" s="20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9"/>
      <c r="X666" s="20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9"/>
      <c r="X667" s="20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9"/>
      <c r="X668" s="20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9"/>
      <c r="X669" s="20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9"/>
      <c r="X670" s="20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9"/>
      <c r="X671" s="20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9"/>
      <c r="X672" s="20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9"/>
      <c r="X673" s="20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9"/>
      <c r="X674" s="20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9"/>
      <c r="X675" s="20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9"/>
      <c r="X676" s="20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9"/>
      <c r="X677" s="20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9"/>
      <c r="X678" s="20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9"/>
      <c r="X679" s="20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9"/>
      <c r="X680" s="20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9"/>
      <c r="X681" s="20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9"/>
      <c r="X682" s="20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9"/>
      <c r="X683" s="20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9"/>
      <c r="X684" s="20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9"/>
      <c r="X685" s="20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9"/>
      <c r="X686" s="20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9"/>
      <c r="X687" s="20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9"/>
      <c r="X688" s="20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9"/>
      <c r="X689" s="20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9"/>
      <c r="X690" s="20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9"/>
      <c r="X691" s="20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9"/>
      <c r="X692" s="20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9"/>
      <c r="X693" s="20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9"/>
      <c r="X694" s="20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9"/>
      <c r="X695" s="20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9"/>
      <c r="X696" s="20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9"/>
      <c r="X697" s="20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9"/>
      <c r="X698" s="20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9"/>
      <c r="X699" s="20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9"/>
      <c r="X700" s="20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9"/>
      <c r="X701" s="20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9"/>
      <c r="X702" s="20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9"/>
      <c r="X703" s="20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9"/>
      <c r="X704" s="20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9"/>
      <c r="X705" s="20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9"/>
      <c r="X706" s="20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9"/>
      <c r="X707" s="20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9"/>
      <c r="X708" s="20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9"/>
      <c r="X709" s="20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9"/>
      <c r="X710" s="20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9"/>
      <c r="X711" s="20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9"/>
      <c r="X712" s="20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9"/>
      <c r="X713" s="20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9"/>
      <c r="X714" s="20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9"/>
      <c r="X715" s="20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9"/>
      <c r="X716" s="20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9"/>
      <c r="X717" s="20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9"/>
      <c r="X718" s="20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9"/>
      <c r="X719" s="20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9"/>
      <c r="X720" s="20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9"/>
      <c r="X721" s="20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9"/>
      <c r="X722" s="20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9"/>
      <c r="X723" s="20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9"/>
      <c r="X724" s="20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9"/>
      <c r="X725" s="20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9"/>
      <c r="X726" s="20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9"/>
      <c r="X727" s="20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9"/>
      <c r="X728" s="20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9"/>
      <c r="X729" s="20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9"/>
      <c r="X730" s="20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9"/>
      <c r="X731" s="20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9"/>
      <c r="X732" s="20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9"/>
      <c r="X733" s="20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9"/>
      <c r="X734" s="20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9"/>
      <c r="X735" s="20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9"/>
      <c r="X736" s="20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9"/>
      <c r="X737" s="20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9"/>
      <c r="X738" s="20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9"/>
      <c r="X739" s="20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9"/>
      <c r="X740" s="20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9"/>
      <c r="X741" s="20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9"/>
      <c r="X742" s="20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9"/>
      <c r="X743" s="20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9"/>
      <c r="X744" s="20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9"/>
      <c r="X745" s="20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9"/>
      <c r="X746" s="20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9"/>
      <c r="X747" s="20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9"/>
      <c r="X748" s="20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9"/>
      <c r="X749" s="20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9"/>
      <c r="X750" s="20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9"/>
      <c r="X751" s="20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9"/>
      <c r="X752" s="20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9"/>
      <c r="X753" s="20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9"/>
      <c r="X754" s="20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9"/>
      <c r="X755" s="20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9"/>
      <c r="X756" s="20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9"/>
      <c r="X757" s="20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9"/>
      <c r="X758" s="20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9"/>
      <c r="X759" s="20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9"/>
      <c r="X760" s="20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9"/>
      <c r="X761" s="20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9"/>
      <c r="X762" s="20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9"/>
      <c r="X763" s="20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9"/>
      <c r="X764" s="20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9"/>
      <c r="X765" s="20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9"/>
      <c r="X766" s="20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9"/>
      <c r="X767" s="20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9"/>
      <c r="X768" s="20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9"/>
      <c r="X769" s="20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9"/>
      <c r="X770" s="20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9"/>
      <c r="X771" s="20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9"/>
      <c r="X772" s="20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9"/>
      <c r="X773" s="20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9"/>
      <c r="X774" s="20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9"/>
      <c r="X775" s="20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9"/>
      <c r="X776" s="20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9"/>
      <c r="X777" s="20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9"/>
      <c r="X778" s="20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9"/>
      <c r="X779" s="20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9"/>
      <c r="X780" s="20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9"/>
      <c r="X781" s="20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9"/>
      <c r="X782" s="20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9"/>
      <c r="X783" s="20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9"/>
      <c r="X784" s="20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9"/>
      <c r="X785" s="20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9"/>
      <c r="X786" s="20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9"/>
      <c r="X787" s="20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9"/>
      <c r="X788" s="20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9"/>
      <c r="X789" s="20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9"/>
      <c r="X790" s="20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9"/>
      <c r="X791" s="20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9"/>
      <c r="X792" s="20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9"/>
      <c r="X793" s="20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9"/>
      <c r="X794" s="20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9"/>
      <c r="X795" s="20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9"/>
      <c r="X796" s="20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9"/>
      <c r="X797" s="20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9"/>
      <c r="X798" s="20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9"/>
      <c r="X799" s="20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9"/>
      <c r="X800" s="20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9"/>
      <c r="X801" s="20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9"/>
      <c r="X802" s="20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9"/>
      <c r="X803" s="20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9"/>
      <c r="X804" s="20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9"/>
      <c r="X805" s="20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9"/>
      <c r="X806" s="20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9"/>
      <c r="X807" s="20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9"/>
      <c r="X808" s="20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9"/>
      <c r="X809" s="20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9"/>
      <c r="X810" s="20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9"/>
      <c r="X811" s="20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9"/>
      <c r="X812" s="20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9"/>
      <c r="X813" s="20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9"/>
      <c r="X814" s="20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9"/>
      <c r="X815" s="20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9"/>
      <c r="X816" s="20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9"/>
      <c r="X817" s="20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9"/>
      <c r="X818" s="20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9"/>
      <c r="X819" s="20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9"/>
      <c r="X820" s="20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9"/>
      <c r="X821" s="20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9"/>
      <c r="X822" s="20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9"/>
      <c r="X823" s="20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9"/>
      <c r="X824" s="20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9"/>
      <c r="X825" s="20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9"/>
      <c r="X826" s="20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9"/>
      <c r="X827" s="20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9"/>
      <c r="X828" s="20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9"/>
      <c r="X829" s="20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9"/>
      <c r="X830" s="20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9"/>
      <c r="X831" s="20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9"/>
      <c r="X832" s="20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9"/>
      <c r="X833" s="20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9"/>
      <c r="X834" s="20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9"/>
      <c r="X835" s="20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9"/>
      <c r="X836" s="20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9"/>
      <c r="X837" s="20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9"/>
      <c r="X838" s="20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9"/>
      <c r="X839" s="20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9"/>
      <c r="X840" s="20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9"/>
      <c r="X841" s="20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9"/>
      <c r="X842" s="20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9"/>
      <c r="X843" s="20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9"/>
      <c r="X844" s="20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9"/>
      <c r="X845" s="20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9"/>
      <c r="X846" s="20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9"/>
      <c r="X847" s="20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9"/>
      <c r="X848" s="20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9"/>
      <c r="X849" s="20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9"/>
      <c r="X850" s="20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9"/>
      <c r="X851" s="20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9"/>
      <c r="X852" s="20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9"/>
      <c r="X853" s="20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9"/>
      <c r="X854" s="20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9"/>
      <c r="X855" s="20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9"/>
      <c r="X856" s="20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9"/>
      <c r="X857" s="20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9"/>
      <c r="X858" s="20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9"/>
      <c r="X859" s="20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9"/>
      <c r="X860" s="20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9"/>
      <c r="X861" s="20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9"/>
      <c r="X862" s="20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9"/>
      <c r="X863" s="20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9"/>
      <c r="X864" s="20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9"/>
      <c r="X865" s="20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9"/>
      <c r="X866" s="20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9"/>
      <c r="X867" s="20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9"/>
      <c r="X868" s="20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9"/>
      <c r="X869" s="20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9"/>
      <c r="X870" s="20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9"/>
      <c r="X871" s="20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9"/>
      <c r="X872" s="20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9"/>
      <c r="X873" s="20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9"/>
      <c r="X874" s="20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9"/>
      <c r="X875" s="20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9"/>
      <c r="X876" s="20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9"/>
      <c r="X877" s="20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9"/>
      <c r="X878" s="20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9"/>
      <c r="X879" s="20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9"/>
      <c r="X880" s="20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9"/>
      <c r="X881" s="20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9"/>
      <c r="X882" s="20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9"/>
      <c r="X883" s="20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9"/>
      <c r="X884" s="20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9"/>
      <c r="X885" s="20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9"/>
      <c r="X886" s="20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9"/>
      <c r="X887" s="20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9"/>
      <c r="X888" s="20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9"/>
      <c r="X889" s="20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9"/>
      <c r="X890" s="20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9"/>
      <c r="X891" s="20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9"/>
      <c r="X892" s="20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9"/>
      <c r="X893" s="20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9"/>
      <c r="X894" s="20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9"/>
      <c r="X895" s="20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9"/>
      <c r="X896" s="20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9"/>
      <c r="X897" s="20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9"/>
      <c r="X898" s="20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9"/>
      <c r="X899" s="20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9"/>
      <c r="X900" s="20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9"/>
      <c r="X901" s="20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9"/>
      <c r="X902" s="20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9"/>
      <c r="X903" s="20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9"/>
      <c r="X904" s="20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9"/>
      <c r="X905" s="20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9"/>
      <c r="X906" s="20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9"/>
      <c r="X907" s="20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9"/>
      <c r="X908" s="20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9"/>
      <c r="X909" s="20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9"/>
      <c r="X910" s="20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9"/>
      <c r="X911" s="20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9"/>
      <c r="X912" s="20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9"/>
      <c r="X913" s="20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9"/>
      <c r="X914" s="20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9"/>
      <c r="X915" s="20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9"/>
      <c r="X916" s="20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9"/>
      <c r="X917" s="20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9"/>
      <c r="X918" s="20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9"/>
      <c r="X919" s="20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9"/>
      <c r="X920" s="20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9"/>
      <c r="X921" s="20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9"/>
      <c r="X922" s="20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9"/>
      <c r="X923" s="20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9"/>
      <c r="X924" s="20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9"/>
      <c r="X925" s="20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9"/>
      <c r="X926" s="20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9"/>
      <c r="X927" s="20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9"/>
      <c r="X928" s="20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9"/>
      <c r="X929" s="20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9"/>
      <c r="X930" s="20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9"/>
      <c r="X931" s="20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9"/>
      <c r="X932" s="20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9"/>
      <c r="X933" s="20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9"/>
      <c r="X934" s="20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9"/>
      <c r="X935" s="20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9"/>
      <c r="X936" s="20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9"/>
      <c r="X937" s="20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9"/>
      <c r="X938" s="20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9"/>
      <c r="X939" s="20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9"/>
      <c r="X940" s="20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9"/>
      <c r="X941" s="20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9"/>
      <c r="X942" s="20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9"/>
      <c r="X943" s="20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9"/>
      <c r="X944" s="20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9"/>
      <c r="X945" s="20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9"/>
      <c r="X946" s="20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9"/>
      <c r="X947" s="20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9"/>
      <c r="X948" s="20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9"/>
      <c r="X949" s="20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9"/>
      <c r="X950" s="20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9"/>
      <c r="X951" s="20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9"/>
      <c r="X952" s="20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9"/>
      <c r="X953" s="20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9"/>
      <c r="X954" s="20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9"/>
      <c r="X955" s="20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9"/>
      <c r="X956" s="20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9"/>
      <c r="X957" s="20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9"/>
      <c r="X958" s="20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9"/>
      <c r="X959" s="20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9"/>
      <c r="X960" s="20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9"/>
      <c r="X961" s="20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9"/>
      <c r="X962" s="20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9"/>
      <c r="X963" s="20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9"/>
      <c r="X964" s="20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9"/>
      <c r="X965" s="20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9"/>
      <c r="X966" s="20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9"/>
      <c r="X967" s="20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9"/>
      <c r="X968" s="20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9"/>
      <c r="X969" s="20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9"/>
      <c r="X970" s="20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9"/>
      <c r="X971" s="20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9"/>
      <c r="X972" s="20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9"/>
      <c r="X973" s="20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9"/>
      <c r="X974" s="20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9"/>
      <c r="X975" s="20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9"/>
      <c r="X976" s="20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9"/>
      <c r="X977" s="20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9"/>
      <c r="X978" s="20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9"/>
      <c r="X979" s="20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9"/>
      <c r="X980" s="20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9"/>
      <c r="X981" s="20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9"/>
      <c r="X982" s="20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9"/>
      <c r="X983" s="20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9"/>
      <c r="X984" s="20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9"/>
      <c r="X985" s="20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9"/>
      <c r="X986" s="20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9"/>
      <c r="X987" s="20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9"/>
      <c r="X988" s="20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9"/>
      <c r="X989" s="20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9"/>
      <c r="X990" s="20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9"/>
      <c r="X991" s="20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9"/>
      <c r="X992" s="20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9"/>
      <c r="X993" s="20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9"/>
      <c r="X994" s="20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9"/>
      <c r="X995" s="20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9"/>
      <c r="X996" s="20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9"/>
      <c r="X997" s="20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9"/>
      <c r="X998" s="20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9"/>
      <c r="X999" s="20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9"/>
      <c r="X1000" s="20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</row>
    <row r="1001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9"/>
      <c r="X1001" s="20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</row>
  </sheetData>
  <mergeCells count="4">
    <mergeCell ref="AZ1:BC1"/>
    <mergeCell ref="BD1:BE1"/>
    <mergeCell ref="BF1:BH1"/>
    <mergeCell ref="BI1:BJ1"/>
  </mergeCells>
  <drawing r:id="rId1"/>
</worksheet>
</file>