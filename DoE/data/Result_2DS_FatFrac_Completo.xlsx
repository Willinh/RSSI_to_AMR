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_2DS_Complet" sheetId="1" r:id="rId4"/>
  </sheets>
  <definedNames/>
  <calcPr/>
  <extLst>
    <ext uri="GoogleSheetsCustomDataVersion2">
      <go:sheetsCustomData xmlns:go="http://customooxmlschemas.google.com/" r:id="rId5" roundtripDataChecksum="FVhPmrtImGwL7W+rI1x3TN5X8Cx6hjGN46Ska3r+sXM="/>
    </ext>
  </extLst>
</workbook>
</file>

<file path=xl/sharedStrings.xml><?xml version="1.0" encoding="utf-8"?>
<sst xmlns="http://schemas.openxmlformats.org/spreadsheetml/2006/main" count="1951" uniqueCount="97">
  <si>
    <t>model</t>
  </si>
  <si>
    <t>Z-Score_Composite</t>
  </si>
  <si>
    <t>train_dataset</t>
  </si>
  <si>
    <t>exp_dataset</t>
  </si>
  <si>
    <t>group_msec</t>
  </si>
  <si>
    <t>seconds_ahead</t>
  </si>
  <si>
    <t>forecast_steps</t>
  </si>
  <si>
    <t>timesteps_orig</t>
  </si>
  <si>
    <t>Epochs</t>
  </si>
  <si>
    <t>batch_size</t>
  </si>
  <si>
    <t>units_range</t>
  </si>
  <si>
    <t>best_layers</t>
  </si>
  <si>
    <t>best_activation</t>
  </si>
  <si>
    <t>best_optimizer</t>
  </si>
  <si>
    <t>best_dropout</t>
  </si>
  <si>
    <t>best_units_l1</t>
  </si>
  <si>
    <t>best_units_l2</t>
  </si>
  <si>
    <t>train_time_s</t>
  </si>
  <si>
    <t>pred_time_s</t>
  </si>
  <si>
    <t>direct_mae</t>
  </si>
  <si>
    <t>direct_mse</t>
  </si>
  <si>
    <t>direct_rmse</t>
  </si>
  <si>
    <t>direct_r2</t>
  </si>
  <si>
    <t>multi_mae</t>
  </si>
  <si>
    <t>multi_mse</t>
  </si>
  <si>
    <t>multi_rmse</t>
  </si>
  <si>
    <t>multi_r2</t>
  </si>
  <si>
    <t>step1_mae</t>
  </si>
  <si>
    <t>step1_rmse</t>
  </si>
  <si>
    <t>step1_r2</t>
  </si>
  <si>
    <t>stepN_mae</t>
  </si>
  <si>
    <t>stepN_rmse</t>
  </si>
  <si>
    <t>stepN_r2</t>
  </si>
  <si>
    <t>tuner_trials</t>
  </si>
  <si>
    <t>multi_mae_den</t>
  </si>
  <si>
    <t>multi_mse_den</t>
  </si>
  <si>
    <t>multi_rmse_den</t>
  </si>
  <si>
    <t>multi_r2_den</t>
  </si>
  <si>
    <t>step1_mae_den</t>
  </si>
  <si>
    <t>step1_mse_den</t>
  </si>
  <si>
    <t>step1_rmse_den</t>
  </si>
  <si>
    <t>step1_r2_den</t>
  </si>
  <si>
    <t>stepN_mae_den</t>
  </si>
  <si>
    <t>stepN_mse_den</t>
  </si>
  <si>
    <t>stepN_rmse_den</t>
  </si>
  <si>
    <t>stepN_r2_den</t>
  </si>
  <si>
    <t>Z-MAE@1</t>
  </si>
  <si>
    <t>Z-RMSE@1</t>
  </si>
  <si>
    <t>Z-MAE@H</t>
  </si>
  <si>
    <t>Z-RMSE@H</t>
  </si>
  <si>
    <t>Z-MAE@multi</t>
  </si>
  <si>
    <t>Z-RMSE@multi</t>
  </si>
  <si>
    <t>Z-R²@1</t>
  </si>
  <si>
    <t>Z-R²@H</t>
  </si>
  <si>
    <t>Z-R²MedH</t>
  </si>
  <si>
    <t>Z-T@Tra</t>
  </si>
  <si>
    <t>Z-T@Pre</t>
  </si>
  <si>
    <t>LSTM</t>
  </si>
  <si>
    <t>rssi_odom_dataset_12apr25_isolado.parquet</t>
  </si>
  <si>
    <t>rssi_odom_dataset_11apr25_isolado.parquet</t>
  </si>
  <si>
    <t>100</t>
  </si>
  <si>
    <t>3.0</t>
  </si>
  <si>
    <t>30</t>
  </si>
  <si>
    <t>60</t>
  </si>
  <si>
    <t>1024</t>
  </si>
  <si>
    <t>64-256:64</t>
  </si>
  <si>
    <t>1</t>
  </si>
  <si>
    <t>tanh</t>
  </si>
  <si>
    <t>adam</t>
  </si>
  <si>
    <t>0.2</t>
  </si>
  <si>
    <t>128</t>
  </si>
  <si>
    <t>120</t>
  </si>
  <si>
    <t>16-64:16</t>
  </si>
  <si>
    <t>2</t>
  </si>
  <si>
    <t>elu</t>
  </si>
  <si>
    <t>64</t>
  </si>
  <si>
    <t>48</t>
  </si>
  <si>
    <t>GRU</t>
  </si>
  <si>
    <t>10.0</t>
  </si>
  <si>
    <t>relu</t>
  </si>
  <si>
    <t>Nadam</t>
  </si>
  <si>
    <t>192</t>
  </si>
  <si>
    <t>40</t>
  </si>
  <si>
    <t>75</t>
  </si>
  <si>
    <t>rmsprop</t>
  </si>
  <si>
    <t>256</t>
  </si>
  <si>
    <t>16</t>
  </si>
  <si>
    <t>32</t>
  </si>
  <si>
    <t>250</t>
  </si>
  <si>
    <t>64.0</t>
  </si>
  <si>
    <t>16.0</t>
  </si>
  <si>
    <t>256.0</t>
  </si>
  <si>
    <t>2048</t>
  </si>
  <si>
    <t>32.0</t>
  </si>
  <si>
    <t>8192</t>
  </si>
  <si>
    <t>Médias</t>
  </si>
  <si>
    <t>Desvio padrão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</si>
</sst>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00"/>
    <numFmt numFmtId="165" formatCode="#,##0.0000"/>
  </numFmts>
  <fonts count="5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b/>
      <color rgb="FF000000"/>
      <name val="Arial"/>
    </font>
    <font>
      <i/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1" fillId="0" fontId="2" numFmtId="0" xfId="0" applyAlignment="1" applyBorder="1" applyFont="1">
      <alignment vertical="bottom"/>
    </xf>
    <xf borderId="0" fillId="0" fontId="2" numFmtId="0" xfId="0" applyAlignment="1" applyFont="1">
      <alignment vertical="bottom"/>
    </xf>
    <xf borderId="0" fillId="0" fontId="2" numFmtId="164" xfId="0" applyAlignment="1" applyFont="1" applyNumberFormat="1">
      <alignment vertical="bottom"/>
    </xf>
    <xf quotePrefix="1" borderId="0" fillId="0" fontId="2" numFmtId="0" xfId="0" applyAlignment="1" applyFont="1">
      <alignment vertical="bottom"/>
    </xf>
    <xf borderId="0" fillId="0" fontId="2" numFmtId="0" xfId="0" applyAlignment="1" applyFont="1">
      <alignment horizontal="right" vertical="bottom"/>
    </xf>
    <xf borderId="0" fillId="0" fontId="2" numFmtId="165" xfId="0" applyAlignment="1" applyFont="1" applyNumberFormat="1">
      <alignment horizontal="right" vertical="bottom"/>
    </xf>
    <xf borderId="2" fillId="0" fontId="2" numFmtId="164" xfId="0" applyAlignment="1" applyBorder="1" applyFont="1" applyNumberFormat="1">
      <alignment vertical="bottom"/>
    </xf>
    <xf borderId="3" fillId="0" fontId="2" numFmtId="164" xfId="0" applyAlignment="1" applyBorder="1" applyFont="1" applyNumberFormat="1">
      <alignment vertical="bottom"/>
    </xf>
    <xf borderId="4" fillId="0" fontId="2" numFmtId="164" xfId="0" applyAlignment="1" applyBorder="1" applyFont="1" applyNumberFormat="1">
      <alignment vertical="bottom"/>
    </xf>
    <xf borderId="0" fillId="0" fontId="2" numFmtId="4" xfId="0" applyAlignment="1" applyFont="1" applyNumberFormat="1">
      <alignment horizontal="right" vertical="bottom"/>
    </xf>
    <xf quotePrefix="1" borderId="0" fillId="0" fontId="2" numFmtId="3" xfId="0" applyAlignment="1" applyFont="1" applyNumberFormat="1">
      <alignment vertical="bottom"/>
    </xf>
    <xf borderId="0" fillId="0" fontId="2" numFmtId="165" xfId="0" applyAlignment="1" applyFont="1" applyNumberFormat="1">
      <alignment vertical="bottom"/>
    </xf>
    <xf borderId="0" fillId="0" fontId="2" numFmtId="3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right" vertical="bottom"/>
    </xf>
    <xf borderId="0" fillId="2" fontId="3" numFmtId="0" xfId="0" applyAlignment="1" applyFill="1" applyFont="1">
      <alignment horizontal="center" shrinkToFit="0" wrapText="0"/>
    </xf>
    <xf borderId="0" fillId="0" fontId="4" numFmtId="164" xfId="0" applyAlignment="1" applyFont="1" applyNumberFormat="1">
      <alignment horizontal="center" shrinkToFit="0" wrapText="0"/>
    </xf>
    <xf borderId="0" fillId="0" fontId="2" numFmtId="4" xfId="0" applyAlignment="1" applyFont="1" applyNumberFormat="1">
      <alignment vertical="bottom"/>
    </xf>
    <xf borderId="4" fillId="2" fontId="3" numFmtId="0" xfId="0" applyAlignment="1" applyBorder="1" applyFont="1">
      <alignment horizontal="center" shrinkToFit="0" wrapText="0"/>
    </xf>
    <xf borderId="4" fillId="0" fontId="4" numFmtId="164" xfId="0" applyAlignment="1" applyBorder="1" applyFont="1" applyNumberFormat="1">
      <alignment horizontal="center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5.88"/>
    <col customWidth="1" min="2" max="2" width="16.75"/>
    <col customWidth="1" min="3" max="3" width="34.38"/>
    <col customWidth="1" min="4" max="4" width="34.5"/>
    <col customWidth="1" min="5" max="5" width="10.88"/>
    <col customWidth="1" min="6" max="6" width="13.5"/>
    <col customWidth="1" min="7" max="7" width="12.75"/>
    <col customWidth="1" min="8" max="8" width="12.88"/>
    <col customWidth="1" min="9" max="9" width="7.0"/>
    <col customWidth="1" min="10" max="10" width="9.5"/>
    <col customWidth="1" min="11" max="11" width="10.5"/>
    <col customWidth="1" min="12" max="12" width="10.13"/>
    <col customWidth="1" min="13" max="13" width="13.13"/>
    <col customWidth="1" min="14" max="14" width="12.75"/>
    <col customWidth="1" min="15" max="17" width="11.63"/>
    <col customWidth="1" min="18" max="19" width="10.88"/>
    <col customWidth="1" min="20" max="21" width="9.75"/>
    <col customWidth="1" min="22" max="22" width="10.5"/>
    <col customWidth="1" min="23" max="23" width="8.0"/>
    <col customWidth="1" min="24" max="24" width="9.25"/>
    <col customWidth="1" hidden="1" min="25" max="25" width="9.25"/>
    <col customWidth="1" min="26" max="26" width="9.88"/>
    <col customWidth="1" min="27" max="27" width="7.5"/>
    <col customWidth="1" min="28" max="28" width="9.63"/>
    <col customWidth="1" min="29" max="29" width="10.25"/>
    <col customWidth="1" min="30" max="30" width="7.88"/>
    <col customWidth="1" min="31" max="31" width="9.88"/>
    <col customWidth="1" min="32" max="32" width="10.5"/>
    <col customWidth="1" min="33" max="33" width="8.13"/>
    <col customWidth="1" min="34" max="34" width="10.13"/>
    <col customWidth="1" min="35" max="36" width="13.13"/>
    <col customWidth="1" min="37" max="37" width="13.75"/>
    <col customWidth="1" min="38" max="38" width="11.38"/>
    <col customWidth="1" min="39" max="39" width="13.5"/>
    <col customWidth="1" hidden="1" min="40" max="40" width="13.5"/>
    <col customWidth="1" min="41" max="41" width="14.13"/>
    <col customWidth="1" min="42" max="42" width="11.75"/>
    <col customWidth="1" min="43" max="43" width="13.75"/>
    <col customWidth="1" hidden="1" min="44" max="44" width="13.75"/>
    <col customWidth="1" min="45" max="45" width="14.38"/>
    <col customWidth="1" min="46" max="46" width="12.0"/>
    <col customWidth="1" min="47" max="47" width="9.88"/>
    <col customWidth="1" min="48" max="48" width="10.0"/>
    <col customWidth="1" min="49" max="49" width="9.13"/>
    <col customWidth="1" min="50" max="50" width="10.25"/>
    <col customWidth="1" min="51" max="51" width="12.13"/>
    <col customWidth="1" min="53" max="53" width="7.5"/>
    <col customWidth="1" min="54" max="54" width="7.25"/>
    <col customWidth="1" min="55" max="58" width="8.7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2" t="s">
        <v>46</v>
      </c>
      <c r="AV1" s="3" t="s">
        <v>47</v>
      </c>
      <c r="AW1" s="3" t="s">
        <v>48</v>
      </c>
      <c r="AX1" s="3" t="s">
        <v>49</v>
      </c>
      <c r="AY1" s="2" t="s">
        <v>50</v>
      </c>
      <c r="AZ1" s="3" t="s">
        <v>51</v>
      </c>
      <c r="BA1" s="2" t="s">
        <v>52</v>
      </c>
      <c r="BB1" s="3" t="s">
        <v>53</v>
      </c>
      <c r="BC1" s="3" t="s">
        <v>54</v>
      </c>
      <c r="BD1" s="3" t="s">
        <v>55</v>
      </c>
      <c r="BE1" s="3" t="s">
        <v>56</v>
      </c>
      <c r="BF1" s="3"/>
    </row>
    <row r="2">
      <c r="A2" s="3" t="s">
        <v>57</v>
      </c>
      <c r="B2" s="4">
        <f t="shared" ref="B2:B131" si="3">(((1*AU2)+(1*AV2)+(1*AW2)+(1*AX2)+(1*AY2)+(1*AZ2)+(1*BA2)+(1*BB2)+(1*BC2)+(1*BD2)+(1*BE2))/11)*-1</f>
        <v>0.2732636901</v>
      </c>
      <c r="C2" s="3" t="s">
        <v>58</v>
      </c>
      <c r="D2" s="3" t="s">
        <v>59</v>
      </c>
      <c r="E2" s="5" t="s">
        <v>60</v>
      </c>
      <c r="F2" s="3" t="s">
        <v>61</v>
      </c>
      <c r="G2" s="5" t="s">
        <v>62</v>
      </c>
      <c r="H2" s="5" t="s">
        <v>63</v>
      </c>
      <c r="I2" s="6">
        <v>20.0</v>
      </c>
      <c r="J2" s="5" t="s">
        <v>64</v>
      </c>
      <c r="K2" s="3" t="s">
        <v>65</v>
      </c>
      <c r="L2" s="5" t="s">
        <v>66</v>
      </c>
      <c r="M2" s="3" t="s">
        <v>67</v>
      </c>
      <c r="N2" s="3" t="s">
        <v>68</v>
      </c>
      <c r="O2" s="3" t="s">
        <v>69</v>
      </c>
      <c r="P2" s="5" t="s">
        <v>70</v>
      </c>
      <c r="Q2" s="3"/>
      <c r="R2" s="7">
        <v>218.89393544197</v>
      </c>
      <c r="S2" s="7">
        <v>166.977711200714</v>
      </c>
      <c r="T2" s="7">
        <v>1.35632294712949</v>
      </c>
      <c r="U2" s="7">
        <v>3.24724210959422</v>
      </c>
      <c r="V2" s="7">
        <v>1.8020105742182</v>
      </c>
      <c r="W2" s="7">
        <v>0.875307630420859</v>
      </c>
      <c r="X2" s="7">
        <v>0.0460217587078995</v>
      </c>
      <c r="Y2" s="7">
        <v>0.003638726269537</v>
      </c>
      <c r="Z2" s="7">
        <v>0.0603218556539585</v>
      </c>
      <c r="AA2" s="7">
        <v>0.923461274893948</v>
      </c>
      <c r="AB2" s="7">
        <v>0.0459219010246912</v>
      </c>
      <c r="AC2" s="7">
        <v>0.0601946975545709</v>
      </c>
      <c r="AD2" s="7">
        <v>0.924154316520774</v>
      </c>
      <c r="AE2" s="7">
        <v>0.060098787653246</v>
      </c>
      <c r="AF2" s="7">
        <v>0.0800237262873955</v>
      </c>
      <c r="AG2" s="7">
        <v>0.866519886403743</v>
      </c>
      <c r="AH2" s="7">
        <v>10.0</v>
      </c>
      <c r="AI2" s="7">
        <v>1.35632294712949</v>
      </c>
      <c r="AJ2" s="7">
        <v>3.24724210959422</v>
      </c>
      <c r="AK2" s="7">
        <v>1.8020105742182</v>
      </c>
      <c r="AL2" s="7">
        <v>0.875285189368965</v>
      </c>
      <c r="AM2" s="7">
        <v>1.07087321972853</v>
      </c>
      <c r="AN2" s="7">
        <v>1.97039307647526</v>
      </c>
      <c r="AO2" s="7">
        <v>1.40370690547395</v>
      </c>
      <c r="AP2" s="7">
        <v>0.924154316520774</v>
      </c>
      <c r="AQ2" s="7">
        <v>1.40147033985833</v>
      </c>
      <c r="AR2" s="7">
        <v>3.48236220047317</v>
      </c>
      <c r="AS2" s="7">
        <v>1.86610883939634</v>
      </c>
      <c r="AT2" s="7">
        <v>0.866519886403743</v>
      </c>
      <c r="AU2" s="8">
        <f t="shared" ref="AU2:AV2" si="1">(AB2-AB$36)/AB$37</f>
        <v>-0.3953793024</v>
      </c>
      <c r="AV2" s="9">
        <f t="shared" si="1"/>
        <v>-0.4101544316</v>
      </c>
      <c r="AW2" s="9">
        <f t="shared" ref="AW2:AW131" si="5">(AQ2-AQ$36)/AQ$37</f>
        <v>-0.3189195943</v>
      </c>
      <c r="AX2" s="10">
        <f t="shared" ref="AX2:AX131" si="6">(AS2-AS$36)/AS$37</f>
        <v>-0.3087718341</v>
      </c>
      <c r="AY2" s="8">
        <f t="shared" ref="AY2:AY131" si="7">(AI2-AI$36)/AI$37</f>
        <v>-0.6056314027</v>
      </c>
      <c r="AZ2" s="10">
        <f t="shared" ref="AZ2:AZ131" si="8">(AK2-AK$36)/AK$37</f>
        <v>-0.5658069534</v>
      </c>
      <c r="BA2" s="8">
        <f t="shared" ref="BA2:BA131" si="9">-((AP2-AP$36)/AP$37)</f>
        <v>-0.1011171609</v>
      </c>
      <c r="BB2" s="9">
        <f t="shared" ref="BB2:BB131" si="10">-((AT2-AT$36)/AT$37)</f>
        <v>-0.2154536768</v>
      </c>
      <c r="BC2" s="10">
        <f t="shared" ref="BC2:BC131" si="11">-((AL2-AL$36)/AL$37)</f>
        <v>-0.38565135</v>
      </c>
      <c r="BD2" s="4">
        <f t="shared" ref="BD2:BE2" si="2">((R2-R$36)/R$37)</f>
        <v>0.2974830519</v>
      </c>
      <c r="BE2" s="4">
        <f t="shared" si="2"/>
        <v>0.003502063194</v>
      </c>
      <c r="BF2" s="3"/>
    </row>
    <row r="3">
      <c r="A3" s="3" t="s">
        <v>57</v>
      </c>
      <c r="B3" s="4">
        <f t="shared" si="3"/>
        <v>0.1293097705</v>
      </c>
      <c r="C3" s="3" t="s">
        <v>58</v>
      </c>
      <c r="D3" s="3" t="s">
        <v>59</v>
      </c>
      <c r="E3" s="5" t="s">
        <v>60</v>
      </c>
      <c r="F3" s="3" t="s">
        <v>61</v>
      </c>
      <c r="G3" s="5" t="s">
        <v>62</v>
      </c>
      <c r="H3" s="5" t="s">
        <v>71</v>
      </c>
      <c r="I3" s="6">
        <v>20.0</v>
      </c>
      <c r="J3" s="5" t="s">
        <v>64</v>
      </c>
      <c r="K3" s="3" t="s">
        <v>72</v>
      </c>
      <c r="L3" s="5" t="s">
        <v>73</v>
      </c>
      <c r="M3" s="3" t="s">
        <v>74</v>
      </c>
      <c r="N3" s="3" t="s">
        <v>68</v>
      </c>
      <c r="O3" s="3" t="s">
        <v>69</v>
      </c>
      <c r="P3" s="5" t="s">
        <v>75</v>
      </c>
      <c r="Q3" s="5" t="s">
        <v>76</v>
      </c>
      <c r="R3" s="7">
        <v>180.497941732406</v>
      </c>
      <c r="S3" s="7">
        <v>176.4144718647</v>
      </c>
      <c r="T3" s="7">
        <v>1.4872975965098</v>
      </c>
      <c r="U3" s="7">
        <v>3.75574826620639</v>
      </c>
      <c r="V3" s="7">
        <v>1.93797530072144</v>
      </c>
      <c r="W3" s="7">
        <v>0.856779222326288</v>
      </c>
      <c r="X3" s="7">
        <v>0.0590307737202428</v>
      </c>
      <c r="Y3" s="7">
        <v>0.0056542840890702</v>
      </c>
      <c r="Z3" s="7">
        <v>0.0751949738285093</v>
      </c>
      <c r="AA3" s="7">
        <v>0.881649521881403</v>
      </c>
      <c r="AB3" s="7">
        <v>0.0590880974979725</v>
      </c>
      <c r="AC3" s="7">
        <v>0.0751681676963383</v>
      </c>
      <c r="AD3" s="7">
        <v>0.882328740937604</v>
      </c>
      <c r="AE3" s="7">
        <v>0.0997148238428574</v>
      </c>
      <c r="AF3" s="7">
        <v>0.121635311204348</v>
      </c>
      <c r="AG3" s="7">
        <v>0.694142473448383</v>
      </c>
      <c r="AH3" s="7">
        <v>10.0</v>
      </c>
      <c r="AI3" s="7">
        <v>1.4872975965098</v>
      </c>
      <c r="AJ3" s="7">
        <v>3.75574826620638</v>
      </c>
      <c r="AK3" s="7">
        <v>1.93797530072144</v>
      </c>
      <c r="AL3" s="7">
        <v>0.856736806771338</v>
      </c>
      <c r="AM3" s="7">
        <v>1.37790160693189</v>
      </c>
      <c r="AN3" s="7">
        <v>3.07258798093403</v>
      </c>
      <c r="AO3" s="7">
        <v>1.75287991058544</v>
      </c>
      <c r="AP3" s="7">
        <v>0.882328740937603</v>
      </c>
      <c r="AQ3" s="7">
        <v>2.32529429489108</v>
      </c>
      <c r="AR3" s="7">
        <v>8.04555004625578</v>
      </c>
      <c r="AS3" s="7">
        <v>2.8364678821125</v>
      </c>
      <c r="AT3" s="7">
        <v>0.694142473448383</v>
      </c>
      <c r="AU3" s="4">
        <f t="shared" ref="AU3:AV3" si="4">(AB3-AB$36)/AB$37</f>
        <v>-0.1562268148</v>
      </c>
      <c r="AV3" s="4">
        <f t="shared" si="4"/>
        <v>-0.1952271016</v>
      </c>
      <c r="AW3" s="4">
        <f t="shared" si="5"/>
        <v>0.08678324261</v>
      </c>
      <c r="AX3" s="4">
        <f t="shared" si="6"/>
        <v>0.01977237836</v>
      </c>
      <c r="AY3" s="4">
        <f t="shared" si="7"/>
        <v>-0.5429628079</v>
      </c>
      <c r="AZ3" s="4">
        <f t="shared" si="8"/>
        <v>-0.5154572809</v>
      </c>
      <c r="BA3" s="4">
        <f t="shared" si="9"/>
        <v>-0.05444053529</v>
      </c>
      <c r="BB3" s="4">
        <f t="shared" si="10"/>
        <v>0.01735951008</v>
      </c>
      <c r="BC3" s="4">
        <f t="shared" si="11"/>
        <v>-0.3619440162</v>
      </c>
      <c r="BD3" s="4">
        <f t="shared" ref="BD3:BE3" si="12">((R3-R$36)/R$37)</f>
        <v>0.2122561139</v>
      </c>
      <c r="BE3" s="4">
        <f t="shared" si="12"/>
        <v>0.06767983585</v>
      </c>
      <c r="BF3" s="3"/>
    </row>
    <row r="4">
      <c r="A4" s="3" t="s">
        <v>77</v>
      </c>
      <c r="B4" s="4">
        <f t="shared" si="3"/>
        <v>0.08650499174</v>
      </c>
      <c r="C4" s="3" t="s">
        <v>58</v>
      </c>
      <c r="D4" s="3" t="s">
        <v>59</v>
      </c>
      <c r="E4" s="5" t="s">
        <v>60</v>
      </c>
      <c r="F4" s="3" t="s">
        <v>78</v>
      </c>
      <c r="G4" s="5" t="s">
        <v>60</v>
      </c>
      <c r="H4" s="5" t="s">
        <v>63</v>
      </c>
      <c r="I4" s="6">
        <v>20.0</v>
      </c>
      <c r="J4" s="5" t="s">
        <v>64</v>
      </c>
      <c r="K4" s="3" t="s">
        <v>65</v>
      </c>
      <c r="L4" s="5" t="s">
        <v>73</v>
      </c>
      <c r="M4" s="3" t="s">
        <v>79</v>
      </c>
      <c r="N4" s="3" t="s">
        <v>80</v>
      </c>
      <c r="O4" s="3" t="s">
        <v>69</v>
      </c>
      <c r="P4" s="5" t="s">
        <v>75</v>
      </c>
      <c r="Q4" s="5" t="s">
        <v>81</v>
      </c>
      <c r="R4" s="7">
        <v>249.12476325035</v>
      </c>
      <c r="S4" s="7">
        <v>178.692143678665</v>
      </c>
      <c r="T4" s="7">
        <v>2.05220237403132</v>
      </c>
      <c r="U4" s="7">
        <v>6.7404251870492</v>
      </c>
      <c r="V4" s="7">
        <v>2.59623288382402</v>
      </c>
      <c r="W4" s="7">
        <v>0.741022388544214</v>
      </c>
      <c r="X4" s="7">
        <v>0.0530995494184025</v>
      </c>
      <c r="Y4" s="7">
        <v>0.00464347744138451</v>
      </c>
      <c r="Z4" s="7">
        <v>0.0681430659816867</v>
      </c>
      <c r="AA4" s="7">
        <v>0.900852098706236</v>
      </c>
      <c r="AB4" s="7">
        <v>0.0527862257484584</v>
      </c>
      <c r="AC4" s="7">
        <v>0.0677852361860527</v>
      </c>
      <c r="AD4" s="7">
        <v>0.902940119995542</v>
      </c>
      <c r="AE4" s="7">
        <v>0.092942790589634</v>
      </c>
      <c r="AF4" s="7">
        <v>0.118489502041377</v>
      </c>
      <c r="AG4" s="7">
        <v>0.71014294473145</v>
      </c>
      <c r="AH4" s="7">
        <v>10.0</v>
      </c>
      <c r="AI4" s="7">
        <v>2.05220237403132</v>
      </c>
      <c r="AJ4" s="7">
        <v>6.7404251870492</v>
      </c>
      <c r="AK4" s="7">
        <v>2.59623288382402</v>
      </c>
      <c r="AL4" s="7">
        <v>0.740771909492662</v>
      </c>
      <c r="AM4" s="7">
        <v>1.23094545877308</v>
      </c>
      <c r="AN4" s="7">
        <v>2.49865690595221</v>
      </c>
      <c r="AO4" s="7">
        <v>1.5807140493942</v>
      </c>
      <c r="AP4" s="7">
        <v>0.902940119995542</v>
      </c>
      <c r="AQ4" s="7">
        <v>2.16737424166662</v>
      </c>
      <c r="AR4" s="7">
        <v>7.63477333589322</v>
      </c>
      <c r="AS4" s="7">
        <v>2.76310936010379</v>
      </c>
      <c r="AT4" s="7">
        <v>0.71014294473145</v>
      </c>
      <c r="AU4" s="4">
        <f t="shared" ref="AU4:AV4" si="13">(AB4-AB$36)/AB$37</f>
        <v>-0.2706948245</v>
      </c>
      <c r="AV4" s="4">
        <f t="shared" si="13"/>
        <v>-0.3012007832</v>
      </c>
      <c r="AW4" s="4">
        <f t="shared" si="5"/>
        <v>0.017431703</v>
      </c>
      <c r="AX4" s="4">
        <f t="shared" si="6"/>
        <v>-0.005065353627</v>
      </c>
      <c r="AY4" s="4">
        <f t="shared" si="7"/>
        <v>-0.2726678405</v>
      </c>
      <c r="AZ4" s="4">
        <f t="shared" si="8"/>
        <v>-0.2716951328</v>
      </c>
      <c r="BA4" s="4">
        <f t="shared" si="9"/>
        <v>-0.07744248109</v>
      </c>
      <c r="BB4" s="4">
        <f t="shared" si="10"/>
        <v>-0.004250749911</v>
      </c>
      <c r="BC4" s="4">
        <f t="shared" si="11"/>
        <v>-0.2137252426</v>
      </c>
      <c r="BD4" s="4">
        <f t="shared" ref="BD4:BE4" si="14">((R4-R$36)/R$37)</f>
        <v>0.3645859092</v>
      </c>
      <c r="BE4" s="4">
        <f t="shared" si="14"/>
        <v>0.08316988684</v>
      </c>
      <c r="BF4" s="3"/>
    </row>
    <row r="5">
      <c r="A5" s="3" t="s">
        <v>77</v>
      </c>
      <c r="B5" s="4">
        <f t="shared" si="3"/>
        <v>-0.001739036522</v>
      </c>
      <c r="C5" s="3" t="s">
        <v>58</v>
      </c>
      <c r="D5" s="3" t="s">
        <v>59</v>
      </c>
      <c r="E5" s="5" t="s">
        <v>82</v>
      </c>
      <c r="F5" s="3" t="s">
        <v>61</v>
      </c>
      <c r="G5" s="5" t="s">
        <v>83</v>
      </c>
      <c r="H5" s="5" t="s">
        <v>71</v>
      </c>
      <c r="I5" s="6">
        <v>20.0</v>
      </c>
      <c r="J5" s="5" t="s">
        <v>64</v>
      </c>
      <c r="K5" s="3" t="s">
        <v>72</v>
      </c>
      <c r="L5" s="5" t="s">
        <v>73</v>
      </c>
      <c r="M5" s="3" t="s">
        <v>67</v>
      </c>
      <c r="N5" s="3" t="s">
        <v>80</v>
      </c>
      <c r="O5" s="3" t="s">
        <v>69</v>
      </c>
      <c r="P5" s="5" t="s">
        <v>75</v>
      </c>
      <c r="Q5" s="5" t="s">
        <v>76</v>
      </c>
      <c r="R5" s="7">
        <v>439.740293741226</v>
      </c>
      <c r="S5" s="7">
        <v>465.660078287124</v>
      </c>
      <c r="T5" s="7">
        <v>1.5589926250512</v>
      </c>
      <c r="U5" s="7">
        <v>4.10358441805968</v>
      </c>
      <c r="V5" s="7">
        <v>2.025730588716</v>
      </c>
      <c r="W5" s="7">
        <v>0.848133627657178</v>
      </c>
      <c r="X5" s="7">
        <v>0.0484962771775119</v>
      </c>
      <c r="Y5" s="7">
        <v>0.00381474020366679</v>
      </c>
      <c r="Z5" s="7">
        <v>0.0617635831511319</v>
      </c>
      <c r="AA5" s="7">
        <v>0.914626525073093</v>
      </c>
      <c r="AB5" s="7">
        <v>0.0484757956343274</v>
      </c>
      <c r="AC5" s="7">
        <v>0.0616875064934141</v>
      </c>
      <c r="AD5" s="7">
        <v>0.91524404039572</v>
      </c>
      <c r="AE5" s="7">
        <v>0.0658978524354219</v>
      </c>
      <c r="AF5" s="7">
        <v>0.0856137341105</v>
      </c>
      <c r="AG5" s="7">
        <v>0.837417448510431</v>
      </c>
      <c r="AH5" s="7">
        <v>10.0</v>
      </c>
      <c r="AI5" s="7">
        <v>1.5589926250512</v>
      </c>
      <c r="AJ5" s="7">
        <v>4.10358441805968</v>
      </c>
      <c r="AK5" s="7">
        <v>2.025730588716</v>
      </c>
      <c r="AL5" s="7">
        <v>0.848105762996465</v>
      </c>
      <c r="AM5" s="7">
        <v>1.18765699304104</v>
      </c>
      <c r="AN5" s="7">
        <v>2.28416041153935</v>
      </c>
      <c r="AO5" s="7">
        <v>1.51134390908864</v>
      </c>
      <c r="AP5" s="7">
        <v>0.91524404039572</v>
      </c>
      <c r="AQ5" s="7">
        <v>1.61449738466785</v>
      </c>
      <c r="AR5" s="7">
        <v>4.39965930887311</v>
      </c>
      <c r="AS5" s="7">
        <v>2.09753648570724</v>
      </c>
      <c r="AT5" s="7">
        <v>0.837417448510431</v>
      </c>
      <c r="AU5" s="4">
        <f t="shared" ref="AU5:AV5" si="15">(AB5-AB$36)/AB$37</f>
        <v>-0.348990032</v>
      </c>
      <c r="AV5" s="4">
        <f t="shared" si="15"/>
        <v>-0.3887268375</v>
      </c>
      <c r="AW5" s="4">
        <f t="shared" si="5"/>
        <v>-0.2253674885</v>
      </c>
      <c r="AX5" s="4">
        <f t="shared" si="6"/>
        <v>-0.2304150502</v>
      </c>
      <c r="AY5" s="4">
        <f t="shared" si="7"/>
        <v>-0.5086582558</v>
      </c>
      <c r="AZ5" s="4">
        <f t="shared" si="8"/>
        <v>-0.4829602492</v>
      </c>
      <c r="BA5" s="4">
        <f t="shared" si="9"/>
        <v>-0.0911734454</v>
      </c>
      <c r="BB5" s="4">
        <f t="shared" si="10"/>
        <v>-0.1761478815</v>
      </c>
      <c r="BC5" s="4">
        <f t="shared" si="11"/>
        <v>-0.3509123786</v>
      </c>
      <c r="BD5" s="4">
        <f t="shared" ref="BD5:BE5" si="16">((R5-R$36)/R$37)</f>
        <v>0.7876919792</v>
      </c>
      <c r="BE5" s="4">
        <f t="shared" si="16"/>
        <v>2.034789041</v>
      </c>
      <c r="BF5" s="3"/>
    </row>
    <row r="6">
      <c r="A6" s="3" t="s">
        <v>77</v>
      </c>
      <c r="B6" s="4">
        <f t="shared" si="3"/>
        <v>-0.01948641546</v>
      </c>
      <c r="C6" s="3" t="s">
        <v>58</v>
      </c>
      <c r="D6" s="3" t="s">
        <v>59</v>
      </c>
      <c r="E6" s="5" t="s">
        <v>82</v>
      </c>
      <c r="F6" s="3" t="s">
        <v>61</v>
      </c>
      <c r="G6" s="5" t="s">
        <v>83</v>
      </c>
      <c r="H6" s="5" t="s">
        <v>63</v>
      </c>
      <c r="I6" s="6">
        <v>20.0</v>
      </c>
      <c r="J6" s="5" t="s">
        <v>64</v>
      </c>
      <c r="K6" s="3" t="s">
        <v>65</v>
      </c>
      <c r="L6" s="5" t="s">
        <v>73</v>
      </c>
      <c r="M6" s="3" t="s">
        <v>74</v>
      </c>
      <c r="N6" s="3" t="s">
        <v>84</v>
      </c>
      <c r="O6" s="3" t="s">
        <v>69</v>
      </c>
      <c r="P6" s="5" t="s">
        <v>81</v>
      </c>
      <c r="Q6" s="5" t="s">
        <v>85</v>
      </c>
      <c r="R6" s="7">
        <v>759.774735212326</v>
      </c>
      <c r="S6" s="7">
        <v>465.382558584213</v>
      </c>
      <c r="T6" s="7">
        <v>1.40466462282112</v>
      </c>
      <c r="U6" s="7">
        <v>3.435129418956</v>
      </c>
      <c r="V6" s="7">
        <v>1.85341021335159</v>
      </c>
      <c r="W6" s="7">
        <v>0.872761008761448</v>
      </c>
      <c r="X6" s="7">
        <v>0.0410480467081777</v>
      </c>
      <c r="Y6" s="7">
        <v>0.00271694390525276</v>
      </c>
      <c r="Z6" s="7">
        <v>0.0521243120362539</v>
      </c>
      <c r="AA6" s="7">
        <v>0.939129364236375</v>
      </c>
      <c r="AB6" s="7">
        <v>0.0410319312885553</v>
      </c>
      <c r="AC6" s="7">
        <v>0.0520619094431876</v>
      </c>
      <c r="AD6" s="7">
        <v>0.939560328420206</v>
      </c>
      <c r="AE6" s="7">
        <v>0.0641237426368237</v>
      </c>
      <c r="AF6" s="7">
        <v>0.0837715444207474</v>
      </c>
      <c r="AG6" s="7">
        <v>0.844272088225246</v>
      </c>
      <c r="AH6" s="7">
        <v>10.0</v>
      </c>
      <c r="AI6" s="7">
        <v>1.40466462282114</v>
      </c>
      <c r="AJ6" s="7">
        <v>3.435129418956</v>
      </c>
      <c r="AK6" s="7">
        <v>1.85341021335159</v>
      </c>
      <c r="AL6" s="7">
        <v>0.872728508057441</v>
      </c>
      <c r="AM6" s="7">
        <v>1.00528231656959</v>
      </c>
      <c r="AN6" s="7">
        <v>1.62694305952611</v>
      </c>
      <c r="AO6" s="7">
        <v>1.27551678135809</v>
      </c>
      <c r="AP6" s="7">
        <v>0.939560328420206</v>
      </c>
      <c r="AQ6" s="7">
        <v>1.5710316946022</v>
      </c>
      <c r="AR6" s="7">
        <v>4.21235741069601</v>
      </c>
      <c r="AS6" s="7">
        <v>2.05240283830831</v>
      </c>
      <c r="AT6" s="7">
        <v>0.844272088225246</v>
      </c>
      <c r="AU6" s="4">
        <f t="shared" ref="AU6:AV6" si="17">(AB6-AB$36)/AB$37</f>
        <v>-0.4842013422</v>
      </c>
      <c r="AV6" s="4">
        <f t="shared" si="17"/>
        <v>-0.5268914617</v>
      </c>
      <c r="AW6" s="4">
        <f t="shared" si="5"/>
        <v>-0.2444557073</v>
      </c>
      <c r="AX6" s="4">
        <f t="shared" si="6"/>
        <v>-0.2456964027</v>
      </c>
      <c r="AY6" s="4">
        <f t="shared" si="7"/>
        <v>-0.5825009351</v>
      </c>
      <c r="AZ6" s="4">
        <f t="shared" si="8"/>
        <v>-0.5467729358</v>
      </c>
      <c r="BA6" s="4">
        <f t="shared" si="9"/>
        <v>-0.1183100061</v>
      </c>
      <c r="BB6" s="4">
        <f t="shared" si="10"/>
        <v>-0.1854057679</v>
      </c>
      <c r="BC6" s="4">
        <f t="shared" si="11"/>
        <v>-0.3823835666</v>
      </c>
      <c r="BD6" s="4">
        <f t="shared" ref="BD6:BE6" si="18">((R6-R$36)/R$37)</f>
        <v>1.498067018</v>
      </c>
      <c r="BE6" s="4">
        <f t="shared" si="18"/>
        <v>2.032901678</v>
      </c>
      <c r="BF6" s="3"/>
    </row>
    <row r="7">
      <c r="A7" s="3" t="s">
        <v>57</v>
      </c>
      <c r="B7" s="4">
        <f t="shared" si="3"/>
        <v>-0.1556833985</v>
      </c>
      <c r="C7" s="3" t="s">
        <v>59</v>
      </c>
      <c r="D7" s="3" t="s">
        <v>58</v>
      </c>
      <c r="E7" s="5" t="s">
        <v>60</v>
      </c>
      <c r="F7" s="3" t="s">
        <v>61</v>
      </c>
      <c r="G7" s="5" t="s">
        <v>62</v>
      </c>
      <c r="H7" s="5" t="s">
        <v>71</v>
      </c>
      <c r="I7" s="6">
        <v>20.0</v>
      </c>
      <c r="J7" s="5" t="s">
        <v>64</v>
      </c>
      <c r="K7" s="3" t="s">
        <v>72</v>
      </c>
      <c r="L7" s="5" t="s">
        <v>73</v>
      </c>
      <c r="M7" s="3" t="s">
        <v>74</v>
      </c>
      <c r="N7" s="3" t="s">
        <v>68</v>
      </c>
      <c r="O7" s="3" t="s">
        <v>69</v>
      </c>
      <c r="P7" s="5" t="s">
        <v>86</v>
      </c>
      <c r="Q7" s="5" t="s">
        <v>87</v>
      </c>
      <c r="R7" s="11">
        <v>195.392321109771</v>
      </c>
      <c r="S7" s="11">
        <v>136.30793094635</v>
      </c>
      <c r="T7" s="7">
        <v>2.74305446878024</v>
      </c>
      <c r="U7" s="7">
        <v>12.3886998131341</v>
      </c>
      <c r="V7" s="7">
        <v>3.51975848789858</v>
      </c>
      <c r="W7" s="7">
        <v>0.630320458533967</v>
      </c>
      <c r="X7" s="7">
        <v>0.0928868576975259</v>
      </c>
      <c r="Y7" s="7">
        <v>0.0140144111224035</v>
      </c>
      <c r="Z7" s="7">
        <v>0.118382478105518</v>
      </c>
      <c r="AA7" s="7">
        <v>0.697260400047184</v>
      </c>
      <c r="AB7" s="7">
        <v>0.0934553540313069</v>
      </c>
      <c r="AC7" s="7">
        <v>0.118811920035597</v>
      </c>
      <c r="AD7" s="7">
        <v>0.697730247000659</v>
      </c>
      <c r="AE7" s="7">
        <v>0.0998425882764081</v>
      </c>
      <c r="AF7" s="7">
        <v>0.130010208932146</v>
      </c>
      <c r="AG7" s="7">
        <v>0.640075239082765</v>
      </c>
      <c r="AH7" s="7">
        <v>10.0</v>
      </c>
      <c r="AI7" s="7">
        <v>2.74305446878025</v>
      </c>
      <c r="AJ7" s="7">
        <v>12.3886998131341</v>
      </c>
      <c r="AK7" s="7">
        <v>3.51975848789858</v>
      </c>
      <c r="AL7" s="7">
        <v>0.630303596218458</v>
      </c>
      <c r="AM7" s="7">
        <v>2.49993072033746</v>
      </c>
      <c r="AN7" s="7">
        <v>10.1010751281124</v>
      </c>
      <c r="AO7" s="7">
        <v>3.17821886095222</v>
      </c>
      <c r="AP7" s="7">
        <v>0.697730247000659</v>
      </c>
      <c r="AQ7" s="7">
        <v>2.67078923639391</v>
      </c>
      <c r="AR7" s="7">
        <v>12.09490565812</v>
      </c>
      <c r="AS7" s="7">
        <v>3.47777308893493</v>
      </c>
      <c r="AT7" s="7">
        <v>0.640075239082765</v>
      </c>
      <c r="AU7" s="4">
        <f t="shared" ref="AU7:AU8" si="20">(AB7-$AB$36)/AB$37</f>
        <v>0.468024457</v>
      </c>
      <c r="AV7" s="4">
        <f t="shared" ref="AV7:AV8" si="21">(AC7-AC$36)/AC$37</f>
        <v>0.4312298969</v>
      </c>
      <c r="AW7" s="4">
        <f t="shared" si="5"/>
        <v>0.2385094207</v>
      </c>
      <c r="AX7" s="4">
        <f t="shared" si="6"/>
        <v>0.2369055268</v>
      </c>
      <c r="AY7" s="4">
        <f t="shared" si="7"/>
        <v>0.05789024971</v>
      </c>
      <c r="AZ7" s="4">
        <f t="shared" si="8"/>
        <v>0.07029953741</v>
      </c>
      <c r="BA7" s="4">
        <f t="shared" si="9"/>
        <v>0.1515682204</v>
      </c>
      <c r="BB7" s="4">
        <f t="shared" si="10"/>
        <v>0.09038279615</v>
      </c>
      <c r="BC7" s="4">
        <f t="shared" si="11"/>
        <v>-0.07253184438</v>
      </c>
      <c r="BD7" s="4">
        <f t="shared" ref="BD7:BE7" si="19">((R7-R$36)/R$37)</f>
        <v>0.245316916</v>
      </c>
      <c r="BE7" s="4">
        <f t="shared" si="19"/>
        <v>-0.2050777932</v>
      </c>
      <c r="BF7" s="4"/>
    </row>
    <row r="8">
      <c r="A8" s="3" t="s">
        <v>77</v>
      </c>
      <c r="B8" s="4">
        <f t="shared" si="3"/>
        <v>-0.1873071956</v>
      </c>
      <c r="C8" s="3" t="s">
        <v>59</v>
      </c>
      <c r="D8" s="3" t="s">
        <v>58</v>
      </c>
      <c r="E8" s="5" t="s">
        <v>60</v>
      </c>
      <c r="F8" s="3" t="s">
        <v>78</v>
      </c>
      <c r="G8" s="5" t="s">
        <v>60</v>
      </c>
      <c r="H8" s="5" t="s">
        <v>71</v>
      </c>
      <c r="I8" s="6">
        <v>20.0</v>
      </c>
      <c r="J8" s="5" t="s">
        <v>64</v>
      </c>
      <c r="K8" s="3" t="s">
        <v>72</v>
      </c>
      <c r="L8" s="5" t="s">
        <v>73</v>
      </c>
      <c r="M8" s="3" t="s">
        <v>74</v>
      </c>
      <c r="N8" s="3" t="s">
        <v>80</v>
      </c>
      <c r="O8" s="3" t="s">
        <v>69</v>
      </c>
      <c r="P8" s="5" t="s">
        <v>75</v>
      </c>
      <c r="Q8" s="5" t="s">
        <v>75</v>
      </c>
      <c r="R8" s="11">
        <v>239.175660848617</v>
      </c>
      <c r="S8" s="11">
        <v>135.971987009048</v>
      </c>
      <c r="T8" s="7">
        <v>2.67943543775912</v>
      </c>
      <c r="U8" s="7">
        <v>12.0384472680185</v>
      </c>
      <c r="V8" s="7">
        <v>3.46964656240639</v>
      </c>
      <c r="W8" s="7">
        <v>0.632113052810684</v>
      </c>
      <c r="X8" s="7">
        <v>0.095676754324766</v>
      </c>
      <c r="Y8" s="7">
        <v>0.0137067757478962</v>
      </c>
      <c r="Z8" s="7">
        <v>0.117075940089739</v>
      </c>
      <c r="AA8" s="7">
        <v>0.691652869755333</v>
      </c>
      <c r="AB8" s="7">
        <v>0.0967154121824837</v>
      </c>
      <c r="AC8" s="7">
        <v>0.1177354142289</v>
      </c>
      <c r="AD8" s="7">
        <v>0.69599764120007</v>
      </c>
      <c r="AE8" s="7">
        <v>0.106144135957678</v>
      </c>
      <c r="AF8" s="7">
        <v>0.139613630139389</v>
      </c>
      <c r="AG8" s="7">
        <v>0.567799216218996</v>
      </c>
      <c r="AH8" s="7">
        <v>10.0</v>
      </c>
      <c r="AI8" s="7">
        <v>2.67943543775912</v>
      </c>
      <c r="AJ8" s="7">
        <v>12.0384472680185</v>
      </c>
      <c r="AK8" s="7">
        <v>3.46964656240639</v>
      </c>
      <c r="AL8" s="7">
        <v>0.632150187425307</v>
      </c>
      <c r="AM8" s="7">
        <v>2.58713727588144</v>
      </c>
      <c r="AN8" s="7">
        <v>9.91886101662738</v>
      </c>
      <c r="AO8" s="7">
        <v>3.14942233062309</v>
      </c>
      <c r="AP8" s="7">
        <v>0.69599764120007</v>
      </c>
      <c r="AQ8" s="7">
        <v>2.83935563686789</v>
      </c>
      <c r="AR8" s="7">
        <v>13.9477197210171</v>
      </c>
      <c r="AS8" s="7">
        <v>3.73466460622867</v>
      </c>
      <c r="AT8" s="7">
        <v>0.567799216218996</v>
      </c>
      <c r="AU8" s="4">
        <f t="shared" si="20"/>
        <v>0.5272405729</v>
      </c>
      <c r="AV8" s="4">
        <f t="shared" si="21"/>
        <v>0.4157778663</v>
      </c>
      <c r="AW8" s="4">
        <f t="shared" si="5"/>
        <v>0.3125363676</v>
      </c>
      <c r="AX8" s="4">
        <f t="shared" si="6"/>
        <v>0.3238838694</v>
      </c>
      <c r="AY8" s="4">
        <f t="shared" si="7"/>
        <v>0.02744989127</v>
      </c>
      <c r="AZ8" s="4">
        <f t="shared" si="8"/>
        <v>0.05174237846</v>
      </c>
      <c r="BA8" s="4">
        <f t="shared" si="9"/>
        <v>0.1535017787</v>
      </c>
      <c r="BB8" s="4">
        <f t="shared" si="10"/>
        <v>0.1879988987</v>
      </c>
      <c r="BC8" s="4">
        <f t="shared" si="11"/>
        <v>-0.0748920369</v>
      </c>
      <c r="BD8" s="4">
        <f t="shared" ref="BD8:BE8" si="22">((R8-R$36)/R$37)</f>
        <v>0.3425020549</v>
      </c>
      <c r="BE8" s="4">
        <f t="shared" si="22"/>
        <v>-0.2073624897</v>
      </c>
      <c r="BF8" s="4"/>
    </row>
    <row r="9">
      <c r="A9" s="3" t="s">
        <v>57</v>
      </c>
      <c r="B9" s="4">
        <f t="shared" si="3"/>
        <v>-0.1793319962</v>
      </c>
      <c r="C9" s="3" t="s">
        <v>58</v>
      </c>
      <c r="D9" s="3" t="s">
        <v>59</v>
      </c>
      <c r="E9" s="5" t="s">
        <v>82</v>
      </c>
      <c r="F9" s="3" t="s">
        <v>78</v>
      </c>
      <c r="G9" s="5" t="s">
        <v>88</v>
      </c>
      <c r="H9" s="5" t="s">
        <v>71</v>
      </c>
      <c r="I9" s="6">
        <v>20.0</v>
      </c>
      <c r="J9" s="5" t="s">
        <v>64</v>
      </c>
      <c r="K9" s="3" t="s">
        <v>72</v>
      </c>
      <c r="L9" s="5" t="s">
        <v>66</v>
      </c>
      <c r="M9" s="3" t="s">
        <v>67</v>
      </c>
      <c r="N9" s="3" t="s">
        <v>80</v>
      </c>
      <c r="O9" s="3" t="s">
        <v>69</v>
      </c>
      <c r="P9" s="5" t="s">
        <v>76</v>
      </c>
      <c r="Q9" s="3"/>
      <c r="R9" s="7">
        <v>353.311714410781</v>
      </c>
      <c r="S9" s="7">
        <v>408.070708513259</v>
      </c>
      <c r="T9" s="7">
        <v>2.1487068194497</v>
      </c>
      <c r="U9" s="7">
        <v>7.50082040311643</v>
      </c>
      <c r="V9" s="7">
        <v>2.73876256786097</v>
      </c>
      <c r="W9" s="7">
        <v>0.721973229320156</v>
      </c>
      <c r="X9" s="7">
        <v>0.0729847493133338</v>
      </c>
      <c r="Y9" s="7">
        <v>0.00831591124899518</v>
      </c>
      <c r="Z9" s="7">
        <v>0.0911916183045086</v>
      </c>
      <c r="AA9" s="7">
        <v>0.811245262994434</v>
      </c>
      <c r="AB9" s="7">
        <v>0.0726859153746441</v>
      </c>
      <c r="AC9" s="7">
        <v>0.0906793672943221</v>
      </c>
      <c r="AD9" s="7">
        <v>0.815236937005545</v>
      </c>
      <c r="AE9" s="7">
        <v>0.0944484801822747</v>
      </c>
      <c r="AF9" s="7">
        <v>0.123943876950086</v>
      </c>
      <c r="AG9" s="7">
        <v>0.662180635088795</v>
      </c>
      <c r="AH9" s="7">
        <v>10.0</v>
      </c>
      <c r="AI9" s="7">
        <v>2.14870681944964</v>
      </c>
      <c r="AJ9" s="7">
        <v>7.50082040311643</v>
      </c>
      <c r="AK9" s="7">
        <v>2.73876256786097</v>
      </c>
      <c r="AL9" s="7">
        <v>0.721760990279623</v>
      </c>
      <c r="AM9" s="7">
        <v>1.78080492667882</v>
      </c>
      <c r="AN9" s="7">
        <v>4.93570427865239</v>
      </c>
      <c r="AO9" s="7">
        <v>2.22164449871089</v>
      </c>
      <c r="AP9" s="7">
        <v>0.815236937005545</v>
      </c>
      <c r="AQ9" s="7">
        <v>2.31398776446565</v>
      </c>
      <c r="AR9" s="7">
        <v>9.22109130120928</v>
      </c>
      <c r="AS9" s="7">
        <v>3.03662498527712</v>
      </c>
      <c r="AT9" s="7">
        <v>0.662180635088795</v>
      </c>
      <c r="AU9" s="4">
        <f t="shared" ref="AU9:AV9" si="23">(AB9-AB$36)/AB$37</f>
        <v>0.09076569958</v>
      </c>
      <c r="AV9" s="4">
        <f t="shared" si="23"/>
        <v>0.02741873025</v>
      </c>
      <c r="AW9" s="4">
        <f t="shared" si="5"/>
        <v>0.08181791188</v>
      </c>
      <c r="AX9" s="4">
        <f t="shared" si="6"/>
        <v>0.0875415802</v>
      </c>
      <c r="AY9" s="4">
        <f t="shared" si="7"/>
        <v>-0.226492508</v>
      </c>
      <c r="AZ9" s="4">
        <f t="shared" si="8"/>
        <v>-0.218914363</v>
      </c>
      <c r="BA9" s="4">
        <f t="shared" si="9"/>
        <v>0.0204327681</v>
      </c>
      <c r="BB9" s="4">
        <f t="shared" si="10"/>
        <v>0.06052721587</v>
      </c>
      <c r="BC9" s="4">
        <f t="shared" si="11"/>
        <v>-0.1894267247</v>
      </c>
      <c r="BD9" s="4">
        <f t="shared" ref="BD9:BE9" si="24">((R9-R$36)/R$37)</f>
        <v>0.5958479231</v>
      </c>
      <c r="BE9" s="4">
        <f t="shared" si="24"/>
        <v>1.643133725</v>
      </c>
      <c r="BF9" s="3"/>
    </row>
    <row r="10">
      <c r="A10" s="3" t="s">
        <v>77</v>
      </c>
      <c r="B10" s="4">
        <f t="shared" si="3"/>
        <v>-0.1727364881</v>
      </c>
      <c r="C10" s="3" t="s">
        <v>59</v>
      </c>
      <c r="D10" s="3" t="s">
        <v>58</v>
      </c>
      <c r="E10" s="5" t="s">
        <v>82</v>
      </c>
      <c r="F10" s="3" t="s">
        <v>61</v>
      </c>
      <c r="G10" s="5" t="s">
        <v>83</v>
      </c>
      <c r="H10" s="5" t="s">
        <v>71</v>
      </c>
      <c r="I10" s="6">
        <v>20.0</v>
      </c>
      <c r="J10" s="5" t="s">
        <v>64</v>
      </c>
      <c r="K10" s="3" t="s">
        <v>72</v>
      </c>
      <c r="L10" s="5" t="s">
        <v>73</v>
      </c>
      <c r="M10" s="3" t="s">
        <v>67</v>
      </c>
      <c r="N10" s="3" t="s">
        <v>68</v>
      </c>
      <c r="O10" s="3" t="s">
        <v>69</v>
      </c>
      <c r="P10" s="5" t="s">
        <v>75</v>
      </c>
      <c r="Q10" s="3" t="s">
        <v>89</v>
      </c>
      <c r="R10" s="11">
        <v>491.42365860939</v>
      </c>
      <c r="S10" s="11">
        <v>364.552724838256</v>
      </c>
      <c r="T10" s="7">
        <v>2.40664525644583</v>
      </c>
      <c r="U10" s="7">
        <v>9.22830855854984</v>
      </c>
      <c r="V10" s="7">
        <v>3.03781312107078</v>
      </c>
      <c r="W10" s="7">
        <v>0.721666516878547</v>
      </c>
      <c r="X10" s="7">
        <v>0.0653246841768267</v>
      </c>
      <c r="Y10" s="7">
        <v>0.0064707914800285</v>
      </c>
      <c r="Z10" s="7">
        <v>0.0804412299758558</v>
      </c>
      <c r="AA10" s="7">
        <v>0.848636593112722</v>
      </c>
      <c r="AB10" s="7">
        <v>0.0655819513910241</v>
      </c>
      <c r="AC10" s="7">
        <v>0.0806058907060662</v>
      </c>
      <c r="AD10" s="7">
        <v>0.849217706773491</v>
      </c>
      <c r="AE10" s="7">
        <v>0.104970170769907</v>
      </c>
      <c r="AF10" s="7">
        <v>0.131365690360024</v>
      </c>
      <c r="AG10" s="7">
        <v>0.603141841892997</v>
      </c>
      <c r="AH10" s="7">
        <v>10.0</v>
      </c>
      <c r="AI10" s="7">
        <v>2.1311858596237</v>
      </c>
      <c r="AJ10" s="7">
        <v>7.23670052408563</v>
      </c>
      <c r="AK10" s="7">
        <v>2.69011161926148</v>
      </c>
      <c r="AL10" s="7">
        <v>0.721537598046461</v>
      </c>
      <c r="AM10" s="7">
        <v>1.60675780908005</v>
      </c>
      <c r="AN10" s="7">
        <v>3.9000100973151</v>
      </c>
      <c r="AO10" s="7">
        <v>1.97484432229862</v>
      </c>
      <c r="AP10" s="7">
        <v>0.849217706773491</v>
      </c>
      <c r="AQ10" s="7">
        <v>2.57176918386272</v>
      </c>
      <c r="AR10" s="7">
        <v>10.3584809984103</v>
      </c>
      <c r="AS10" s="7">
        <v>3.21845941382058</v>
      </c>
      <c r="AT10" s="7">
        <v>0.603141841892997</v>
      </c>
      <c r="AU10" s="4">
        <f t="shared" ref="AU10:AU12" si="26">(AB10-$AB$36)/AB$37</f>
        <v>-0.03827161671</v>
      </c>
      <c r="AV10" s="4">
        <f t="shared" ref="AV10:AV12" si="27">(AC10-AC$36)/AC$37</f>
        <v>-0.1171747011</v>
      </c>
      <c r="AW10" s="4">
        <f t="shared" si="5"/>
        <v>0.1950241701</v>
      </c>
      <c r="AX10" s="4">
        <f t="shared" si="6"/>
        <v>0.14910709</v>
      </c>
      <c r="AY10" s="4">
        <f t="shared" si="7"/>
        <v>-0.2348759161</v>
      </c>
      <c r="AZ10" s="4">
        <f t="shared" si="8"/>
        <v>-0.2369305014</v>
      </c>
      <c r="BA10" s="4">
        <f t="shared" si="9"/>
        <v>-0.01748918861</v>
      </c>
      <c r="BB10" s="4">
        <f t="shared" si="10"/>
        <v>0.1402650966</v>
      </c>
      <c r="BC10" s="4">
        <f t="shared" si="11"/>
        <v>-0.1891411993</v>
      </c>
      <c r="BD10" s="4">
        <f t="shared" ref="BD10:BE10" si="25">((R10-R$36)/R$37)</f>
        <v>0.9024126703</v>
      </c>
      <c r="BE10" s="4">
        <f t="shared" si="25"/>
        <v>1.347175465</v>
      </c>
      <c r="BF10" s="4"/>
    </row>
    <row r="11">
      <c r="A11" s="3" t="s">
        <v>77</v>
      </c>
      <c r="B11" s="4">
        <f t="shared" si="3"/>
        <v>-0.1765663004</v>
      </c>
      <c r="C11" s="3" t="s">
        <v>59</v>
      </c>
      <c r="D11" s="3" t="s">
        <v>58</v>
      </c>
      <c r="E11" s="5" t="s">
        <v>60</v>
      </c>
      <c r="F11" s="3" t="s">
        <v>78</v>
      </c>
      <c r="G11" s="5" t="s">
        <v>60</v>
      </c>
      <c r="H11" s="5" t="s">
        <v>63</v>
      </c>
      <c r="I11" s="6">
        <v>20.0</v>
      </c>
      <c r="J11" s="5" t="s">
        <v>64</v>
      </c>
      <c r="K11" s="3" t="s">
        <v>65</v>
      </c>
      <c r="L11" s="5" t="s">
        <v>73</v>
      </c>
      <c r="M11" s="3" t="s">
        <v>74</v>
      </c>
      <c r="N11" s="3" t="s">
        <v>80</v>
      </c>
      <c r="O11" s="3" t="s">
        <v>69</v>
      </c>
      <c r="P11" s="5" t="s">
        <v>75</v>
      </c>
      <c r="Q11" s="5" t="s">
        <v>85</v>
      </c>
      <c r="R11" s="11">
        <v>494.781337738037</v>
      </c>
      <c r="S11" s="11">
        <v>172.102817773818</v>
      </c>
      <c r="T11" s="7">
        <v>2.59425281292854</v>
      </c>
      <c r="U11" s="7">
        <v>11.119143704013</v>
      </c>
      <c r="V11" s="7">
        <v>3.3345380045837</v>
      </c>
      <c r="W11" s="7">
        <v>0.666903004223522</v>
      </c>
      <c r="X11" s="7">
        <v>0.0732074549721022</v>
      </c>
      <c r="Y11" s="7">
        <v>0.00829838155211527</v>
      </c>
      <c r="Z11" s="7">
        <v>0.0910954529716784</v>
      </c>
      <c r="AA11" s="7">
        <v>0.816165609793685</v>
      </c>
      <c r="AB11" s="7">
        <v>0.074090144845197</v>
      </c>
      <c r="AC11" s="7">
        <v>0.0917184897087437</v>
      </c>
      <c r="AD11" s="7">
        <v>0.817810344465813</v>
      </c>
      <c r="AE11" s="7">
        <v>0.11209179016278</v>
      </c>
      <c r="AF11" s="7">
        <v>0.144043713658187</v>
      </c>
      <c r="AG11" s="7">
        <v>0.557371890301665</v>
      </c>
      <c r="AH11" s="7">
        <v>10.0</v>
      </c>
      <c r="AI11" s="7">
        <v>2.59425281292854</v>
      </c>
      <c r="AJ11" s="7">
        <v>11.119143704013</v>
      </c>
      <c r="AK11" s="7">
        <v>3.3345380045837</v>
      </c>
      <c r="AL11" s="7">
        <v>0.666704843364956</v>
      </c>
      <c r="AM11" s="7">
        <v>1.98191137460902</v>
      </c>
      <c r="AN11" s="7">
        <v>6.01951307669574</v>
      </c>
      <c r="AO11" s="7">
        <v>2.45346959970889</v>
      </c>
      <c r="AP11" s="7">
        <v>0.817810344465813</v>
      </c>
      <c r="AQ11" s="7">
        <v>2.99845538685436</v>
      </c>
      <c r="AR11" s="7">
        <v>14.8469139654634</v>
      </c>
      <c r="AS11" s="7">
        <v>3.85316934035651</v>
      </c>
      <c r="AT11" s="7">
        <v>0.557371890301665</v>
      </c>
      <c r="AU11" s="4">
        <f t="shared" si="26"/>
        <v>0.1162723045</v>
      </c>
      <c r="AV11" s="4">
        <f t="shared" si="27"/>
        <v>0.04233416428</v>
      </c>
      <c r="AW11" s="4">
        <f t="shared" si="5"/>
        <v>0.3824059781</v>
      </c>
      <c r="AX11" s="4">
        <f t="shared" si="6"/>
        <v>0.3640072081</v>
      </c>
      <c r="AY11" s="4">
        <f t="shared" si="7"/>
        <v>-0.01330818995</v>
      </c>
      <c r="AZ11" s="4">
        <f t="shared" si="8"/>
        <v>0.001709757303</v>
      </c>
      <c r="BA11" s="4">
        <f t="shared" si="9"/>
        <v>0.01756088948</v>
      </c>
      <c r="BB11" s="4">
        <f t="shared" si="10"/>
        <v>0.2020820604</v>
      </c>
      <c r="BC11" s="4">
        <f t="shared" si="11"/>
        <v>-0.119057546</v>
      </c>
      <c r="BD11" s="4">
        <f t="shared" ref="BD11:BE11" si="28">((R11-R$36)/R$37)</f>
        <v>0.9098656539</v>
      </c>
      <c r="BE11" s="4">
        <f t="shared" si="28"/>
        <v>0.03835702415</v>
      </c>
      <c r="BF11" s="4"/>
    </row>
    <row r="12">
      <c r="A12" s="3" t="s">
        <v>57</v>
      </c>
      <c r="B12" s="4">
        <f t="shared" si="3"/>
        <v>-0.2759101332</v>
      </c>
      <c r="C12" s="3" t="s">
        <v>59</v>
      </c>
      <c r="D12" s="3" t="s">
        <v>58</v>
      </c>
      <c r="E12" s="5" t="s">
        <v>60</v>
      </c>
      <c r="F12" s="3" t="s">
        <v>61</v>
      </c>
      <c r="G12" s="5" t="s">
        <v>62</v>
      </c>
      <c r="H12" s="5" t="s">
        <v>63</v>
      </c>
      <c r="I12" s="6">
        <v>20.0</v>
      </c>
      <c r="J12" s="5" t="s">
        <v>64</v>
      </c>
      <c r="K12" s="3" t="s">
        <v>65</v>
      </c>
      <c r="L12" s="5" t="s">
        <v>66</v>
      </c>
      <c r="M12" s="3" t="s">
        <v>67</v>
      </c>
      <c r="N12" s="3" t="s">
        <v>84</v>
      </c>
      <c r="O12" s="3" t="s">
        <v>69</v>
      </c>
      <c r="P12" s="5" t="s">
        <v>85</v>
      </c>
      <c r="Q12" s="3"/>
      <c r="R12" s="11">
        <v>339.809797763824</v>
      </c>
      <c r="S12" s="11">
        <v>132.86934685707</v>
      </c>
      <c r="T12" s="7">
        <v>2.90491724471766</v>
      </c>
      <c r="U12" s="7">
        <v>13.5988696099157</v>
      </c>
      <c r="V12" s="7">
        <v>3.68766451970834</v>
      </c>
      <c r="W12" s="7">
        <v>0.598973907197007</v>
      </c>
      <c r="X12" s="7">
        <v>0.10488915866206</v>
      </c>
      <c r="Y12" s="7">
        <v>0.017238081405186</v>
      </c>
      <c r="Z12" s="7">
        <v>0.131293874210436</v>
      </c>
      <c r="AA12" s="7">
        <v>0.6318009136247</v>
      </c>
      <c r="AB12" s="7">
        <v>0.105522876148877</v>
      </c>
      <c r="AC12" s="7">
        <v>0.131799635371789</v>
      </c>
      <c r="AD12" s="7">
        <v>0.631910041411766</v>
      </c>
      <c r="AE12" s="7">
        <v>0.112993870711812</v>
      </c>
      <c r="AF12" s="7">
        <v>0.142992834032209</v>
      </c>
      <c r="AG12" s="7">
        <v>0.570168026685779</v>
      </c>
      <c r="AH12" s="7">
        <v>10.0</v>
      </c>
      <c r="AI12" s="7">
        <v>2.90491724471767</v>
      </c>
      <c r="AJ12" s="7">
        <v>13.5988696099157</v>
      </c>
      <c r="AK12" s="7">
        <v>3.68766451970834</v>
      </c>
      <c r="AL12" s="7">
        <v>0.598911169463376</v>
      </c>
      <c r="AM12" s="7">
        <v>2.82273693698248</v>
      </c>
      <c r="AN12" s="7">
        <v>12.4301391455926</v>
      </c>
      <c r="AO12" s="7">
        <v>3.52564024619537</v>
      </c>
      <c r="AP12" s="7">
        <v>0.631910041411766</v>
      </c>
      <c r="AQ12" s="7">
        <v>3.02258604154096</v>
      </c>
      <c r="AR12" s="7">
        <v>14.6310710776664</v>
      </c>
      <c r="AS12" s="7">
        <v>3.8250583103616</v>
      </c>
      <c r="AT12" s="7">
        <v>0.570168026685779</v>
      </c>
      <c r="AU12" s="4">
        <f t="shared" si="26"/>
        <v>0.6872204822</v>
      </c>
      <c r="AV12" s="4">
        <f t="shared" si="27"/>
        <v>0.6176539492</v>
      </c>
      <c r="AW12" s="4">
        <f t="shared" si="5"/>
        <v>0.3930031</v>
      </c>
      <c r="AX12" s="4">
        <f t="shared" si="6"/>
        <v>0.3544893742</v>
      </c>
      <c r="AY12" s="4">
        <f t="shared" si="7"/>
        <v>0.1353381586</v>
      </c>
      <c r="AZ12" s="4">
        <f t="shared" si="8"/>
        <v>0.1324775298</v>
      </c>
      <c r="BA12" s="4">
        <f t="shared" si="9"/>
        <v>0.2250224418</v>
      </c>
      <c r="BB12" s="4">
        <f t="shared" si="10"/>
        <v>0.1847995798</v>
      </c>
      <c r="BC12" s="4">
        <f t="shared" si="11"/>
        <v>-0.03240809051</v>
      </c>
      <c r="BD12" s="4">
        <f t="shared" ref="BD12:BE12" si="29">((R12-R$36)/R$37)</f>
        <v>0.565877947</v>
      </c>
      <c r="BE12" s="4">
        <f t="shared" si="29"/>
        <v>-0.2284630073</v>
      </c>
      <c r="BF12" s="4"/>
    </row>
    <row r="13">
      <c r="A13" s="3" t="s">
        <v>57</v>
      </c>
      <c r="B13" s="4">
        <f t="shared" si="3"/>
        <v>-0.2263662432</v>
      </c>
      <c r="C13" s="3" t="s">
        <v>58</v>
      </c>
      <c r="D13" s="3" t="s">
        <v>59</v>
      </c>
      <c r="E13" s="5" t="s">
        <v>82</v>
      </c>
      <c r="F13" s="3" t="s">
        <v>78</v>
      </c>
      <c r="G13" s="5" t="s">
        <v>88</v>
      </c>
      <c r="H13" s="5" t="s">
        <v>63</v>
      </c>
      <c r="I13" s="6">
        <v>20.0</v>
      </c>
      <c r="J13" s="5" t="s">
        <v>64</v>
      </c>
      <c r="K13" s="3" t="s">
        <v>65</v>
      </c>
      <c r="L13" s="5" t="s">
        <v>66</v>
      </c>
      <c r="M13" s="3" t="s">
        <v>67</v>
      </c>
      <c r="N13" s="3" t="s">
        <v>68</v>
      </c>
      <c r="O13" s="3" t="s">
        <v>69</v>
      </c>
      <c r="P13" s="5" t="s">
        <v>85</v>
      </c>
      <c r="Q13" s="3"/>
      <c r="R13" s="7">
        <v>749.205843687057</v>
      </c>
      <c r="S13" s="7">
        <v>416.313429355621</v>
      </c>
      <c r="T13" s="7">
        <v>2.13875495833566</v>
      </c>
      <c r="U13" s="7">
        <v>7.20986923223144</v>
      </c>
      <c r="V13" s="7">
        <v>2.68511996607813</v>
      </c>
      <c r="W13" s="7">
        <v>0.732205316456469</v>
      </c>
      <c r="X13" s="7">
        <v>0.0697727343433666</v>
      </c>
      <c r="Y13" s="7">
        <v>0.00745792813905505</v>
      </c>
      <c r="Z13" s="7">
        <v>0.0863592967725829</v>
      </c>
      <c r="AA13" s="7">
        <v>0.830598311706381</v>
      </c>
      <c r="AB13" s="7">
        <v>0.0689232672825333</v>
      </c>
      <c r="AC13" s="7">
        <v>0.08559173647368</v>
      </c>
      <c r="AD13" s="7">
        <v>0.835226283175164</v>
      </c>
      <c r="AE13" s="7">
        <v>0.0888373480956608</v>
      </c>
      <c r="AF13" s="7">
        <v>0.113726226259709</v>
      </c>
      <c r="AG13" s="7">
        <v>0.714653550955342</v>
      </c>
      <c r="AH13" s="7">
        <v>10.0</v>
      </c>
      <c r="AI13" s="7">
        <v>2.13875495833559</v>
      </c>
      <c r="AJ13" s="7">
        <v>7.20986923223144</v>
      </c>
      <c r="AK13" s="7">
        <v>2.68511996607813</v>
      </c>
      <c r="AL13" s="7">
        <v>0.732036879597021</v>
      </c>
      <c r="AM13" s="7">
        <v>1.68862004842208</v>
      </c>
      <c r="AN13" s="7">
        <v>4.39739869788607</v>
      </c>
      <c r="AO13" s="7">
        <v>2.09699754360516</v>
      </c>
      <c r="AP13" s="7">
        <v>0.835226283175164</v>
      </c>
      <c r="AQ13" s="7">
        <v>2.17651502834361</v>
      </c>
      <c r="AR13" s="7">
        <v>7.7634261371996</v>
      </c>
      <c r="AS13" s="7">
        <v>2.78629254336288</v>
      </c>
      <c r="AT13" s="7">
        <v>0.714653550955342</v>
      </c>
      <c r="AU13" s="4">
        <f t="shared" ref="AU13:AV13" si="30">(AB13-AB$36)/AB$37</f>
        <v>0.02242047527</v>
      </c>
      <c r="AV13" s="4">
        <f t="shared" si="30"/>
        <v>-0.04560849043</v>
      </c>
      <c r="AW13" s="4">
        <f t="shared" si="5"/>
        <v>0.02144593436</v>
      </c>
      <c r="AX13" s="4">
        <f t="shared" si="6"/>
        <v>0.002784009702</v>
      </c>
      <c r="AY13" s="4">
        <f t="shared" si="7"/>
        <v>-0.2312542627</v>
      </c>
      <c r="AZ13" s="4">
        <f t="shared" si="8"/>
        <v>-0.2387789816</v>
      </c>
      <c r="BA13" s="4">
        <f t="shared" si="9"/>
        <v>-0.001874999655</v>
      </c>
      <c r="BB13" s="4">
        <f t="shared" si="10"/>
        <v>-0.0103427813</v>
      </c>
      <c r="BC13" s="4">
        <f t="shared" si="11"/>
        <v>-0.2025606967</v>
      </c>
      <c r="BD13" s="4">
        <f t="shared" ref="BD13:BE13" si="31">((R13-R$36)/R$37)</f>
        <v>1.474607428</v>
      </c>
      <c r="BE13" s="4">
        <f t="shared" si="31"/>
        <v>1.69919104</v>
      </c>
      <c r="BF13" s="3"/>
    </row>
    <row r="14">
      <c r="A14" s="3" t="s">
        <v>77</v>
      </c>
      <c r="B14" s="4">
        <f t="shared" si="3"/>
        <v>-0.269686983</v>
      </c>
      <c r="C14" s="3" t="s">
        <v>59</v>
      </c>
      <c r="D14" s="3" t="s">
        <v>58</v>
      </c>
      <c r="E14" s="5" t="s">
        <v>82</v>
      </c>
      <c r="F14" s="3" t="s">
        <v>61</v>
      </c>
      <c r="G14" s="5" t="s">
        <v>83</v>
      </c>
      <c r="H14" s="5" t="s">
        <v>63</v>
      </c>
      <c r="I14" s="6">
        <v>20.0</v>
      </c>
      <c r="J14" s="5" t="s">
        <v>64</v>
      </c>
      <c r="K14" s="3" t="s">
        <v>65</v>
      </c>
      <c r="L14" s="5" t="s">
        <v>66</v>
      </c>
      <c r="M14" s="3" t="s">
        <v>74</v>
      </c>
      <c r="N14" s="3" t="s">
        <v>80</v>
      </c>
      <c r="O14" s="3" t="s">
        <v>69</v>
      </c>
      <c r="P14" s="5" t="s">
        <v>85</v>
      </c>
      <c r="Q14" s="3"/>
      <c r="R14" s="11">
        <v>807.953213214874</v>
      </c>
      <c r="S14" s="11">
        <v>366.853484392166</v>
      </c>
      <c r="T14" s="7">
        <v>2.45919224132798</v>
      </c>
      <c r="U14" s="7">
        <v>9.48315938808969</v>
      </c>
      <c r="V14" s="7">
        <v>3.07947388170279</v>
      </c>
      <c r="W14" s="7">
        <v>0.713975648340263</v>
      </c>
      <c r="X14" s="7">
        <v>0.0778849524696821</v>
      </c>
      <c r="Y14" s="7">
        <v>0.0087523365564011</v>
      </c>
      <c r="Z14" s="7">
        <v>0.0935539232549933</v>
      </c>
      <c r="AA14" s="7">
        <v>0.796287658580634</v>
      </c>
      <c r="AB14" s="7">
        <v>0.0781436095805824</v>
      </c>
      <c r="AC14" s="7">
        <v>0.0937095311830689</v>
      </c>
      <c r="AD14" s="7">
        <v>0.797159450291663</v>
      </c>
      <c r="AE14" s="7">
        <v>0.0988554490639409</v>
      </c>
      <c r="AF14" s="7">
        <v>0.124802880324619</v>
      </c>
      <c r="AG14" s="7">
        <v>0.641310966423336</v>
      </c>
      <c r="AH14" s="7">
        <v>10.0</v>
      </c>
      <c r="AI14" s="7">
        <v>2.17771843057356</v>
      </c>
      <c r="AJ14" s="7">
        <v>7.43655070464618</v>
      </c>
      <c r="AK14" s="7">
        <v>2.72700397958018</v>
      </c>
      <c r="AL14" s="7">
        <v>0.713938894728297</v>
      </c>
      <c r="AM14" s="7">
        <v>1.91451843472421</v>
      </c>
      <c r="AN14" s="7">
        <v>5.27108110978897</v>
      </c>
      <c r="AO14" s="7">
        <v>2.29588351398518</v>
      </c>
      <c r="AP14" s="7">
        <v>0.797159450291663</v>
      </c>
      <c r="AQ14" s="7">
        <v>2.42195850206654</v>
      </c>
      <c r="AR14" s="7">
        <v>9.34934930212708</v>
      </c>
      <c r="AS14" s="7">
        <v>3.05767056795317</v>
      </c>
      <c r="AT14" s="7">
        <v>0.641310966423335</v>
      </c>
      <c r="AU14" s="4">
        <f t="shared" ref="AU14:AV14" si="32">(AB14-AB$36)/AB$37</f>
        <v>0.1898999597</v>
      </c>
      <c r="AV14" s="4">
        <f t="shared" si="32"/>
        <v>0.07091332622</v>
      </c>
      <c r="AW14" s="4">
        <f t="shared" si="5"/>
        <v>0.1292339096</v>
      </c>
      <c r="AX14" s="4">
        <f t="shared" si="6"/>
        <v>0.09466719462</v>
      </c>
      <c r="AY14" s="4">
        <f t="shared" si="7"/>
        <v>-0.2126110668</v>
      </c>
      <c r="AZ14" s="4">
        <f t="shared" si="8"/>
        <v>-0.2232687355</v>
      </c>
      <c r="BA14" s="4">
        <f t="shared" si="9"/>
        <v>0.04060693347</v>
      </c>
      <c r="BB14" s="4">
        <f t="shared" si="10"/>
        <v>0.08871382099</v>
      </c>
      <c r="BC14" s="4">
        <f t="shared" si="11"/>
        <v>-0.179429032</v>
      </c>
      <c r="BD14" s="4">
        <f t="shared" ref="BD14:BE14" si="33">((R14-R$36)/R$37)</f>
        <v>1.605007971</v>
      </c>
      <c r="BE14" s="4">
        <f t="shared" si="33"/>
        <v>1.362822532</v>
      </c>
      <c r="BF14" s="4"/>
    </row>
    <row r="15">
      <c r="A15" s="3" t="s">
        <v>57</v>
      </c>
      <c r="B15" s="4">
        <f t="shared" si="3"/>
        <v>-0.5590652422</v>
      </c>
      <c r="C15" s="3" t="s">
        <v>59</v>
      </c>
      <c r="D15" s="3" t="s">
        <v>58</v>
      </c>
      <c r="E15" s="5" t="s">
        <v>82</v>
      </c>
      <c r="F15" s="3" t="s">
        <v>78</v>
      </c>
      <c r="G15" s="5" t="s">
        <v>88</v>
      </c>
      <c r="H15" s="5" t="s">
        <v>71</v>
      </c>
      <c r="I15" s="6">
        <v>20.0</v>
      </c>
      <c r="J15" s="5" t="s">
        <v>64</v>
      </c>
      <c r="K15" s="3" t="s">
        <v>72</v>
      </c>
      <c r="L15" s="5" t="s">
        <v>73</v>
      </c>
      <c r="M15" s="3" t="s">
        <v>67</v>
      </c>
      <c r="N15" s="3" t="s">
        <v>68</v>
      </c>
      <c r="O15" s="3" t="s">
        <v>69</v>
      </c>
      <c r="P15" s="5" t="s">
        <v>76</v>
      </c>
      <c r="Q15" s="5" t="s">
        <v>75</v>
      </c>
      <c r="R15" s="11">
        <v>550.850040435791</v>
      </c>
      <c r="S15" s="11">
        <v>326.742190122604</v>
      </c>
      <c r="T15" s="7">
        <v>3.38070141500579</v>
      </c>
      <c r="U15" s="7">
        <v>18.1478564036258</v>
      </c>
      <c r="V15" s="7">
        <v>4.26003009421598</v>
      </c>
      <c r="W15" s="7">
        <v>0.444866043962681</v>
      </c>
      <c r="X15" s="7">
        <v>0.111704218384129</v>
      </c>
      <c r="Y15" s="7">
        <v>0.0184598889313358</v>
      </c>
      <c r="Z15" s="7">
        <v>0.135867173854967</v>
      </c>
      <c r="AA15" s="7">
        <v>0.552851229087793</v>
      </c>
      <c r="AB15" s="7">
        <v>0.112931225722844</v>
      </c>
      <c r="AC15" s="7">
        <v>0.13669183205009</v>
      </c>
      <c r="AD15" s="7">
        <v>0.556979011316915</v>
      </c>
      <c r="AE15" s="7">
        <v>0.118570370246045</v>
      </c>
      <c r="AF15" s="7">
        <v>0.1527830705416</v>
      </c>
      <c r="AG15" s="7">
        <v>0.456632333179188</v>
      </c>
      <c r="AH15" s="7">
        <v>10.0</v>
      </c>
      <c r="AI15" s="7">
        <v>3.38070141500579</v>
      </c>
      <c r="AJ15" s="7">
        <v>18.1478564036258</v>
      </c>
      <c r="AK15" s="7">
        <v>4.26003009421598</v>
      </c>
      <c r="AL15" s="7">
        <v>0.444718536992008</v>
      </c>
      <c r="AM15" s="7">
        <v>3.12443057833216</v>
      </c>
      <c r="AN15" s="7">
        <v>14.3020668581231</v>
      </c>
      <c r="AO15" s="7">
        <v>3.78180735338582</v>
      </c>
      <c r="AP15" s="7">
        <v>0.556979011316915</v>
      </c>
      <c r="AQ15" s="7">
        <v>3.28044691014065</v>
      </c>
      <c r="AR15" s="7">
        <v>17.86751450126</v>
      </c>
      <c r="AS15" s="7">
        <v>4.22699828498427</v>
      </c>
      <c r="AT15" s="7">
        <v>0.456632333179188</v>
      </c>
      <c r="AU15" s="4">
        <f t="shared" ref="AU15:AU16" si="35">(AB15-$AB$36)/AB$37</f>
        <v>0.8217866975</v>
      </c>
      <c r="AV15" s="4">
        <f t="shared" ref="AV15:AV16" si="36">(AC15-AC$36)/AC$37</f>
        <v>0.6878759325</v>
      </c>
      <c r="AW15" s="4">
        <f t="shared" si="5"/>
        <v>0.5062442488</v>
      </c>
      <c r="AX15" s="4">
        <f t="shared" si="6"/>
        <v>0.4905782306</v>
      </c>
      <c r="AY15" s="4">
        <f t="shared" si="7"/>
        <v>0.3629908036</v>
      </c>
      <c r="AZ15" s="4">
        <f t="shared" si="8"/>
        <v>0.3444326451</v>
      </c>
      <c r="BA15" s="4">
        <f t="shared" si="9"/>
        <v>0.3086441872</v>
      </c>
      <c r="BB15" s="4">
        <f t="shared" si="10"/>
        <v>0.338141054</v>
      </c>
      <c r="BC15" s="4">
        <f t="shared" si="11"/>
        <v>0.1646708828</v>
      </c>
      <c r="BD15" s="4">
        <f t="shared" ref="BD15:BE15" si="34">((R15-R$36)/R$37)</f>
        <v>1.034320405</v>
      </c>
      <c r="BE15" s="4">
        <f t="shared" si="34"/>
        <v>1.090032576</v>
      </c>
      <c r="BF15" s="4"/>
    </row>
    <row r="16">
      <c r="A16" s="3" t="s">
        <v>57</v>
      </c>
      <c r="B16" s="4">
        <f t="shared" si="3"/>
        <v>-0.6155225733</v>
      </c>
      <c r="C16" s="3" t="s">
        <v>59</v>
      </c>
      <c r="D16" s="3" t="s">
        <v>58</v>
      </c>
      <c r="E16" s="5" t="s">
        <v>82</v>
      </c>
      <c r="F16" s="3" t="s">
        <v>78</v>
      </c>
      <c r="G16" s="5" t="s">
        <v>88</v>
      </c>
      <c r="H16" s="5" t="s">
        <v>63</v>
      </c>
      <c r="I16" s="6">
        <v>20.0</v>
      </c>
      <c r="J16" s="5" t="s">
        <v>64</v>
      </c>
      <c r="K16" s="3" t="s">
        <v>65</v>
      </c>
      <c r="L16" s="5" t="s">
        <v>73</v>
      </c>
      <c r="M16" s="3" t="s">
        <v>67</v>
      </c>
      <c r="N16" s="3" t="s">
        <v>68</v>
      </c>
      <c r="O16" s="3" t="s">
        <v>69</v>
      </c>
      <c r="P16" s="5" t="s">
        <v>75</v>
      </c>
      <c r="Q16" s="5" t="s">
        <v>85</v>
      </c>
      <c r="R16" s="11">
        <v>722.599123477935</v>
      </c>
      <c r="S16" s="11">
        <v>334.385579824447</v>
      </c>
      <c r="T16" s="7">
        <v>3.32957016238264</v>
      </c>
      <c r="U16" s="7">
        <v>18.5399111746713</v>
      </c>
      <c r="V16" s="7">
        <v>4.30579971372001</v>
      </c>
      <c r="W16" s="7">
        <v>0.434770975720703</v>
      </c>
      <c r="X16" s="7">
        <v>0.109660707065891</v>
      </c>
      <c r="Y16" s="7">
        <v>0.0185513316714923</v>
      </c>
      <c r="Z16" s="7">
        <v>0.136203273350872</v>
      </c>
      <c r="AA16" s="7">
        <v>0.553586211501758</v>
      </c>
      <c r="AB16" s="7">
        <v>0.111547985224348</v>
      </c>
      <c r="AC16" s="7">
        <v>0.137738057691207</v>
      </c>
      <c r="AD16" s="7">
        <v>0.552638615980109</v>
      </c>
      <c r="AE16" s="7">
        <v>0.121278636954406</v>
      </c>
      <c r="AF16" s="7">
        <v>0.160915193030231</v>
      </c>
      <c r="AG16" s="7">
        <v>0.398543761694654</v>
      </c>
      <c r="AH16" s="7">
        <v>10.0</v>
      </c>
      <c r="AI16" s="7">
        <v>3.32957016238263</v>
      </c>
      <c r="AJ16" s="7">
        <v>18.5399111746713</v>
      </c>
      <c r="AK16" s="7">
        <v>4.30579971372001</v>
      </c>
      <c r="AL16" s="7">
        <v>0.434497095081602</v>
      </c>
      <c r="AM16" s="7">
        <v>3.08616092454032</v>
      </c>
      <c r="AN16" s="7">
        <v>14.5218378893631</v>
      </c>
      <c r="AO16" s="7">
        <v>3.81075292945674</v>
      </c>
      <c r="AP16" s="7">
        <v>0.552638615980109</v>
      </c>
      <c r="AQ16" s="7">
        <v>3.35537562240527</v>
      </c>
      <c r="AR16" s="7">
        <v>19.8201883120082</v>
      </c>
      <c r="AS16" s="7">
        <v>4.45198700716974</v>
      </c>
      <c r="AT16" s="7">
        <v>0.398543761694654</v>
      </c>
      <c r="AU16" s="4">
        <f t="shared" si="35"/>
        <v>0.7966613391</v>
      </c>
      <c r="AV16" s="4">
        <f t="shared" si="36"/>
        <v>0.7028933253</v>
      </c>
      <c r="AW16" s="4">
        <f t="shared" si="5"/>
        <v>0.5391496427</v>
      </c>
      <c r="AX16" s="4">
        <f t="shared" si="6"/>
        <v>0.5667549232</v>
      </c>
      <c r="AY16" s="4">
        <f t="shared" si="7"/>
        <v>0.3385255826</v>
      </c>
      <c r="AZ16" s="4">
        <f t="shared" si="8"/>
        <v>0.3613817863</v>
      </c>
      <c r="BA16" s="4">
        <f t="shared" si="9"/>
        <v>0.3134879941</v>
      </c>
      <c r="BB16" s="4">
        <f t="shared" si="10"/>
        <v>0.4165955639</v>
      </c>
      <c r="BC16" s="4">
        <f t="shared" si="11"/>
        <v>0.1777352636</v>
      </c>
      <c r="BD16" s="4">
        <f t="shared" ref="BD16:BE16" si="37">((R16-R$36)/R$37)</f>
        <v>1.415548941</v>
      </c>
      <c r="BE16" s="4">
        <f t="shared" si="37"/>
        <v>1.142013944</v>
      </c>
      <c r="BF16" s="4"/>
    </row>
    <row r="17">
      <c r="A17" s="3" t="s">
        <v>77</v>
      </c>
      <c r="B17" s="4">
        <f t="shared" si="3"/>
        <v>-0.6611264795</v>
      </c>
      <c r="C17" s="3" t="s">
        <v>58</v>
      </c>
      <c r="D17" s="3" t="s">
        <v>59</v>
      </c>
      <c r="E17" s="5" t="s">
        <v>60</v>
      </c>
      <c r="F17" s="3" t="s">
        <v>78</v>
      </c>
      <c r="G17" s="5" t="s">
        <v>60</v>
      </c>
      <c r="H17" s="5" t="s">
        <v>71</v>
      </c>
      <c r="I17" s="6">
        <v>20.0</v>
      </c>
      <c r="J17" s="5" t="s">
        <v>64</v>
      </c>
      <c r="K17" s="3" t="s">
        <v>72</v>
      </c>
      <c r="L17" s="5" t="s">
        <v>73</v>
      </c>
      <c r="M17" s="3" t="s">
        <v>74</v>
      </c>
      <c r="N17" s="3" t="s">
        <v>80</v>
      </c>
      <c r="O17" s="3" t="s">
        <v>69</v>
      </c>
      <c r="P17" s="5" t="s">
        <v>87</v>
      </c>
      <c r="Q17" s="5" t="s">
        <v>76</v>
      </c>
      <c r="R17" s="7">
        <v>159.367000818252</v>
      </c>
      <c r="S17" s="7">
        <v>180.55416893959</v>
      </c>
      <c r="T17" s="7">
        <v>3.6376081690372</v>
      </c>
      <c r="U17" s="7">
        <v>19.1094377455952</v>
      </c>
      <c r="V17" s="7">
        <v>4.3714342892917</v>
      </c>
      <c r="W17" s="7">
        <v>0.268681203136733</v>
      </c>
      <c r="X17" s="7">
        <v>0.150223688636753</v>
      </c>
      <c r="Y17" s="7">
        <v>0.0311685955770548</v>
      </c>
      <c r="Z17" s="7">
        <v>0.176546298678434</v>
      </c>
      <c r="AA17" s="7">
        <v>0.337275783107784</v>
      </c>
      <c r="AB17" s="7">
        <v>0.152090577295458</v>
      </c>
      <c r="AC17" s="7">
        <v>0.178121321571671</v>
      </c>
      <c r="AD17" s="7">
        <v>0.332967555616365</v>
      </c>
      <c r="AE17" s="7">
        <v>0.174145238218972</v>
      </c>
      <c r="AF17" s="7">
        <v>0.20846324800882</v>
      </c>
      <c r="AG17" s="7">
        <v>0.0990902950804955</v>
      </c>
      <c r="AH17" s="7">
        <v>10.0</v>
      </c>
      <c r="AI17" s="7">
        <v>3.63760816903721</v>
      </c>
      <c r="AJ17" s="7">
        <v>19.1094377455952</v>
      </c>
      <c r="AK17" s="7">
        <v>4.3714342892917</v>
      </c>
      <c r="AL17" s="7">
        <v>0.268455611734381</v>
      </c>
      <c r="AM17" s="7">
        <v>3.54666776776491</v>
      </c>
      <c r="AN17" s="7">
        <v>17.2531427989606</v>
      </c>
      <c r="AO17" s="7">
        <v>4.15369026276161</v>
      </c>
      <c r="AP17" s="7">
        <v>0.332967555616365</v>
      </c>
      <c r="AQ17" s="7">
        <v>4.06097020791186</v>
      </c>
      <c r="AR17" s="7">
        <v>23.6317236652541</v>
      </c>
      <c r="AS17" s="7">
        <v>4.86124713065013</v>
      </c>
      <c r="AT17" s="7">
        <v>0.0990902950804953</v>
      </c>
      <c r="AU17" s="4">
        <f t="shared" ref="AU17:AV17" si="38">(AB17-AB$36)/AB$37</f>
        <v>1.533082201</v>
      </c>
      <c r="AV17" s="4">
        <f t="shared" si="38"/>
        <v>1.282549678</v>
      </c>
      <c r="AW17" s="4">
        <f t="shared" si="5"/>
        <v>0.8490157417</v>
      </c>
      <c r="AX17" s="4">
        <f t="shared" si="6"/>
        <v>0.705322236</v>
      </c>
      <c r="AY17" s="4">
        <f t="shared" si="7"/>
        <v>0.4859152424</v>
      </c>
      <c r="AZ17" s="4">
        <f t="shared" si="8"/>
        <v>0.3856872035</v>
      </c>
      <c r="BA17" s="4">
        <f t="shared" si="9"/>
        <v>0.5586371328</v>
      </c>
      <c r="BB17" s="4">
        <f t="shared" si="10"/>
        <v>0.8210378553</v>
      </c>
      <c r="BC17" s="4">
        <f t="shared" si="11"/>
        <v>0.3899586658</v>
      </c>
      <c r="BD17" s="4">
        <f t="shared" ref="BD17:BE17" si="39">((R17-R$36)/R$37)</f>
        <v>0.1653521216</v>
      </c>
      <c r="BE17" s="4">
        <f t="shared" si="39"/>
        <v>0.09583319771</v>
      </c>
      <c r="BF17" s="3"/>
    </row>
    <row r="18">
      <c r="A18" s="3" t="s">
        <v>77</v>
      </c>
      <c r="B18" s="4">
        <f t="shared" si="3"/>
        <v>0.2028056673</v>
      </c>
      <c r="C18" s="3" t="s">
        <v>58</v>
      </c>
      <c r="D18" s="3" t="s">
        <v>59</v>
      </c>
      <c r="E18" s="5" t="s">
        <v>60</v>
      </c>
      <c r="F18" s="3" t="s">
        <v>61</v>
      </c>
      <c r="G18" s="5" t="s">
        <v>62</v>
      </c>
      <c r="H18" s="5" t="s">
        <v>63</v>
      </c>
      <c r="I18" s="6">
        <v>150.0</v>
      </c>
      <c r="J18" s="5" t="s">
        <v>64</v>
      </c>
      <c r="K18" s="3" t="s">
        <v>72</v>
      </c>
      <c r="L18" s="5" t="s">
        <v>66</v>
      </c>
      <c r="M18" s="3" t="s">
        <v>67</v>
      </c>
      <c r="N18" s="3" t="s">
        <v>80</v>
      </c>
      <c r="O18" s="3" t="s">
        <v>69</v>
      </c>
      <c r="P18" s="5" t="s">
        <v>76</v>
      </c>
      <c r="Q18" s="3"/>
      <c r="R18" s="7">
        <v>247.16165113449</v>
      </c>
      <c r="S18" s="7">
        <v>166.867327690124</v>
      </c>
      <c r="T18" s="7">
        <v>1.57170794078677</v>
      </c>
      <c r="U18" s="7">
        <v>4.15042703842185</v>
      </c>
      <c r="V18" s="7">
        <v>2.03725968850852</v>
      </c>
      <c r="W18" s="7">
        <v>0.840626397956574</v>
      </c>
      <c r="X18" s="7">
        <v>0.0497712338076072</v>
      </c>
      <c r="Y18" s="7">
        <v>0.00408469636967637</v>
      </c>
      <c r="Z18" s="7">
        <v>0.0639116293774175</v>
      </c>
      <c r="AA18" s="7">
        <v>0.914080524496247</v>
      </c>
      <c r="AB18" s="7">
        <v>0.0496547856932379</v>
      </c>
      <c r="AC18" s="7">
        <v>0.063768550541354</v>
      </c>
      <c r="AD18" s="7">
        <v>0.914880809042186</v>
      </c>
      <c r="AE18" s="7">
        <v>0.0746807284141372</v>
      </c>
      <c r="AF18" s="7">
        <v>0.0955816747223364</v>
      </c>
      <c r="AG18" s="7">
        <v>0.809573099658516</v>
      </c>
      <c r="AH18" s="7">
        <v>10.0</v>
      </c>
      <c r="AI18" s="7">
        <v>1.57170794078677</v>
      </c>
      <c r="AJ18" s="7">
        <v>4.15042703842186</v>
      </c>
      <c r="AK18" s="7">
        <v>2.03725968850852</v>
      </c>
      <c r="AL18" s="7">
        <v>0.840597126834072</v>
      </c>
      <c r="AM18" s="7">
        <v>1.15792201637426</v>
      </c>
      <c r="AN18" s="7">
        <v>2.21130929071778</v>
      </c>
      <c r="AO18" s="7">
        <v>1.48704717165185</v>
      </c>
      <c r="AP18" s="7">
        <v>0.914880809042186</v>
      </c>
      <c r="AQ18" s="7">
        <v>1.74151309732413</v>
      </c>
      <c r="AR18" s="7">
        <v>4.96804671374697</v>
      </c>
      <c r="AS18" s="7">
        <v>2.22891155359448</v>
      </c>
      <c r="AT18" s="7">
        <v>0.809573099658516</v>
      </c>
      <c r="AU18" s="4">
        <f t="shared" ref="AU18:AV18" si="40">(AB18-AB$36)/AB$37</f>
        <v>-0.3275747048</v>
      </c>
      <c r="AV18" s="4">
        <f t="shared" si="40"/>
        <v>-0.3588557898</v>
      </c>
      <c r="AW18" s="4">
        <f t="shared" si="5"/>
        <v>-0.1695877756</v>
      </c>
      <c r="AX18" s="4">
        <f t="shared" si="6"/>
        <v>-0.1859340732</v>
      </c>
      <c r="AY18" s="4">
        <f t="shared" si="7"/>
        <v>-0.5025742466</v>
      </c>
      <c r="AZ18" s="4">
        <f t="shared" si="8"/>
        <v>-0.4786908595</v>
      </c>
      <c r="BA18" s="4">
        <f t="shared" si="9"/>
        <v>-0.09076808543</v>
      </c>
      <c r="BB18" s="4">
        <f t="shared" si="10"/>
        <v>-0.1385412631</v>
      </c>
      <c r="BC18" s="4">
        <f t="shared" si="11"/>
        <v>-0.3413153293</v>
      </c>
      <c r="BD18" s="4">
        <f t="shared" ref="BD18:BE18" si="41">((R18-R$36)/R$37)</f>
        <v>0.3602284225</v>
      </c>
      <c r="BE18" s="4">
        <f t="shared" si="41"/>
        <v>0.002751364082</v>
      </c>
      <c r="BF18" s="3"/>
    </row>
    <row r="19">
      <c r="A19" s="3" t="s">
        <v>57</v>
      </c>
      <c r="B19" s="4">
        <f t="shared" si="3"/>
        <v>-0.06967204398</v>
      </c>
      <c r="C19" s="3" t="s">
        <v>58</v>
      </c>
      <c r="D19" s="3" t="s">
        <v>59</v>
      </c>
      <c r="E19" s="5" t="s">
        <v>82</v>
      </c>
      <c r="F19" s="3" t="s">
        <v>61</v>
      </c>
      <c r="G19" s="5" t="s">
        <v>83</v>
      </c>
      <c r="H19" s="5" t="s">
        <v>63</v>
      </c>
      <c r="I19" s="6">
        <v>150.0</v>
      </c>
      <c r="J19" s="5" t="s">
        <v>64</v>
      </c>
      <c r="K19" s="3" t="s">
        <v>72</v>
      </c>
      <c r="L19" s="5" t="s">
        <v>66</v>
      </c>
      <c r="M19" s="3" t="s">
        <v>74</v>
      </c>
      <c r="N19" s="3" t="s">
        <v>84</v>
      </c>
      <c r="O19" s="3" t="s">
        <v>69</v>
      </c>
      <c r="P19" s="5" t="s">
        <v>86</v>
      </c>
      <c r="Q19" s="3"/>
      <c r="R19" s="7">
        <v>292.106032609939</v>
      </c>
      <c r="S19" s="7">
        <v>415.575386762619</v>
      </c>
      <c r="T19" s="7">
        <v>1.82704337263948</v>
      </c>
      <c r="U19" s="7">
        <v>5.38853946499464</v>
      </c>
      <c r="V19" s="7">
        <v>2.32132278345658</v>
      </c>
      <c r="W19" s="7">
        <v>0.800385174051907</v>
      </c>
      <c r="X19" s="7">
        <v>0.064572024893641</v>
      </c>
      <c r="Y19" s="7">
        <v>0.00668876195426165</v>
      </c>
      <c r="Z19" s="7">
        <v>0.0817848516185097</v>
      </c>
      <c r="AA19" s="7">
        <v>0.850144424461507</v>
      </c>
      <c r="AB19" s="7">
        <v>0.0644669401660231</v>
      </c>
      <c r="AC19" s="7">
        <v>0.0816250733210368</v>
      </c>
      <c r="AD19" s="7">
        <v>0.851430699113005</v>
      </c>
      <c r="AE19" s="7">
        <v>0.0837440384775956</v>
      </c>
      <c r="AF19" s="7">
        <v>0.10536287538448</v>
      </c>
      <c r="AG19" s="7">
        <v>0.753652225146556</v>
      </c>
      <c r="AH19" s="7">
        <v>10.0</v>
      </c>
      <c r="AI19" s="7">
        <v>1.82704337263945</v>
      </c>
      <c r="AJ19" s="7">
        <v>5.38853946499465</v>
      </c>
      <c r="AK19" s="7">
        <v>2.32132278345658</v>
      </c>
      <c r="AL19" s="7">
        <v>0.800354696007448</v>
      </c>
      <c r="AM19" s="7">
        <v>1.57944003406758</v>
      </c>
      <c r="AN19" s="7">
        <v>3.99925721994744</v>
      </c>
      <c r="AO19" s="7">
        <v>1.9998142963654</v>
      </c>
      <c r="AP19" s="7">
        <v>0.851430699113005</v>
      </c>
      <c r="AQ19" s="7">
        <v>2.05172894270111</v>
      </c>
      <c r="AR19" s="7">
        <v>6.6635766394487</v>
      </c>
      <c r="AS19" s="7">
        <v>2.58139044691978</v>
      </c>
      <c r="AT19" s="7">
        <v>0.753652225146556</v>
      </c>
      <c r="AU19" s="4">
        <f t="shared" ref="AU19:AV19" si="42">(AB19-AB$36)/AB$37</f>
        <v>-0.05852482414</v>
      </c>
      <c r="AV19" s="4">
        <f t="shared" si="42"/>
        <v>-0.1025454805</v>
      </c>
      <c r="AW19" s="4">
        <f t="shared" si="5"/>
        <v>-0.03335462443</v>
      </c>
      <c r="AX19" s="4">
        <f t="shared" si="6"/>
        <v>-0.06659175219</v>
      </c>
      <c r="AY19" s="4">
        <f t="shared" si="7"/>
        <v>-0.3804016522</v>
      </c>
      <c r="AZ19" s="4">
        <f t="shared" si="8"/>
        <v>-0.3734982541</v>
      </c>
      <c r="BA19" s="4">
        <f t="shared" si="9"/>
        <v>-0.01995885014</v>
      </c>
      <c r="BB19" s="4">
        <f t="shared" si="10"/>
        <v>-0.06301444788</v>
      </c>
      <c r="BC19" s="4">
        <f t="shared" si="11"/>
        <v>-0.289880077</v>
      </c>
      <c r="BD19" s="4">
        <f t="shared" ref="BD19:BE19" si="43">((R19-R$36)/R$37)</f>
        <v>0.4599907061</v>
      </c>
      <c r="BE19" s="4">
        <f t="shared" si="43"/>
        <v>1.69417174</v>
      </c>
      <c r="BF19" s="3"/>
    </row>
    <row r="20">
      <c r="A20" s="3" t="s">
        <v>77</v>
      </c>
      <c r="B20" s="4">
        <f t="shared" si="3"/>
        <v>-0.1352648823</v>
      </c>
      <c r="C20" s="3" t="s">
        <v>59</v>
      </c>
      <c r="D20" s="3" t="s">
        <v>58</v>
      </c>
      <c r="E20" s="5" t="s">
        <v>60</v>
      </c>
      <c r="F20" s="3" t="s">
        <v>61</v>
      </c>
      <c r="G20" s="5" t="s">
        <v>62</v>
      </c>
      <c r="H20" s="5" t="s">
        <v>63</v>
      </c>
      <c r="I20" s="6">
        <v>150.0</v>
      </c>
      <c r="J20" s="5" t="s">
        <v>64</v>
      </c>
      <c r="K20" s="3" t="s">
        <v>72</v>
      </c>
      <c r="L20" s="5" t="s">
        <v>66</v>
      </c>
      <c r="M20" s="3" t="s">
        <v>67</v>
      </c>
      <c r="N20" s="3" t="s">
        <v>80</v>
      </c>
      <c r="O20" s="3" t="s">
        <v>69</v>
      </c>
      <c r="P20" s="5" t="s">
        <v>75</v>
      </c>
      <c r="Q20" s="3"/>
      <c r="R20" s="11">
        <v>303.687678337097</v>
      </c>
      <c r="S20" s="11">
        <v>143.72276353836</v>
      </c>
      <c r="T20" s="7">
        <v>2.69905057630994</v>
      </c>
      <c r="U20" s="7">
        <v>11.2464119750993</v>
      </c>
      <c r="V20" s="7">
        <v>3.35356705242333</v>
      </c>
      <c r="W20" s="7">
        <v>0.668393528413039</v>
      </c>
      <c r="X20" s="7">
        <v>0.0959354510783001</v>
      </c>
      <c r="Y20" s="7">
        <v>0.0133178047779409</v>
      </c>
      <c r="Z20" s="7">
        <v>0.115402793631441</v>
      </c>
      <c r="AA20" s="7">
        <v>0.715536582262152</v>
      </c>
      <c r="AB20" s="7">
        <v>0.0962863074558494</v>
      </c>
      <c r="AC20" s="7">
        <v>0.115621854754084</v>
      </c>
      <c r="AD20" s="7">
        <v>0.71672684714253</v>
      </c>
      <c r="AE20" s="7">
        <v>0.111318499125687</v>
      </c>
      <c r="AF20" s="7">
        <v>0.139422327645695</v>
      </c>
      <c r="AG20" s="7">
        <v>0.591365690145446</v>
      </c>
      <c r="AH20" s="7">
        <v>10.0</v>
      </c>
      <c r="AI20" s="7">
        <v>2.35291065297217</v>
      </c>
      <c r="AJ20" s="7">
        <v>8.5467857079264</v>
      </c>
      <c r="AK20" s="7">
        <v>2.92348861942823</v>
      </c>
      <c r="AL20" s="7">
        <v>0.668295207159235</v>
      </c>
      <c r="AM20" s="7">
        <v>2.24534319747737</v>
      </c>
      <c r="AN20" s="7">
        <v>7.26969621692764</v>
      </c>
      <c r="AO20" s="7">
        <v>2.6962374185015</v>
      </c>
      <c r="AP20" s="7">
        <v>0.71672684714253</v>
      </c>
      <c r="AQ20" s="7">
        <v>2.59588555600041</v>
      </c>
      <c r="AR20" s="7">
        <v>10.5706345205792</v>
      </c>
      <c r="AS20" s="7">
        <v>3.25125122384893</v>
      </c>
      <c r="AT20" s="7">
        <v>0.591365690145446</v>
      </c>
      <c r="AU20" s="4">
        <f>(AB20-$AB$36)/AB$37</f>
        <v>0.5194462594</v>
      </c>
      <c r="AV20" s="4">
        <f>(AC20-AC$36)/AC$37</f>
        <v>0.3854400962</v>
      </c>
      <c r="AW20" s="4">
        <f t="shared" si="5"/>
        <v>0.2056150197</v>
      </c>
      <c r="AX20" s="4">
        <f t="shared" si="6"/>
        <v>0.1602097426</v>
      </c>
      <c r="AY20" s="4">
        <f t="shared" si="7"/>
        <v>-0.1287853002</v>
      </c>
      <c r="AZ20" s="4">
        <f t="shared" si="8"/>
        <v>-0.150507678</v>
      </c>
      <c r="BA20" s="4">
        <f t="shared" si="9"/>
        <v>0.1303683402</v>
      </c>
      <c r="BB20" s="4">
        <f t="shared" si="10"/>
        <v>0.1561699844</v>
      </c>
      <c r="BC20" s="4">
        <f t="shared" si="11"/>
        <v>-0.1210902454</v>
      </c>
      <c r="BD20" s="4">
        <f t="shared" ref="BD20:BE20" si="44">((R20-R$36)/R$37)</f>
        <v>0.4856982893</v>
      </c>
      <c r="BE20" s="4">
        <f t="shared" si="44"/>
        <v>-0.1546508027</v>
      </c>
      <c r="BF20" s="4"/>
    </row>
    <row r="21">
      <c r="A21" s="3" t="s">
        <v>77</v>
      </c>
      <c r="B21" s="4">
        <f t="shared" si="3"/>
        <v>-0.0566416256</v>
      </c>
      <c r="C21" s="3" t="s">
        <v>58</v>
      </c>
      <c r="D21" s="3" t="s">
        <v>59</v>
      </c>
      <c r="E21" s="5" t="s">
        <v>60</v>
      </c>
      <c r="F21" s="3" t="s">
        <v>61</v>
      </c>
      <c r="G21" s="5" t="s">
        <v>62</v>
      </c>
      <c r="H21" s="5" t="s">
        <v>71</v>
      </c>
      <c r="I21" s="6">
        <v>150.0</v>
      </c>
      <c r="J21" s="5" t="s">
        <v>64</v>
      </c>
      <c r="K21" s="3" t="s">
        <v>65</v>
      </c>
      <c r="L21" s="5" t="s">
        <v>66</v>
      </c>
      <c r="M21" s="3" t="s">
        <v>79</v>
      </c>
      <c r="N21" s="3" t="s">
        <v>68</v>
      </c>
      <c r="O21" s="3" t="s">
        <v>69</v>
      </c>
      <c r="P21" s="5" t="s">
        <v>81</v>
      </c>
      <c r="Q21" s="3"/>
      <c r="R21" s="7">
        <v>904.142293453216</v>
      </c>
      <c r="S21" s="7">
        <v>176.659787416458</v>
      </c>
      <c r="T21" s="7">
        <v>1.93583251240042</v>
      </c>
      <c r="U21" s="7">
        <v>5.90400534033677</v>
      </c>
      <c r="V21" s="7">
        <v>2.42981590667621</v>
      </c>
      <c r="W21" s="7">
        <v>0.774884436556127</v>
      </c>
      <c r="X21" s="7">
        <v>0.0615678167221039</v>
      </c>
      <c r="Y21" s="7">
        <v>0.00579604375603109</v>
      </c>
      <c r="Z21" s="7">
        <v>0.0761317526136834</v>
      </c>
      <c r="AA21" s="7">
        <v>0.878682333799152</v>
      </c>
      <c r="AB21" s="7">
        <v>0.0616351814014468</v>
      </c>
      <c r="AC21" s="7">
        <v>0.0761157433866215</v>
      </c>
      <c r="AD21" s="7">
        <v>0.879343295581374</v>
      </c>
      <c r="AE21" s="7">
        <v>0.0934759906935505</v>
      </c>
      <c r="AF21" s="7">
        <v>0.117292556675154</v>
      </c>
      <c r="AG21" s="7">
        <v>0.715592701823038</v>
      </c>
      <c r="AH21" s="7">
        <v>10.0</v>
      </c>
      <c r="AI21" s="7">
        <v>1.93583251240042</v>
      </c>
      <c r="AJ21" s="7">
        <v>5.90400534033677</v>
      </c>
      <c r="AK21" s="7">
        <v>2.42981590667621</v>
      </c>
      <c r="AL21" s="7">
        <v>0.774791440228748</v>
      </c>
      <c r="AM21" s="7">
        <v>1.4372981885143</v>
      </c>
      <c r="AN21" s="7">
        <v>3.15054281538023</v>
      </c>
      <c r="AO21" s="7">
        <v>1.77497684925191</v>
      </c>
      <c r="AP21" s="7">
        <v>0.879343295581374</v>
      </c>
      <c r="AQ21" s="7">
        <v>2.17980817186767</v>
      </c>
      <c r="AR21" s="7">
        <v>7.48130404636937</v>
      </c>
      <c r="AS21" s="7">
        <v>2.73519725913312</v>
      </c>
      <c r="AT21" s="7">
        <v>0.715592701823038</v>
      </c>
      <c r="AU21" s="4">
        <f t="shared" ref="AU21:AV21" si="45">(AB21-AB$36)/AB$37</f>
        <v>-0.1099612549</v>
      </c>
      <c r="AV21" s="4">
        <f t="shared" si="45"/>
        <v>-0.1816257178</v>
      </c>
      <c r="AW21" s="4">
        <f t="shared" si="5"/>
        <v>0.02289213811</v>
      </c>
      <c r="AX21" s="4">
        <f t="shared" si="6"/>
        <v>-0.01451583415</v>
      </c>
      <c r="AY21" s="4">
        <f t="shared" si="7"/>
        <v>-0.3283483538</v>
      </c>
      <c r="AZ21" s="4">
        <f t="shared" si="8"/>
        <v>-0.333321707</v>
      </c>
      <c r="BA21" s="4">
        <f t="shared" si="9"/>
        <v>-0.05110882944</v>
      </c>
      <c r="BB21" s="4">
        <f t="shared" si="10"/>
        <v>-0.01161119984</v>
      </c>
      <c r="BC21" s="4">
        <f t="shared" si="11"/>
        <v>-0.2572067895</v>
      </c>
      <c r="BD21" s="4">
        <f t="shared" ref="BD21:BE21" si="46">((R21-R$36)/R$37)</f>
        <v>1.818517246</v>
      </c>
      <c r="BE21" s="4">
        <f t="shared" si="46"/>
        <v>0.06934818437</v>
      </c>
      <c r="BF21" s="3"/>
    </row>
    <row r="22">
      <c r="A22" s="3" t="s">
        <v>57</v>
      </c>
      <c r="B22" s="4">
        <f t="shared" si="3"/>
        <v>-0.2105097337</v>
      </c>
      <c r="C22" s="3" t="s">
        <v>58</v>
      </c>
      <c r="D22" s="3" t="s">
        <v>59</v>
      </c>
      <c r="E22" s="5" t="s">
        <v>60</v>
      </c>
      <c r="F22" s="3" t="s">
        <v>78</v>
      </c>
      <c r="G22" s="5" t="s">
        <v>60</v>
      </c>
      <c r="H22" s="5" t="s">
        <v>63</v>
      </c>
      <c r="I22" s="6">
        <v>150.0</v>
      </c>
      <c r="J22" s="5" t="s">
        <v>64</v>
      </c>
      <c r="K22" s="3" t="s">
        <v>72</v>
      </c>
      <c r="L22" s="5" t="s">
        <v>66</v>
      </c>
      <c r="M22" s="3" t="s">
        <v>74</v>
      </c>
      <c r="N22" s="3" t="s">
        <v>68</v>
      </c>
      <c r="O22" s="3" t="s">
        <v>69</v>
      </c>
      <c r="P22" s="5" t="s">
        <v>75</v>
      </c>
      <c r="Q22" s="3"/>
      <c r="R22" s="7">
        <v>219.924874782562</v>
      </c>
      <c r="S22" s="7">
        <v>162.536518096923</v>
      </c>
      <c r="T22" s="7">
        <v>2.58316064789201</v>
      </c>
      <c r="U22" s="7">
        <v>11.8962781596147</v>
      </c>
      <c r="V22" s="7">
        <v>3.44909816613194</v>
      </c>
      <c r="W22" s="7">
        <v>0.542718744583185</v>
      </c>
      <c r="X22" s="7">
        <v>0.0983913360233705</v>
      </c>
      <c r="Y22" s="7">
        <v>0.0157644671138441</v>
      </c>
      <c r="Z22" s="7">
        <v>0.125556629111505</v>
      </c>
      <c r="AA22" s="7">
        <v>0.663395838769021</v>
      </c>
      <c r="AB22" s="7">
        <v>0.0976573777433428</v>
      </c>
      <c r="AC22" s="7">
        <v>0.124589619001112</v>
      </c>
      <c r="AD22" s="7">
        <v>0.6721061747383</v>
      </c>
      <c r="AE22" s="7">
        <v>0.110696531013151</v>
      </c>
      <c r="AF22" s="7">
        <v>0.153910052077851</v>
      </c>
      <c r="AG22" s="7">
        <v>0.51094455635176</v>
      </c>
      <c r="AH22" s="7">
        <v>10.0</v>
      </c>
      <c r="AI22" s="7">
        <v>2.58316064789202</v>
      </c>
      <c r="AJ22" s="7">
        <v>11.8962781596147</v>
      </c>
      <c r="AK22" s="7">
        <v>3.44909816613194</v>
      </c>
      <c r="AL22" s="7">
        <v>0.542484430005058</v>
      </c>
      <c r="AM22" s="7">
        <v>2.27731579487601</v>
      </c>
      <c r="AN22" s="7">
        <v>8.44112078926546</v>
      </c>
      <c r="AO22" s="7">
        <v>2.90536069865093</v>
      </c>
      <c r="AP22" s="7">
        <v>0.6721061747383</v>
      </c>
      <c r="AQ22" s="7">
        <v>2.58138160515388</v>
      </c>
      <c r="AR22" s="7">
        <v>12.8816166212675</v>
      </c>
      <c r="AS22" s="7">
        <v>3.58909690887101</v>
      </c>
      <c r="AT22" s="7">
        <v>0.51094455635176</v>
      </c>
      <c r="AU22" s="4">
        <f t="shared" ref="AU22:AV22" si="47">(AB22-AB$36)/AB$37</f>
        <v>0.5443505566</v>
      </c>
      <c r="AV22" s="4">
        <f t="shared" si="47"/>
        <v>0.51416227</v>
      </c>
      <c r="AW22" s="4">
        <f t="shared" si="5"/>
        <v>0.1992455226</v>
      </c>
      <c r="AX22" s="4">
        <f t="shared" si="6"/>
        <v>0.2745975513</v>
      </c>
      <c r="AY22" s="4">
        <f t="shared" si="7"/>
        <v>-0.01861555591</v>
      </c>
      <c r="AZ22" s="4">
        <f t="shared" si="8"/>
        <v>0.04413301497</v>
      </c>
      <c r="BA22" s="4">
        <f t="shared" si="9"/>
        <v>0.1801642459</v>
      </c>
      <c r="BB22" s="4">
        <f t="shared" si="10"/>
        <v>0.2647868857</v>
      </c>
      <c r="BC22" s="4">
        <f t="shared" si="11"/>
        <v>0.03971289023</v>
      </c>
      <c r="BD22" s="4">
        <f t="shared" ref="BD22:BE22" si="48">((R22-R$36)/R$37)</f>
        <v>0.2997714105</v>
      </c>
      <c r="BE22" s="4">
        <f t="shared" si="48"/>
        <v>-0.02670172087</v>
      </c>
      <c r="BF22" s="3"/>
    </row>
    <row r="23">
      <c r="A23" s="3" t="s">
        <v>57</v>
      </c>
      <c r="B23" s="4">
        <f t="shared" si="3"/>
        <v>-0.261822003</v>
      </c>
      <c r="C23" s="3" t="s">
        <v>59</v>
      </c>
      <c r="D23" s="3" t="s">
        <v>58</v>
      </c>
      <c r="E23" s="5" t="s">
        <v>60</v>
      </c>
      <c r="F23" s="3" t="s">
        <v>78</v>
      </c>
      <c r="G23" s="5" t="s">
        <v>60</v>
      </c>
      <c r="H23" s="5" t="s">
        <v>63</v>
      </c>
      <c r="I23" s="6">
        <v>150.0</v>
      </c>
      <c r="J23" s="5" t="s">
        <v>64</v>
      </c>
      <c r="K23" s="3" t="s">
        <v>72</v>
      </c>
      <c r="L23" s="5" t="s">
        <v>66</v>
      </c>
      <c r="M23" s="3" t="s">
        <v>67</v>
      </c>
      <c r="N23" s="3" t="s">
        <v>84</v>
      </c>
      <c r="O23" s="3" t="s">
        <v>69</v>
      </c>
      <c r="P23" s="5" t="s">
        <v>76</v>
      </c>
      <c r="Q23" s="3"/>
      <c r="R23" s="11">
        <v>172.379208803176</v>
      </c>
      <c r="S23" s="11">
        <v>122.97968840599</v>
      </c>
      <c r="T23" s="7">
        <v>3.2146310620748</v>
      </c>
      <c r="U23" s="7">
        <v>16.2133606288112</v>
      </c>
      <c r="V23" s="7">
        <v>4.02658175488977</v>
      </c>
      <c r="W23" s="7">
        <v>0.514193813260725</v>
      </c>
      <c r="X23" s="7">
        <v>0.0958009613459315</v>
      </c>
      <c r="Y23" s="7">
        <v>0.013720455310985</v>
      </c>
      <c r="Z23" s="7">
        <v>0.117134347272629</v>
      </c>
      <c r="AA23" s="7">
        <v>0.696050185255101</v>
      </c>
      <c r="AB23" s="7">
        <v>0.0967655339838953</v>
      </c>
      <c r="AC23" s="7">
        <v>0.117726363200244</v>
      </c>
      <c r="AD23" s="7">
        <v>0.699836845245082</v>
      </c>
      <c r="AE23" s="7">
        <v>0.122336555440003</v>
      </c>
      <c r="AF23" s="7">
        <v>0.155467148109664</v>
      </c>
      <c r="AG23" s="7">
        <v>0.484382515700996</v>
      </c>
      <c r="AH23" s="7">
        <v>10.0</v>
      </c>
      <c r="AI23" s="7">
        <v>3.2146310620748</v>
      </c>
      <c r="AJ23" s="7">
        <v>16.2133606288112</v>
      </c>
      <c r="AK23" s="7">
        <v>4.02658175488977</v>
      </c>
      <c r="AL23" s="7">
        <v>0.51400622977741</v>
      </c>
      <c r="AM23" s="7">
        <v>2.5884780340692</v>
      </c>
      <c r="AN23" s="7">
        <v>9.91733603036772</v>
      </c>
      <c r="AO23" s="7">
        <v>3.14918021560655</v>
      </c>
      <c r="AP23" s="7">
        <v>0.699836845245082</v>
      </c>
      <c r="AQ23" s="7">
        <v>3.27250285802009</v>
      </c>
      <c r="AR23" s="7">
        <v>17.2951700552714</v>
      </c>
      <c r="AS23" s="7">
        <v>4.15874621193351</v>
      </c>
      <c r="AT23" s="7">
        <v>0.484382515700996</v>
      </c>
      <c r="AU23" s="4">
        <f>(AB23-$AB$36)/AB$37</f>
        <v>0.5281509918</v>
      </c>
      <c r="AV23" s="4">
        <f>(AC23-AC$36)/AC$37</f>
        <v>0.415647949</v>
      </c>
      <c r="AW23" s="4">
        <f t="shared" si="5"/>
        <v>0.5027555706</v>
      </c>
      <c r="AX23" s="4">
        <f t="shared" si="6"/>
        <v>0.4674694403</v>
      </c>
      <c r="AY23" s="4">
        <f t="shared" si="7"/>
        <v>0.2835296583</v>
      </c>
      <c r="AZ23" s="4">
        <f t="shared" si="8"/>
        <v>0.2579834038</v>
      </c>
      <c r="BA23" s="4">
        <f t="shared" si="9"/>
        <v>0.1492172928</v>
      </c>
      <c r="BB23" s="4">
        <f t="shared" si="10"/>
        <v>0.3006616168</v>
      </c>
      <c r="BC23" s="4">
        <f t="shared" si="11"/>
        <v>0.07611186969</v>
      </c>
      <c r="BD23" s="4">
        <f t="shared" ref="BD23:BE23" si="49">((R23-R$36)/R$37)</f>
        <v>0.1942350997</v>
      </c>
      <c r="BE23" s="4">
        <f t="shared" si="49"/>
        <v>-0.2957208592</v>
      </c>
      <c r="BF23" s="4"/>
    </row>
    <row r="24">
      <c r="A24" s="3" t="s">
        <v>77</v>
      </c>
      <c r="B24" s="4">
        <f t="shared" si="3"/>
        <v>-0.4334643249</v>
      </c>
      <c r="C24" s="3" t="s">
        <v>58</v>
      </c>
      <c r="D24" s="3" t="s">
        <v>59</v>
      </c>
      <c r="E24" s="5" t="s">
        <v>82</v>
      </c>
      <c r="F24" s="3" t="s">
        <v>78</v>
      </c>
      <c r="G24" s="5" t="s">
        <v>88</v>
      </c>
      <c r="H24" s="5" t="s">
        <v>63</v>
      </c>
      <c r="I24" s="6">
        <v>150.0</v>
      </c>
      <c r="J24" s="5" t="s">
        <v>64</v>
      </c>
      <c r="K24" s="3" t="s">
        <v>72</v>
      </c>
      <c r="L24" s="5" t="s">
        <v>73</v>
      </c>
      <c r="M24" s="3" t="s">
        <v>79</v>
      </c>
      <c r="N24" s="3" t="s">
        <v>68</v>
      </c>
      <c r="O24" s="3" t="s">
        <v>69</v>
      </c>
      <c r="P24" s="5" t="s">
        <v>86</v>
      </c>
      <c r="Q24" s="5" t="s">
        <v>75</v>
      </c>
      <c r="R24" s="7">
        <v>486.499375343322</v>
      </c>
      <c r="S24" s="7">
        <v>426.429473400115</v>
      </c>
      <c r="T24" s="7">
        <v>2.70133382651244</v>
      </c>
      <c r="U24" s="7">
        <v>11.6301429926127</v>
      </c>
      <c r="V24" s="7">
        <v>3.41029954587757</v>
      </c>
      <c r="W24" s="7">
        <v>0.568201504123001</v>
      </c>
      <c r="X24" s="7">
        <v>0.0925429222389792</v>
      </c>
      <c r="Y24" s="7">
        <v>0.0131510707725719</v>
      </c>
      <c r="Z24" s="7">
        <v>0.114678118107038</v>
      </c>
      <c r="AA24" s="7">
        <v>0.701282507661059</v>
      </c>
      <c r="AB24" s="7">
        <v>0.0918034157652344</v>
      </c>
      <c r="AC24" s="7">
        <v>0.113790651171309</v>
      </c>
      <c r="AD24" s="7">
        <v>0.708769115710342</v>
      </c>
      <c r="AE24" s="7">
        <v>0.123433477087389</v>
      </c>
      <c r="AF24" s="7">
        <v>0.157166155332266</v>
      </c>
      <c r="AG24" s="7">
        <v>0.455034167278878</v>
      </c>
      <c r="AH24" s="7">
        <v>10.0</v>
      </c>
      <c r="AI24" s="7">
        <v>2.70133382651231</v>
      </c>
      <c r="AJ24" s="7">
        <v>11.6301429926127</v>
      </c>
      <c r="AK24" s="7">
        <v>3.41029954587757</v>
      </c>
      <c r="AL24" s="7">
        <v>0.567752298044272</v>
      </c>
      <c r="AM24" s="7">
        <v>2.24918368624818</v>
      </c>
      <c r="AN24" s="7">
        <v>7.7722244544679</v>
      </c>
      <c r="AO24" s="7">
        <v>2.78787095369708</v>
      </c>
      <c r="AP24" s="7">
        <v>0.708769115710342</v>
      </c>
      <c r="AQ24" s="7">
        <v>3.02412018864084</v>
      </c>
      <c r="AR24" s="7">
        <v>14.826895529251</v>
      </c>
      <c r="AS24" s="7">
        <v>3.85057080564051</v>
      </c>
      <c r="AT24" s="7">
        <v>0.455034167278878</v>
      </c>
      <c r="AU24" s="4">
        <f t="shared" ref="AU24:AV24" si="50">(AB24-AB$36)/AB$37</f>
        <v>0.4380184377</v>
      </c>
      <c r="AV24" s="4">
        <f t="shared" si="50"/>
        <v>0.3591552275</v>
      </c>
      <c r="AW24" s="4">
        <f t="shared" si="5"/>
        <v>0.3936768299</v>
      </c>
      <c r="AX24" s="4">
        <f t="shared" si="6"/>
        <v>0.3631273961</v>
      </c>
      <c r="AY24" s="4">
        <f t="shared" si="7"/>
        <v>0.03792780633</v>
      </c>
      <c r="AZ24" s="4">
        <f t="shared" si="8"/>
        <v>0.0297653339</v>
      </c>
      <c r="BA24" s="4">
        <f t="shared" si="9"/>
        <v>0.1392490321</v>
      </c>
      <c r="BB24" s="4">
        <f t="shared" si="10"/>
        <v>0.3402995392</v>
      </c>
      <c r="BC24" s="4">
        <f t="shared" si="11"/>
        <v>0.007417148148</v>
      </c>
      <c r="BD24" s="4">
        <f t="shared" ref="BD24:BE24" si="51">((R24-R$36)/R$37)</f>
        <v>0.891482322</v>
      </c>
      <c r="BE24" s="4">
        <f t="shared" si="51"/>
        <v>1.767988501</v>
      </c>
      <c r="BF24" s="3"/>
    </row>
    <row r="25">
      <c r="A25" s="3" t="s">
        <v>57</v>
      </c>
      <c r="B25" s="4">
        <f t="shared" si="3"/>
        <v>-0.211275561</v>
      </c>
      <c r="C25" s="3" t="s">
        <v>58</v>
      </c>
      <c r="D25" s="3" t="s">
        <v>59</v>
      </c>
      <c r="E25" s="5" t="s">
        <v>60</v>
      </c>
      <c r="F25" s="3" t="s">
        <v>78</v>
      </c>
      <c r="G25" s="5" t="s">
        <v>60</v>
      </c>
      <c r="H25" s="5" t="s">
        <v>71</v>
      </c>
      <c r="I25" s="6">
        <v>150.0</v>
      </c>
      <c r="J25" s="5" t="s">
        <v>64</v>
      </c>
      <c r="K25" s="3" t="s">
        <v>65</v>
      </c>
      <c r="L25" s="5" t="s">
        <v>73</v>
      </c>
      <c r="M25" s="3" t="s">
        <v>67</v>
      </c>
      <c r="N25" s="3" t="s">
        <v>68</v>
      </c>
      <c r="O25" s="3" t="s">
        <v>69</v>
      </c>
      <c r="P25" s="5" t="s">
        <v>81</v>
      </c>
      <c r="Q25" s="5" t="s">
        <v>85</v>
      </c>
      <c r="R25" s="7">
        <v>1423.15570974349</v>
      </c>
      <c r="S25" s="7">
        <v>197.473453521728</v>
      </c>
      <c r="T25" s="7">
        <v>1.97881624396164</v>
      </c>
      <c r="U25" s="7">
        <v>6.64776052101398</v>
      </c>
      <c r="V25" s="7">
        <v>2.57832513873134</v>
      </c>
      <c r="W25" s="7">
        <v>0.745705162982565</v>
      </c>
      <c r="X25" s="7">
        <v>0.0657229555347509</v>
      </c>
      <c r="Y25" s="7">
        <v>0.00709394170794325</v>
      </c>
      <c r="Z25" s="7">
        <v>0.084225540710305</v>
      </c>
      <c r="AA25" s="7">
        <v>0.849164619834951</v>
      </c>
      <c r="AB25" s="7">
        <v>0.065057935778275</v>
      </c>
      <c r="AC25" s="7">
        <v>0.0835556163702286</v>
      </c>
      <c r="AD25" s="7">
        <v>0.853220151359582</v>
      </c>
      <c r="AE25" s="7">
        <v>0.0945384913596027</v>
      </c>
      <c r="AF25" s="7">
        <v>0.123057499721637</v>
      </c>
      <c r="AG25" s="7">
        <v>0.68606593843065</v>
      </c>
      <c r="AH25" s="7">
        <v>10.0</v>
      </c>
      <c r="AI25" s="7">
        <v>1.97881624396164</v>
      </c>
      <c r="AJ25" s="7">
        <v>6.64776052101398</v>
      </c>
      <c r="AK25" s="7">
        <v>2.57832513873134</v>
      </c>
      <c r="AL25" s="7">
        <v>0.74551151277057</v>
      </c>
      <c r="AM25" s="7">
        <v>1.51711491905173</v>
      </c>
      <c r="AN25" s="7">
        <v>3.79653749967592</v>
      </c>
      <c r="AO25" s="7">
        <v>1.94847055396686</v>
      </c>
      <c r="AP25" s="7">
        <v>0.853220151359582</v>
      </c>
      <c r="AQ25" s="7">
        <v>2.20458509712185</v>
      </c>
      <c r="AR25" s="7">
        <v>8.23479084708121</v>
      </c>
      <c r="AS25" s="7">
        <v>2.86963252823096</v>
      </c>
      <c r="AT25" s="7">
        <v>0.68606593843065</v>
      </c>
      <c r="AU25" s="4">
        <f t="shared" ref="AU25:AV25" si="52">(AB25-AB$36)/AB$37</f>
        <v>-0.04778990376</v>
      </c>
      <c r="AV25" s="4">
        <f t="shared" si="52"/>
        <v>-0.07483470542</v>
      </c>
      <c r="AW25" s="4">
        <f t="shared" si="5"/>
        <v>0.03377307361</v>
      </c>
      <c r="AX25" s="4">
        <f t="shared" si="6"/>
        <v>0.03100126588</v>
      </c>
      <c r="AY25" s="4">
        <f t="shared" si="7"/>
        <v>-0.3077815489</v>
      </c>
      <c r="AZ25" s="4">
        <f t="shared" si="8"/>
        <v>-0.2783266256</v>
      </c>
      <c r="BA25" s="4">
        <f t="shared" si="9"/>
        <v>-0.02195584818</v>
      </c>
      <c r="BB25" s="4">
        <f t="shared" si="10"/>
        <v>0.02826769013</v>
      </c>
      <c r="BC25" s="4">
        <f t="shared" si="11"/>
        <v>-0.2197830946</v>
      </c>
      <c r="BD25" s="4">
        <f t="shared" ref="BD25:BE25" si="53">((R25-R$36)/R$37)</f>
        <v>2.97056255</v>
      </c>
      <c r="BE25" s="4">
        <f t="shared" si="53"/>
        <v>0.2108983178</v>
      </c>
      <c r="BF25" s="3"/>
    </row>
    <row r="26">
      <c r="A26" s="3" t="s">
        <v>57</v>
      </c>
      <c r="B26" s="4">
        <f t="shared" si="3"/>
        <v>-0.6790576102</v>
      </c>
      <c r="C26" s="3" t="s">
        <v>59</v>
      </c>
      <c r="D26" s="3" t="s">
        <v>58</v>
      </c>
      <c r="E26" s="5" t="s">
        <v>82</v>
      </c>
      <c r="F26" s="3" t="s">
        <v>61</v>
      </c>
      <c r="G26" s="5" t="s">
        <v>83</v>
      </c>
      <c r="H26" s="5" t="s">
        <v>63</v>
      </c>
      <c r="I26" s="6">
        <v>150.0</v>
      </c>
      <c r="J26" s="5" t="s">
        <v>64</v>
      </c>
      <c r="K26" s="3" t="s">
        <v>72</v>
      </c>
      <c r="L26" s="5" t="s">
        <v>73</v>
      </c>
      <c r="M26" s="3" t="s">
        <v>74</v>
      </c>
      <c r="N26" s="3" t="s">
        <v>80</v>
      </c>
      <c r="O26" s="3" t="s">
        <v>69</v>
      </c>
      <c r="P26" s="5" t="s">
        <v>86</v>
      </c>
      <c r="Q26" s="5" t="s">
        <v>75</v>
      </c>
      <c r="R26" s="11">
        <v>512.954291582107</v>
      </c>
      <c r="S26" s="11">
        <v>326.686750888824</v>
      </c>
      <c r="T26" s="7">
        <v>3.66388170281665</v>
      </c>
      <c r="U26" s="7">
        <v>19.8362312530614</v>
      </c>
      <c r="V26" s="7">
        <v>4.45378841583897</v>
      </c>
      <c r="W26" s="7">
        <v>0.401664471657592</v>
      </c>
      <c r="X26" s="7">
        <v>0.127325538691521</v>
      </c>
      <c r="Y26" s="7">
        <v>0.0229650030364421</v>
      </c>
      <c r="Z26" s="7">
        <v>0.15154208338426</v>
      </c>
      <c r="AA26" s="7">
        <v>0.46548507257357</v>
      </c>
      <c r="AB26" s="7">
        <v>0.127696374095926</v>
      </c>
      <c r="AC26" s="7">
        <v>0.151737927064477</v>
      </c>
      <c r="AD26" s="7">
        <v>0.46816668112572</v>
      </c>
      <c r="AE26" s="7">
        <v>0.138167120293037</v>
      </c>
      <c r="AF26" s="7">
        <v>0.169721611544357</v>
      </c>
      <c r="AG26" s="7">
        <v>0.336649324818615</v>
      </c>
      <c r="AH26" s="7">
        <v>10.0</v>
      </c>
      <c r="AI26" s="7">
        <v>3.66388170281668</v>
      </c>
      <c r="AJ26" s="7">
        <v>19.8362312530614</v>
      </c>
      <c r="AK26" s="7">
        <v>4.45378841583897</v>
      </c>
      <c r="AL26" s="7">
        <v>0.401636732605958</v>
      </c>
      <c r="AM26" s="7">
        <v>3.53293301665422</v>
      </c>
      <c r="AN26" s="7">
        <v>17.6238979260201</v>
      </c>
      <c r="AO26" s="7">
        <v>4.19808264878386</v>
      </c>
      <c r="AP26" s="7">
        <v>0.46816668112572</v>
      </c>
      <c r="AQ26" s="7">
        <v>3.82262366144097</v>
      </c>
      <c r="AR26" s="7">
        <v>22.0489528615885</v>
      </c>
      <c r="AS26" s="7">
        <v>4.69563125272721</v>
      </c>
      <c r="AT26" s="7">
        <v>0.336649324818615</v>
      </c>
      <c r="AU26" s="4">
        <f t="shared" ref="AU26:AU29" si="55">(AB26-$AB$36)/AB$37</f>
        <v>1.089982753</v>
      </c>
      <c r="AV26" s="4">
        <f t="shared" ref="AV26:AV29" si="56">(AC26-AC$36)/AC$37</f>
        <v>0.9038457109</v>
      </c>
      <c r="AW26" s="4">
        <f t="shared" si="5"/>
        <v>0.7443444246</v>
      </c>
      <c r="AX26" s="4">
        <f t="shared" si="6"/>
        <v>0.6492480039</v>
      </c>
      <c r="AY26" s="4">
        <f t="shared" si="7"/>
        <v>0.4984865716</v>
      </c>
      <c r="AZ26" s="4">
        <f t="shared" si="8"/>
        <v>0.4161841082</v>
      </c>
      <c r="BA26" s="4">
        <f t="shared" si="9"/>
        <v>0.4077572257</v>
      </c>
      <c r="BB26" s="4">
        <f t="shared" si="10"/>
        <v>0.5001902812</v>
      </c>
      <c r="BC26" s="4">
        <f t="shared" si="11"/>
        <v>0.2197352373</v>
      </c>
      <c r="BD26" s="4">
        <f t="shared" ref="BD26:BE26" si="54">((R26-R$36)/R$37)</f>
        <v>0.9502038523</v>
      </c>
      <c r="BE26" s="4">
        <f t="shared" si="54"/>
        <v>1.089655544</v>
      </c>
      <c r="BF26" s="4"/>
    </row>
    <row r="27">
      <c r="A27" s="3" t="s">
        <v>77</v>
      </c>
      <c r="B27" s="4">
        <f t="shared" si="3"/>
        <v>-0.5849378953</v>
      </c>
      <c r="C27" s="3" t="s">
        <v>59</v>
      </c>
      <c r="D27" s="3" t="s">
        <v>58</v>
      </c>
      <c r="E27" s="5" t="s">
        <v>60</v>
      </c>
      <c r="F27" s="3" t="s">
        <v>61</v>
      </c>
      <c r="G27" s="5" t="s">
        <v>62</v>
      </c>
      <c r="H27" s="5" t="s">
        <v>71</v>
      </c>
      <c r="I27" s="6">
        <v>150.0</v>
      </c>
      <c r="J27" s="5" t="s">
        <v>64</v>
      </c>
      <c r="K27" s="3" t="s">
        <v>65</v>
      </c>
      <c r="L27" s="5" t="s">
        <v>73</v>
      </c>
      <c r="M27" s="3" t="s">
        <v>74</v>
      </c>
      <c r="N27" s="3" t="s">
        <v>80</v>
      </c>
      <c r="O27" s="3" t="s">
        <v>69</v>
      </c>
      <c r="P27" s="5" t="s">
        <v>75</v>
      </c>
      <c r="Q27" s="5" t="s">
        <v>81</v>
      </c>
      <c r="R27" s="11">
        <v>1465.66320610046</v>
      </c>
      <c r="S27" s="11">
        <v>144.244060277938</v>
      </c>
      <c r="T27" s="7">
        <v>3.18516268261802</v>
      </c>
      <c r="U27" s="7">
        <v>15.318110171574</v>
      </c>
      <c r="V27" s="7">
        <v>3.91383573640668</v>
      </c>
      <c r="W27" s="7">
        <v>0.542999404262801</v>
      </c>
      <c r="X27" s="7">
        <v>0.10330962060209</v>
      </c>
      <c r="Y27" s="7">
        <v>0.0155425212081132</v>
      </c>
      <c r="Z27" s="7">
        <v>0.124669648303479</v>
      </c>
      <c r="AA27" s="7">
        <v>0.664250134257843</v>
      </c>
      <c r="AB27" s="7">
        <v>0.10366934941162</v>
      </c>
      <c r="AC27" s="7">
        <v>0.124876441511686</v>
      </c>
      <c r="AD27" s="7">
        <v>0.666085182230864</v>
      </c>
      <c r="AE27" s="7">
        <v>0.135961419484419</v>
      </c>
      <c r="AF27" s="7">
        <v>0.166777434252086</v>
      </c>
      <c r="AG27" s="7">
        <v>0.407714106841679</v>
      </c>
      <c r="AH27" s="7">
        <v>10.0</v>
      </c>
      <c r="AI27" s="7">
        <v>3.18516268261803</v>
      </c>
      <c r="AJ27" s="7">
        <v>15.318110171574</v>
      </c>
      <c r="AK27" s="7">
        <v>3.91383573640668</v>
      </c>
      <c r="AL27" s="7">
        <v>0.542885829136276</v>
      </c>
      <c r="AM27" s="7">
        <v>2.77315509676084</v>
      </c>
      <c r="AN27" s="7">
        <v>11.1585715315795</v>
      </c>
      <c r="AO27" s="7">
        <v>3.3404448104376</v>
      </c>
      <c r="AP27" s="7">
        <v>0.666085182230864</v>
      </c>
      <c r="AQ27" s="7">
        <v>3.63696797120823</v>
      </c>
      <c r="AR27" s="7">
        <v>19.9031652674558</v>
      </c>
      <c r="AS27" s="7">
        <v>4.46129636624331</v>
      </c>
      <c r="AT27" s="7">
        <v>0.407714106841679</v>
      </c>
      <c r="AU27" s="4">
        <f t="shared" si="55"/>
        <v>0.6535527839</v>
      </c>
      <c r="AV27" s="4">
        <f t="shared" si="56"/>
        <v>0.5182792847</v>
      </c>
      <c r="AW27" s="4">
        <f t="shared" si="5"/>
        <v>0.6628126135</v>
      </c>
      <c r="AX27" s="4">
        <f t="shared" si="6"/>
        <v>0.5699068865</v>
      </c>
      <c r="AY27" s="4">
        <f t="shared" si="7"/>
        <v>0.2694296631</v>
      </c>
      <c r="AZ27" s="4">
        <f t="shared" si="8"/>
        <v>0.2162319491</v>
      </c>
      <c r="BA27" s="4">
        <f t="shared" si="9"/>
        <v>0.1868835703</v>
      </c>
      <c r="BB27" s="4">
        <f t="shared" si="10"/>
        <v>0.4042100823</v>
      </c>
      <c r="BC27" s="4">
        <f t="shared" si="11"/>
        <v>0.03919984803</v>
      </c>
      <c r="BD27" s="4">
        <f t="shared" ref="BD27:BE27" si="57">((R27-R$36)/R$37)</f>
        <v>3.064915721</v>
      </c>
      <c r="BE27" s="4">
        <f t="shared" si="57"/>
        <v>-0.151105554</v>
      </c>
      <c r="BF27" s="4"/>
    </row>
    <row r="28">
      <c r="A28" s="3" t="s">
        <v>57</v>
      </c>
      <c r="B28" s="4">
        <f t="shared" si="3"/>
        <v>-0.7255785887</v>
      </c>
      <c r="C28" s="3" t="s">
        <v>59</v>
      </c>
      <c r="D28" s="3" t="s">
        <v>58</v>
      </c>
      <c r="E28" s="5" t="s">
        <v>82</v>
      </c>
      <c r="F28" s="3" t="s">
        <v>61</v>
      </c>
      <c r="G28" s="5" t="s">
        <v>83</v>
      </c>
      <c r="H28" s="5" t="s">
        <v>71</v>
      </c>
      <c r="I28" s="6">
        <v>150.0</v>
      </c>
      <c r="J28" s="5" t="s">
        <v>64</v>
      </c>
      <c r="K28" s="3" t="s">
        <v>65</v>
      </c>
      <c r="L28" s="5" t="s">
        <v>66</v>
      </c>
      <c r="M28" s="3" t="s">
        <v>67</v>
      </c>
      <c r="N28" s="3" t="s">
        <v>68</v>
      </c>
      <c r="O28" s="3" t="s">
        <v>69</v>
      </c>
      <c r="P28" s="5" t="s">
        <v>75</v>
      </c>
      <c r="Q28" s="3"/>
      <c r="R28" s="11">
        <v>1705.33039331436</v>
      </c>
      <c r="S28" s="11">
        <v>327.046343564987</v>
      </c>
      <c r="T28" s="7">
        <v>3.23132418867527</v>
      </c>
      <c r="U28" s="7">
        <v>16.0312750389585</v>
      </c>
      <c r="V28" s="7">
        <v>4.00390747132829</v>
      </c>
      <c r="W28" s="7">
        <v>0.51638925768023</v>
      </c>
      <c r="X28" s="7">
        <v>0.100606489679871</v>
      </c>
      <c r="Y28" s="7">
        <v>0.0147209867953625</v>
      </c>
      <c r="Z28" s="7">
        <v>0.121330073746629</v>
      </c>
      <c r="AA28" s="7">
        <v>0.655649742235414</v>
      </c>
      <c r="AB28" s="7">
        <v>0.101096020792756</v>
      </c>
      <c r="AC28" s="7">
        <v>0.121711161736788</v>
      </c>
      <c r="AD28" s="7">
        <v>0.656222382822822</v>
      </c>
      <c r="AE28" s="7">
        <v>0.122790157016703</v>
      </c>
      <c r="AF28" s="7">
        <v>0.154005617957024</v>
      </c>
      <c r="AG28" s="7">
        <v>0.454563075782435</v>
      </c>
      <c r="AH28" s="7">
        <v>10.0</v>
      </c>
      <c r="AI28" s="7">
        <v>3.23132418867526</v>
      </c>
      <c r="AJ28" s="7">
        <v>16.0312750389585</v>
      </c>
      <c r="AK28" s="7">
        <v>4.00390747132829</v>
      </c>
      <c r="AL28" s="7">
        <v>0.516259417920057</v>
      </c>
      <c r="AM28" s="7">
        <v>2.7969899085996</v>
      </c>
      <c r="AN28" s="7">
        <v>11.3389930971437</v>
      </c>
      <c r="AO28" s="7">
        <v>3.36734214138446</v>
      </c>
      <c r="AP28" s="7">
        <v>0.656222382822822</v>
      </c>
      <c r="AQ28" s="7">
        <v>3.39719434412893</v>
      </c>
      <c r="AR28" s="7">
        <v>18.154604940673</v>
      </c>
      <c r="AS28" s="7">
        <v>4.26082209681102</v>
      </c>
      <c r="AT28" s="7">
        <v>0.454563075782434</v>
      </c>
      <c r="AU28" s="4">
        <f t="shared" si="55"/>
        <v>0.6068105116</v>
      </c>
      <c r="AV28" s="4">
        <f t="shared" si="56"/>
        <v>0.4728452521</v>
      </c>
      <c r="AW28" s="4">
        <f t="shared" si="5"/>
        <v>0.5575145854</v>
      </c>
      <c r="AX28" s="4">
        <f t="shared" si="6"/>
        <v>0.5020302985</v>
      </c>
      <c r="AY28" s="4">
        <f t="shared" si="7"/>
        <v>0.2915169657</v>
      </c>
      <c r="AZ28" s="4">
        <f t="shared" si="8"/>
        <v>0.249586794</v>
      </c>
      <c r="BA28" s="4">
        <f t="shared" si="9"/>
        <v>0.1978902854</v>
      </c>
      <c r="BB28" s="4">
        <f t="shared" si="10"/>
        <v>0.3409357961</v>
      </c>
      <c r="BC28" s="4">
        <f t="shared" si="11"/>
        <v>0.07323199146</v>
      </c>
      <c r="BD28" s="4">
        <f t="shared" ref="BD28:BE28" si="58">((R28-R$36)/R$37)</f>
        <v>3.596900924</v>
      </c>
      <c r="BE28" s="4">
        <f t="shared" si="58"/>
        <v>1.092101071</v>
      </c>
      <c r="BF28" s="4"/>
    </row>
    <row r="29">
      <c r="A29" s="3" t="s">
        <v>77</v>
      </c>
      <c r="B29" s="4">
        <f t="shared" si="3"/>
        <v>-0.9286669942</v>
      </c>
      <c r="C29" s="3" t="s">
        <v>59</v>
      </c>
      <c r="D29" s="3" t="s">
        <v>58</v>
      </c>
      <c r="E29" s="5" t="s">
        <v>82</v>
      </c>
      <c r="F29" s="3" t="s">
        <v>78</v>
      </c>
      <c r="G29" s="5" t="s">
        <v>88</v>
      </c>
      <c r="H29" s="5" t="s">
        <v>63</v>
      </c>
      <c r="I29" s="6">
        <v>150.0</v>
      </c>
      <c r="J29" s="5" t="s">
        <v>64</v>
      </c>
      <c r="K29" s="3" t="s">
        <v>72</v>
      </c>
      <c r="L29" s="5" t="s">
        <v>73</v>
      </c>
      <c r="M29" s="3" t="s">
        <v>67</v>
      </c>
      <c r="N29" s="3" t="s">
        <v>68</v>
      </c>
      <c r="O29" s="3" t="s">
        <v>69</v>
      </c>
      <c r="P29" s="5" t="s">
        <v>75</v>
      </c>
      <c r="Q29" s="3" t="s">
        <v>90</v>
      </c>
      <c r="R29" s="11">
        <v>642.216650485992</v>
      </c>
      <c r="S29" s="11">
        <v>388.818681001663</v>
      </c>
      <c r="T29" s="7">
        <v>4.30153436723744</v>
      </c>
      <c r="U29" s="7">
        <v>28.3142435926938</v>
      </c>
      <c r="V29" s="7">
        <v>5.32111300318776</v>
      </c>
      <c r="W29" s="7">
        <v>0.136447135939472</v>
      </c>
      <c r="X29" s="7">
        <v>0.152263038521607</v>
      </c>
      <c r="Y29" s="7">
        <v>0.0338708004530236</v>
      </c>
      <c r="Z29" s="7">
        <v>0.184040214227824</v>
      </c>
      <c r="AA29" s="7">
        <v>0.18494302094024</v>
      </c>
      <c r="AB29" s="7">
        <v>0.154037007467037</v>
      </c>
      <c r="AC29" s="7">
        <v>0.185212834651591</v>
      </c>
      <c r="AD29" s="7">
        <v>0.191103900020399</v>
      </c>
      <c r="AE29" s="7">
        <v>0.152989500677055</v>
      </c>
      <c r="AF29" s="7">
        <v>0.193624399824039</v>
      </c>
      <c r="AG29" s="7">
        <v>0.129176577288653</v>
      </c>
      <c r="AH29" s="7">
        <v>10.0</v>
      </c>
      <c r="AI29" s="7">
        <v>3.80919007219221</v>
      </c>
      <c r="AJ29" s="7">
        <v>22.203603200556</v>
      </c>
      <c r="AK29" s="7">
        <v>4.71206994860602</v>
      </c>
      <c r="AL29" s="7">
        <v>0.136361180407901</v>
      </c>
      <c r="AM29" s="7">
        <v>3.77390668294269</v>
      </c>
      <c r="AN29" s="7">
        <v>20.5908524203367</v>
      </c>
      <c r="AO29" s="7">
        <v>4.537714448964</v>
      </c>
      <c r="AP29" s="7">
        <v>0.191103900020399</v>
      </c>
      <c r="AQ29" s="7">
        <v>3.74824276658809</v>
      </c>
      <c r="AR29" s="7">
        <v>22.5036175263836</v>
      </c>
      <c r="AS29" s="7">
        <v>4.74379779568898</v>
      </c>
      <c r="AT29" s="7">
        <v>0.129176577288653</v>
      </c>
      <c r="AU29" s="4">
        <f t="shared" si="55"/>
        <v>1.568437409</v>
      </c>
      <c r="AV29" s="4">
        <f t="shared" si="56"/>
        <v>1.384340375</v>
      </c>
      <c r="AW29" s="4">
        <f t="shared" si="5"/>
        <v>0.711679608</v>
      </c>
      <c r="AX29" s="4">
        <f t="shared" si="6"/>
        <v>0.6655562344</v>
      </c>
      <c r="AY29" s="4">
        <f t="shared" si="7"/>
        <v>0.5680135477</v>
      </c>
      <c r="AZ29" s="4">
        <f t="shared" si="8"/>
        <v>0.5118294343</v>
      </c>
      <c r="BA29" s="4">
        <f t="shared" si="9"/>
        <v>0.7169545412</v>
      </c>
      <c r="BB29" s="4">
        <f t="shared" si="10"/>
        <v>0.7804032784</v>
      </c>
      <c r="BC29" s="4">
        <f t="shared" si="11"/>
        <v>0.5587931586</v>
      </c>
      <c r="BD29" s="4">
        <f t="shared" ref="BD29:BE29" si="59">((R29-R$36)/R$37)</f>
        <v>1.237125325</v>
      </c>
      <c r="BE29" s="4">
        <f t="shared" si="59"/>
        <v>1.512204025</v>
      </c>
      <c r="BF29" s="4"/>
    </row>
    <row r="30">
      <c r="A30" s="3" t="s">
        <v>57</v>
      </c>
      <c r="B30" s="4">
        <f t="shared" si="3"/>
        <v>-0.649819653</v>
      </c>
      <c r="C30" s="3" t="s">
        <v>58</v>
      </c>
      <c r="D30" s="3" t="s">
        <v>59</v>
      </c>
      <c r="E30" s="5" t="s">
        <v>82</v>
      </c>
      <c r="F30" s="3" t="s">
        <v>61</v>
      </c>
      <c r="G30" s="5" t="s">
        <v>83</v>
      </c>
      <c r="H30" s="5" t="s">
        <v>71</v>
      </c>
      <c r="I30" s="6">
        <v>150.0</v>
      </c>
      <c r="J30" s="5" t="s">
        <v>64</v>
      </c>
      <c r="K30" s="3" t="s">
        <v>65</v>
      </c>
      <c r="L30" s="5" t="s">
        <v>73</v>
      </c>
      <c r="M30" s="3" t="s">
        <v>74</v>
      </c>
      <c r="N30" s="3" t="s">
        <v>80</v>
      </c>
      <c r="O30" s="3" t="s">
        <v>69</v>
      </c>
      <c r="P30" s="5" t="s">
        <v>81</v>
      </c>
      <c r="Q30" s="5" t="s">
        <v>81</v>
      </c>
      <c r="R30" s="7">
        <v>3068.06471204757</v>
      </c>
      <c r="S30" s="7">
        <v>500.266392230987</v>
      </c>
      <c r="T30" s="7">
        <v>1.81110468291815</v>
      </c>
      <c r="U30" s="7">
        <v>5.31482665000266</v>
      </c>
      <c r="V30" s="7">
        <v>2.30539078032394</v>
      </c>
      <c r="W30" s="7">
        <v>0.803298070048677</v>
      </c>
      <c r="X30" s="7">
        <v>0.0623468060548975</v>
      </c>
      <c r="Y30" s="7">
        <v>0.00624358488590796</v>
      </c>
      <c r="Z30" s="7">
        <v>0.0790163583437503</v>
      </c>
      <c r="AA30" s="7">
        <v>0.86026924266069</v>
      </c>
      <c r="AB30" s="7">
        <v>0.0621836398233193</v>
      </c>
      <c r="AC30" s="7">
        <v>0.0788338654371974</v>
      </c>
      <c r="AD30" s="7">
        <v>0.861579167370532</v>
      </c>
      <c r="AE30" s="7">
        <v>0.0746492565633857</v>
      </c>
      <c r="AF30" s="7">
        <v>0.0950133525140146</v>
      </c>
      <c r="AG30" s="7">
        <v>0.799757462374797</v>
      </c>
      <c r="AH30" s="7">
        <v>10.0</v>
      </c>
      <c r="AI30" s="7">
        <v>1.81110468291811</v>
      </c>
      <c r="AJ30" s="7">
        <v>5.31482665000266</v>
      </c>
      <c r="AK30" s="7">
        <v>2.30539078032394</v>
      </c>
      <c r="AL30" s="7">
        <v>0.80327161413925</v>
      </c>
      <c r="AM30" s="7">
        <v>1.52349917567132</v>
      </c>
      <c r="AN30" s="7">
        <v>3.73042069844704</v>
      </c>
      <c r="AO30" s="7">
        <v>1.93142970321133</v>
      </c>
      <c r="AP30" s="7">
        <v>0.861579167370532</v>
      </c>
      <c r="AQ30" s="7">
        <v>1.82890678580295</v>
      </c>
      <c r="AR30" s="7">
        <v>5.41877917786045</v>
      </c>
      <c r="AS30" s="7">
        <v>2.32782713659336</v>
      </c>
      <c r="AT30" s="7">
        <v>0.799757462374797</v>
      </c>
      <c r="AU30" s="4">
        <f t="shared" ref="AU30:AV30" si="60">(AB30-AB$36)/AB$37</f>
        <v>-0.09999898549</v>
      </c>
      <c r="AV30" s="4">
        <f t="shared" si="60"/>
        <v>-0.1426101316</v>
      </c>
      <c r="AW30" s="4">
        <f t="shared" si="5"/>
        <v>-0.1312083126</v>
      </c>
      <c r="AX30" s="4">
        <f t="shared" si="6"/>
        <v>-0.1524432303</v>
      </c>
      <c r="AY30" s="4">
        <f t="shared" si="7"/>
        <v>-0.3880279776</v>
      </c>
      <c r="AZ30" s="4">
        <f t="shared" si="8"/>
        <v>-0.3793981015</v>
      </c>
      <c r="BA30" s="4">
        <f t="shared" si="9"/>
        <v>-0.03128436679</v>
      </c>
      <c r="BB30" s="4">
        <f t="shared" si="10"/>
        <v>-0.1252842489</v>
      </c>
      <c r="BC30" s="4">
        <f t="shared" si="11"/>
        <v>-0.2936082916</v>
      </c>
      <c r="BD30" s="4">
        <f t="shared" ref="BD30:BE30" si="61">((R30-R$36)/R$37)</f>
        <v>6.621739249</v>
      </c>
      <c r="BE30" s="4">
        <f t="shared" si="61"/>
        <v>2.270140581</v>
      </c>
      <c r="BF30" s="3"/>
    </row>
    <row r="31">
      <c r="A31" s="3" t="s">
        <v>57</v>
      </c>
      <c r="B31" s="4">
        <f t="shared" si="3"/>
        <v>-1.024366145</v>
      </c>
      <c r="C31" s="3" t="s">
        <v>59</v>
      </c>
      <c r="D31" s="3" t="s">
        <v>58</v>
      </c>
      <c r="E31" s="5" t="s">
        <v>60</v>
      </c>
      <c r="F31" s="3" t="s">
        <v>78</v>
      </c>
      <c r="G31" s="5" t="s">
        <v>60</v>
      </c>
      <c r="H31" s="5" t="s">
        <v>71</v>
      </c>
      <c r="I31" s="6">
        <v>150.0</v>
      </c>
      <c r="J31" s="5" t="s">
        <v>64</v>
      </c>
      <c r="K31" s="3" t="s">
        <v>65</v>
      </c>
      <c r="L31" s="5" t="s">
        <v>73</v>
      </c>
      <c r="M31" s="3" t="s">
        <v>67</v>
      </c>
      <c r="N31" s="3" t="s">
        <v>80</v>
      </c>
      <c r="O31" s="3" t="s">
        <v>69</v>
      </c>
      <c r="P31" s="5" t="s">
        <v>75</v>
      </c>
      <c r="Q31" s="5" t="s">
        <v>85</v>
      </c>
      <c r="R31" s="11">
        <v>1511.48253822326</v>
      </c>
      <c r="S31" s="11">
        <v>141.622427463531</v>
      </c>
      <c r="T31" s="7">
        <v>4.22566959815309</v>
      </c>
      <c r="U31" s="7">
        <v>28.6807004967555</v>
      </c>
      <c r="V31" s="7">
        <v>5.35543653652581</v>
      </c>
      <c r="W31" s="7">
        <v>0.123412016858612</v>
      </c>
      <c r="X31" s="7">
        <v>0.137155942762521</v>
      </c>
      <c r="Y31" s="7">
        <v>0.0289613478099261</v>
      </c>
      <c r="Z31" s="7">
        <v>0.170180339081593</v>
      </c>
      <c r="AA31" s="7">
        <v>0.348486569747883</v>
      </c>
      <c r="AB31" s="7">
        <v>0.139082447179005</v>
      </c>
      <c r="AC31" s="7">
        <v>0.171478184742357</v>
      </c>
      <c r="AD31" s="7">
        <v>0.355117671855561</v>
      </c>
      <c r="AE31" s="7">
        <v>0.171984873646425</v>
      </c>
      <c r="AF31" s="7">
        <v>0.218573055146081</v>
      </c>
      <c r="AG31" s="7">
        <v>-0.0593102063052459</v>
      </c>
      <c r="AH31" s="7">
        <v>10.0</v>
      </c>
      <c r="AI31" s="7">
        <v>4.2256695981531</v>
      </c>
      <c r="AJ31" s="7">
        <v>28.6807004967555</v>
      </c>
      <c r="AK31" s="7">
        <v>5.35543653652581</v>
      </c>
      <c r="AL31" s="7">
        <v>0.123625325811726</v>
      </c>
      <c r="AM31" s="7">
        <v>3.72045546203839</v>
      </c>
      <c r="AN31" s="7">
        <v>21.0409491893234</v>
      </c>
      <c r="AO31" s="7">
        <v>4.58704144185807</v>
      </c>
      <c r="AP31" s="7">
        <v>0.355117671855562</v>
      </c>
      <c r="AQ31" s="7">
        <v>4.6005953700419</v>
      </c>
      <c r="AR31" s="7">
        <v>34.185411988158</v>
      </c>
      <c r="AS31" s="7">
        <v>5.84682922515769</v>
      </c>
      <c r="AT31" s="7">
        <v>-0.0593102063052461</v>
      </c>
      <c r="AU31" s="4">
        <f>(AB31-$AB$36)/AB$37</f>
        <v>1.296800851</v>
      </c>
      <c r="AV31" s="4">
        <f>(AC31-AC$36)/AC$37</f>
        <v>1.187194917</v>
      </c>
      <c r="AW31" s="4">
        <f t="shared" si="5"/>
        <v>1.085995372</v>
      </c>
      <c r="AX31" s="4">
        <f t="shared" si="6"/>
        <v>1.03902067</v>
      </c>
      <c r="AY31" s="4">
        <f t="shared" si="7"/>
        <v>0.7672901769</v>
      </c>
      <c r="AZ31" s="4">
        <f t="shared" si="8"/>
        <v>0.750077235</v>
      </c>
      <c r="BA31" s="4">
        <f t="shared" si="9"/>
        <v>0.5339179827</v>
      </c>
      <c r="BB31" s="4">
        <f t="shared" si="10"/>
        <v>1.034973805</v>
      </c>
      <c r="BC31" s="4">
        <f t="shared" si="11"/>
        <v>0.5750712979</v>
      </c>
      <c r="BD31" s="4">
        <f t="shared" ref="BD31:BE31" si="62">((R31-R$36)/R$37)</f>
        <v>3.166620118</v>
      </c>
      <c r="BE31" s="4">
        <f t="shared" si="62"/>
        <v>-0.1689348241</v>
      </c>
      <c r="BF31" s="4"/>
    </row>
    <row r="32">
      <c r="A32" s="3" t="s">
        <v>77</v>
      </c>
      <c r="B32" s="4">
        <f t="shared" si="3"/>
        <v>-0.8022092198</v>
      </c>
      <c r="C32" s="3" t="s">
        <v>58</v>
      </c>
      <c r="D32" s="3" t="s">
        <v>59</v>
      </c>
      <c r="E32" s="5" t="s">
        <v>82</v>
      </c>
      <c r="F32" s="3" t="s">
        <v>78</v>
      </c>
      <c r="G32" s="5" t="s">
        <v>88</v>
      </c>
      <c r="H32" s="5" t="s">
        <v>71</v>
      </c>
      <c r="I32" s="6">
        <v>150.0</v>
      </c>
      <c r="J32" s="5" t="s">
        <v>64</v>
      </c>
      <c r="K32" s="3" t="s">
        <v>65</v>
      </c>
      <c r="L32" s="5" t="s">
        <v>73</v>
      </c>
      <c r="M32" s="3" t="s">
        <v>67</v>
      </c>
      <c r="N32" s="3" t="s">
        <v>80</v>
      </c>
      <c r="O32" s="3" t="s">
        <v>69</v>
      </c>
      <c r="P32" s="5" t="s">
        <v>81</v>
      </c>
      <c r="Q32" s="5" t="s">
        <v>81</v>
      </c>
      <c r="R32" s="7">
        <v>3339.36573553085</v>
      </c>
      <c r="S32" s="7">
        <v>490.373898744583</v>
      </c>
      <c r="T32" s="7">
        <v>2.34990639697905</v>
      </c>
      <c r="U32" s="7">
        <v>9.83449432883098</v>
      </c>
      <c r="V32" s="7">
        <v>3.13599973355084</v>
      </c>
      <c r="W32" s="7">
        <v>0.636162707305723</v>
      </c>
      <c r="X32" s="7">
        <v>0.0333733952171905</v>
      </c>
      <c r="Y32" s="7">
        <v>0.0018396674654189</v>
      </c>
      <c r="Z32" s="7">
        <v>0.0428913448777128</v>
      </c>
      <c r="AA32" s="7">
        <v>0.958243187280913</v>
      </c>
      <c r="AB32" s="7">
        <v>0.0330702223283427</v>
      </c>
      <c r="AC32" s="7">
        <v>0.0426097708756065</v>
      </c>
      <c r="AD32" s="7">
        <v>0.959204093413079</v>
      </c>
      <c r="AE32" s="7">
        <v>0.119865273751864</v>
      </c>
      <c r="AF32" s="7">
        <v>0.160191765046991</v>
      </c>
      <c r="AG32" s="7">
        <v>0.435693879161066</v>
      </c>
      <c r="AH32" s="7">
        <v>10.0</v>
      </c>
      <c r="AI32" s="7">
        <v>2.34990639697896</v>
      </c>
      <c r="AJ32" s="7">
        <v>9.83449432883099</v>
      </c>
      <c r="AK32" s="7">
        <v>3.13599973355084</v>
      </c>
      <c r="AL32" s="7">
        <v>0.635194576580223</v>
      </c>
      <c r="AM32" s="7">
        <v>0.810220447044395</v>
      </c>
      <c r="AN32" s="7">
        <v>1.08980944258653</v>
      </c>
      <c r="AO32" s="7">
        <v>1.04393938645236</v>
      </c>
      <c r="AP32" s="7">
        <v>0.959204093413079</v>
      </c>
      <c r="AQ32" s="7">
        <v>2.93669920692046</v>
      </c>
      <c r="AR32" s="7">
        <v>15.4032563037195</v>
      </c>
      <c r="AS32" s="7">
        <v>3.92469824365129</v>
      </c>
      <c r="AT32" s="7">
        <v>0.435693879161066</v>
      </c>
      <c r="AU32" s="4">
        <f t="shared" ref="AU32:AV32" si="63">(AB32-AB$36)/AB$37</f>
        <v>-0.6288188487</v>
      </c>
      <c r="AV32" s="4">
        <f t="shared" si="63"/>
        <v>-0.6625662843</v>
      </c>
      <c r="AW32" s="4">
        <f t="shared" si="5"/>
        <v>0.3552853809</v>
      </c>
      <c r="AX32" s="4">
        <f t="shared" si="6"/>
        <v>0.3882254677</v>
      </c>
      <c r="AY32" s="4">
        <f t="shared" si="7"/>
        <v>-0.130222773</v>
      </c>
      <c r="AZ32" s="4">
        <f t="shared" si="8"/>
        <v>-0.07181178907</v>
      </c>
      <c r="BA32" s="4">
        <f t="shared" si="9"/>
        <v>-0.1402321112</v>
      </c>
      <c r="BB32" s="4">
        <f t="shared" si="10"/>
        <v>0.3664205608</v>
      </c>
      <c r="BC32" s="4">
        <f t="shared" si="11"/>
        <v>-0.0787831767</v>
      </c>
      <c r="BD32" s="4">
        <f t="shared" ref="BD32:BE32" si="64">((R32-R$36)/R$37)</f>
        <v>7.223941544</v>
      </c>
      <c r="BE32" s="4">
        <f t="shared" si="64"/>
        <v>2.202863448</v>
      </c>
      <c r="BF32" s="3"/>
    </row>
    <row r="33">
      <c r="A33" s="3" t="s">
        <v>77</v>
      </c>
      <c r="B33" s="4">
        <f t="shared" si="3"/>
        <v>-2.099785394</v>
      </c>
      <c r="C33" s="3" t="s">
        <v>59</v>
      </c>
      <c r="D33" s="3" t="s">
        <v>58</v>
      </c>
      <c r="E33" s="5" t="s">
        <v>82</v>
      </c>
      <c r="F33" s="3" t="s">
        <v>78</v>
      </c>
      <c r="G33" s="5" t="s">
        <v>88</v>
      </c>
      <c r="H33" s="5" t="s">
        <v>71</v>
      </c>
      <c r="I33" s="6">
        <v>150.0</v>
      </c>
      <c r="J33" s="5" t="s">
        <v>64</v>
      </c>
      <c r="K33" s="3" t="s">
        <v>65</v>
      </c>
      <c r="L33" s="5" t="s">
        <v>73</v>
      </c>
      <c r="M33" s="3" t="s">
        <v>79</v>
      </c>
      <c r="N33" s="3" t="s">
        <v>80</v>
      </c>
      <c r="O33" s="3" t="s">
        <v>69</v>
      </c>
      <c r="P33" s="5" t="s">
        <v>85</v>
      </c>
      <c r="Q33" s="3" t="s">
        <v>91</v>
      </c>
      <c r="R33" s="11">
        <v>5565.9098200798</v>
      </c>
      <c r="S33" s="11">
        <v>398.928109407424</v>
      </c>
      <c r="T33" s="7">
        <v>4.7433034578444</v>
      </c>
      <c r="U33" s="7">
        <v>35.2856078692599</v>
      </c>
      <c r="V33" s="7">
        <v>5.94016901015955</v>
      </c>
      <c r="W33" s="7">
        <v>-0.0789850976727148</v>
      </c>
      <c r="X33" s="7">
        <v>0.14897925444806</v>
      </c>
      <c r="Y33" s="7">
        <v>0.0312296952121025</v>
      </c>
      <c r="Z33" s="7">
        <v>0.176719255351822</v>
      </c>
      <c r="AA33" s="7">
        <v>0.24353175243921</v>
      </c>
      <c r="AB33" s="7">
        <v>0.150605009555922</v>
      </c>
      <c r="AC33" s="7">
        <v>0.177814250239628</v>
      </c>
      <c r="AD33" s="7">
        <v>0.250326258709133</v>
      </c>
      <c r="AE33" s="7">
        <v>0.186464051456569</v>
      </c>
      <c r="AF33" s="7">
        <v>0.24311845095237</v>
      </c>
      <c r="AG33" s="7">
        <v>-0.375875584675194</v>
      </c>
      <c r="AH33" s="7">
        <v>10.0</v>
      </c>
      <c r="AI33" s="7">
        <v>4.20039523074176</v>
      </c>
      <c r="AJ33" s="7">
        <v>27.6704420252154</v>
      </c>
      <c r="AK33" s="7">
        <v>5.26027014755092</v>
      </c>
      <c r="AL33" s="7">
        <v>-0.079656105106399</v>
      </c>
      <c r="AM33" s="7">
        <v>3.68982273412032</v>
      </c>
      <c r="AN33" s="7">
        <v>18.9786490298657</v>
      </c>
      <c r="AO33" s="7">
        <v>4.35644913087089</v>
      </c>
      <c r="AP33" s="7">
        <v>0.250326258709133</v>
      </c>
      <c r="AQ33" s="7">
        <v>4.56836926068629</v>
      </c>
      <c r="AR33" s="7">
        <v>35.4787253613865</v>
      </c>
      <c r="AS33" s="7">
        <v>5.95640204833308</v>
      </c>
      <c r="AT33" s="7">
        <v>-0.375875584675194</v>
      </c>
      <c r="AU33" s="4">
        <f>(AB33-$AB$36)/AB$37</f>
        <v>1.506098157</v>
      </c>
      <c r="AV33" s="4">
        <f>(AC33-AC$36)/AC$37</f>
        <v>1.278142014</v>
      </c>
      <c r="AW33" s="4">
        <f t="shared" si="5"/>
        <v>1.071843082</v>
      </c>
      <c r="AX33" s="4">
        <f t="shared" si="6"/>
        <v>1.076119842</v>
      </c>
      <c r="AY33" s="4">
        <f t="shared" si="7"/>
        <v>0.7551969276</v>
      </c>
      <c r="AZ33" s="4">
        <f t="shared" si="8"/>
        <v>0.7148357673</v>
      </c>
      <c r="BA33" s="4">
        <f t="shared" si="9"/>
        <v>0.6508634039</v>
      </c>
      <c r="BB33" s="4">
        <f t="shared" si="10"/>
        <v>1.462527469</v>
      </c>
      <c r="BC33" s="4">
        <f t="shared" si="11"/>
        <v>0.834892374</v>
      </c>
      <c r="BD33" s="4">
        <f t="shared" ref="BD33:BE33" si="65">((R33-R$36)/R$37)</f>
        <v>12.1661638</v>
      </c>
      <c r="BE33" s="4">
        <f t="shared" si="65"/>
        <v>1.580956494</v>
      </c>
      <c r="BF33" s="4"/>
    </row>
    <row r="34">
      <c r="A34" s="3" t="s">
        <v>57</v>
      </c>
      <c r="B34" s="4">
        <f t="shared" si="3"/>
        <v>0.119279553</v>
      </c>
      <c r="C34" s="3" t="s">
        <v>58</v>
      </c>
      <c r="D34" s="3" t="s">
        <v>59</v>
      </c>
      <c r="E34" s="5" t="s">
        <v>60</v>
      </c>
      <c r="F34" s="3" t="s">
        <v>61</v>
      </c>
      <c r="G34" s="12" t="s">
        <v>62</v>
      </c>
      <c r="H34" s="5" t="s">
        <v>71</v>
      </c>
      <c r="I34" s="6">
        <v>20.0</v>
      </c>
      <c r="J34" s="12" t="s">
        <v>92</v>
      </c>
      <c r="K34" s="3" t="s">
        <v>72</v>
      </c>
      <c r="L34" s="5" t="s">
        <v>66</v>
      </c>
      <c r="M34" s="3" t="s">
        <v>67</v>
      </c>
      <c r="N34" s="3" t="s">
        <v>68</v>
      </c>
      <c r="O34" s="3" t="s">
        <v>69</v>
      </c>
      <c r="P34" s="5" t="s">
        <v>76</v>
      </c>
      <c r="Q34" s="3"/>
      <c r="R34" s="13">
        <v>230.009736537933</v>
      </c>
      <c r="S34" s="13">
        <v>167.019966125488</v>
      </c>
      <c r="T34" s="13">
        <v>1.66465013148509</v>
      </c>
      <c r="U34" s="13">
        <v>4.60462417369517</v>
      </c>
      <c r="V34" s="13">
        <v>2.14583880421973</v>
      </c>
      <c r="W34" s="13">
        <v>0.824381417328079</v>
      </c>
      <c r="X34" s="13">
        <v>0.0765440796560474</v>
      </c>
      <c r="Y34" s="13">
        <v>0.00913836071179317</v>
      </c>
      <c r="Z34" s="13">
        <v>0.0955947734543744</v>
      </c>
      <c r="AA34" s="13">
        <v>0.808723908734701</v>
      </c>
      <c r="AB34" s="13">
        <v>0.0766255507560167</v>
      </c>
      <c r="AC34" s="13">
        <v>0.0955679346883056</v>
      </c>
      <c r="AD34" s="13">
        <v>0.809792834543365</v>
      </c>
      <c r="AE34" s="13">
        <v>0.0653502185282228</v>
      </c>
      <c r="AF34" s="13">
        <v>0.0866806971832908</v>
      </c>
      <c r="AG34" s="13">
        <v>0.844673834037248</v>
      </c>
      <c r="AH34" s="13">
        <v>10.0</v>
      </c>
      <c r="AI34" s="13">
        <v>1.66465013148509</v>
      </c>
      <c r="AJ34" s="13">
        <v>4.60462417369517</v>
      </c>
      <c r="AK34" s="13">
        <v>2.14583880421973</v>
      </c>
      <c r="AL34" s="13">
        <v>0.824356395587774</v>
      </c>
      <c r="AM34" s="13">
        <v>1.78686527387991</v>
      </c>
      <c r="AN34" s="13">
        <v>4.96661848548496</v>
      </c>
      <c r="AO34" s="13">
        <v>2.22859114363423</v>
      </c>
      <c r="AP34" s="13">
        <v>0.809792834543365</v>
      </c>
      <c r="AQ34" s="13">
        <v>1.5239307904012</v>
      </c>
      <c r="AR34" s="13">
        <v>4.08583844849557</v>
      </c>
      <c r="AS34" s="13">
        <v>2.02134570237146</v>
      </c>
      <c r="AT34" s="13">
        <v>0.844673834037248</v>
      </c>
      <c r="AU34" s="4">
        <f t="shared" ref="AU34:AV34" si="66">(AB34-AB$36)/AB$37</f>
        <v>0.1623257438</v>
      </c>
      <c r="AV34" s="4">
        <f t="shared" si="66"/>
        <v>0.09758861923</v>
      </c>
      <c r="AW34" s="4">
        <f t="shared" si="5"/>
        <v>-0.2651403522</v>
      </c>
      <c r="AX34" s="4">
        <f t="shared" si="6"/>
        <v>-0.2562117294</v>
      </c>
      <c r="AY34" s="4">
        <f t="shared" si="7"/>
        <v>-0.4581033775</v>
      </c>
      <c r="AZ34" s="4">
        <f t="shared" si="8"/>
        <v>-0.4384824682</v>
      </c>
      <c r="BA34" s="4">
        <f t="shared" si="9"/>
        <v>0.02650829315</v>
      </c>
      <c r="BB34" s="4">
        <f t="shared" si="10"/>
        <v>-0.1859483664</v>
      </c>
      <c r="BC34" s="4">
        <f t="shared" si="11"/>
        <v>-0.3205574851</v>
      </c>
      <c r="BD34" s="4">
        <f t="shared" ref="BD34:BE34" si="67">((R34-R$36)/R$37)</f>
        <v>0.3221566077</v>
      </c>
      <c r="BE34" s="4">
        <f t="shared" si="67"/>
        <v>0.003789431609</v>
      </c>
      <c r="BF34" s="3"/>
    </row>
    <row r="35">
      <c r="A35" s="3" t="s">
        <v>57</v>
      </c>
      <c r="B35" s="4">
        <f t="shared" si="3"/>
        <v>0.1232260739</v>
      </c>
      <c r="C35" s="3" t="s">
        <v>58</v>
      </c>
      <c r="D35" s="3" t="s">
        <v>59</v>
      </c>
      <c r="E35" s="5" t="s">
        <v>60</v>
      </c>
      <c r="F35" s="3" t="s">
        <v>61</v>
      </c>
      <c r="G35" s="12" t="s">
        <v>62</v>
      </c>
      <c r="H35" s="5" t="s">
        <v>63</v>
      </c>
      <c r="I35" s="6">
        <v>20.0</v>
      </c>
      <c r="J35" s="12" t="s">
        <v>92</v>
      </c>
      <c r="K35" s="3" t="s">
        <v>65</v>
      </c>
      <c r="L35" s="5" t="s">
        <v>66</v>
      </c>
      <c r="M35" s="3" t="s">
        <v>67</v>
      </c>
      <c r="N35" s="3" t="s">
        <v>84</v>
      </c>
      <c r="O35" s="3" t="s">
        <v>69</v>
      </c>
      <c r="P35" s="5" t="s">
        <v>70</v>
      </c>
      <c r="Q35" s="3"/>
      <c r="R35" s="13">
        <v>238.767431497573</v>
      </c>
      <c r="S35" s="13">
        <v>166.201921463012</v>
      </c>
      <c r="T35" s="13">
        <v>1.7270130201219</v>
      </c>
      <c r="U35" s="13">
        <v>4.85216900154409</v>
      </c>
      <c r="V35" s="13">
        <v>2.20276394594248</v>
      </c>
      <c r="W35" s="13">
        <v>0.813680788828703</v>
      </c>
      <c r="X35" s="13">
        <v>0.0618946622764836</v>
      </c>
      <c r="Y35" s="13">
        <v>0.00613463892868532</v>
      </c>
      <c r="Z35" s="13">
        <v>0.0783239358605358</v>
      </c>
      <c r="AA35" s="13">
        <v>0.87096104301155</v>
      </c>
      <c r="AB35" s="13">
        <v>0.0617004657867545</v>
      </c>
      <c r="AC35" s="13">
        <v>0.0781288197614299</v>
      </c>
      <c r="AD35" s="13">
        <v>0.872227637939106</v>
      </c>
      <c r="AE35" s="13">
        <v>0.0847798738238123</v>
      </c>
      <c r="AF35" s="13">
        <v>0.106803475665044</v>
      </c>
      <c r="AG35" s="13">
        <v>0.762233974098171</v>
      </c>
      <c r="AH35" s="13">
        <v>10.0</v>
      </c>
      <c r="AI35" s="13">
        <v>1.7270130201219</v>
      </c>
      <c r="AJ35" s="13">
        <v>4.85216900154409</v>
      </c>
      <c r="AK35" s="13">
        <v>2.20276394594248</v>
      </c>
      <c r="AL35" s="13">
        <v>0.813645759153767</v>
      </c>
      <c r="AM35" s="13">
        <v>1.43882058411058</v>
      </c>
      <c r="AN35" s="13">
        <v>3.3193949348302</v>
      </c>
      <c r="AO35" s="13">
        <v>1.82192067193667</v>
      </c>
      <c r="AP35" s="13">
        <v>0.872227637939106</v>
      </c>
      <c r="AQ35" s="13">
        <v>1.97701955764141</v>
      </c>
      <c r="AR35" s="13">
        <v>6.20307698914391</v>
      </c>
      <c r="AS35" s="13">
        <v>2.49059771724457</v>
      </c>
      <c r="AT35" s="13">
        <v>0.762233974098171</v>
      </c>
      <c r="AU35" s="4">
        <f t="shared" ref="AU35:AV35" si="68">(AB35-AB$36)/AB$37</f>
        <v>-0.1087754209</v>
      </c>
      <c r="AV35" s="4">
        <f t="shared" si="68"/>
        <v>-0.1527302697</v>
      </c>
      <c r="AW35" s="4">
        <f t="shared" si="5"/>
        <v>-0.06616369947</v>
      </c>
      <c r="AX35" s="4">
        <f t="shared" si="6"/>
        <v>-0.09733235908</v>
      </c>
      <c r="AY35" s="4">
        <f t="shared" si="7"/>
        <v>-0.4282640566</v>
      </c>
      <c r="AZ35" s="4">
        <f t="shared" si="8"/>
        <v>-0.4174022784</v>
      </c>
      <c r="BA35" s="4">
        <f t="shared" si="9"/>
        <v>-0.04316787746</v>
      </c>
      <c r="BB35" s="4">
        <f t="shared" si="10"/>
        <v>-0.07460497061</v>
      </c>
      <c r="BC35" s="4">
        <f t="shared" si="11"/>
        <v>-0.3068678477</v>
      </c>
      <c r="BD35" s="4">
        <f t="shared" ref="BD35:BE35" si="69">((R35-R$36)/R$37)</f>
        <v>0.3415959151</v>
      </c>
      <c r="BE35" s="4">
        <f t="shared" si="69"/>
        <v>-0.001773948267</v>
      </c>
      <c r="BF35" s="3"/>
    </row>
    <row r="36">
      <c r="A36" s="3" t="s">
        <v>57</v>
      </c>
      <c r="B36" s="4">
        <f t="shared" si="3"/>
        <v>0</v>
      </c>
      <c r="C36" s="3" t="s">
        <v>58</v>
      </c>
      <c r="D36" s="3" t="s">
        <v>59</v>
      </c>
      <c r="E36" s="5" t="s">
        <v>60</v>
      </c>
      <c r="F36" s="3" t="s">
        <v>78</v>
      </c>
      <c r="G36" s="12" t="s">
        <v>60</v>
      </c>
      <c r="H36" s="5" t="s">
        <v>63</v>
      </c>
      <c r="I36" s="6">
        <v>20.0</v>
      </c>
      <c r="J36" s="12" t="s">
        <v>92</v>
      </c>
      <c r="K36" s="3" t="s">
        <v>72</v>
      </c>
      <c r="L36" s="5" t="s">
        <v>73</v>
      </c>
      <c r="M36" s="3" t="s">
        <v>74</v>
      </c>
      <c r="N36" s="3" t="s">
        <v>68</v>
      </c>
      <c r="O36" s="3" t="s">
        <v>69</v>
      </c>
      <c r="P36" s="5" t="s">
        <v>75</v>
      </c>
      <c r="Q36" s="5" t="s">
        <v>76</v>
      </c>
      <c r="R36" s="13">
        <v>84.8734290599823</v>
      </c>
      <c r="S36" s="13">
        <v>166.462764501571</v>
      </c>
      <c r="T36" s="13">
        <v>2.62206635364642</v>
      </c>
      <c r="U36" s="13">
        <v>11.088373599726</v>
      </c>
      <c r="V36" s="13">
        <v>3.32992095998178</v>
      </c>
      <c r="W36" s="13">
        <v>0.57378754696935</v>
      </c>
      <c r="X36" s="13">
        <v>0.0676758349819093</v>
      </c>
      <c r="Y36" s="13">
        <v>0.00790422420776392</v>
      </c>
      <c r="Z36" s="13">
        <v>0.0889057040226549</v>
      </c>
      <c r="AA36" s="13">
        <v>0.831228373250912</v>
      </c>
      <c r="AB36" s="13">
        <v>0.0676889402413252</v>
      </c>
      <c r="AC36" s="13">
        <v>0.0887691703052119</v>
      </c>
      <c r="AD36" s="13">
        <v>0.833546150157009</v>
      </c>
      <c r="AE36" s="13">
        <v>0.0912406211342025</v>
      </c>
      <c r="AF36" s="13">
        <v>0.119131051594254</v>
      </c>
      <c r="AG36" s="13">
        <v>0.70699564331527</v>
      </c>
      <c r="AH36" s="13">
        <v>10.0</v>
      </c>
      <c r="AI36" s="13">
        <v>2.62206635364643</v>
      </c>
      <c r="AJ36" s="13">
        <v>11.088373599726</v>
      </c>
      <c r="AK36" s="13">
        <v>3.32992095998178</v>
      </c>
      <c r="AL36" s="13">
        <v>0.573555401132297</v>
      </c>
      <c r="AM36" s="13">
        <v>1.57846848146092</v>
      </c>
      <c r="AN36" s="13">
        <v>4.28509762646958</v>
      </c>
      <c r="AO36" s="13">
        <v>2.07004773531181</v>
      </c>
      <c r="AP36" s="13">
        <v>0.833546150157009</v>
      </c>
      <c r="AQ36" s="13">
        <v>2.12768059561564</v>
      </c>
      <c r="AR36" s="13">
        <v>7.71767258742258</v>
      </c>
      <c r="AS36" s="13">
        <v>2.77806993926045</v>
      </c>
      <c r="AT36" s="13">
        <v>0.70699564331527</v>
      </c>
      <c r="AU36" s="4">
        <f t="shared" ref="AU36:AV36" si="70">(AB36-AB$36)/AB$37</f>
        <v>0</v>
      </c>
      <c r="AV36" s="4">
        <f t="shared" si="70"/>
        <v>0</v>
      </c>
      <c r="AW36" s="4">
        <f t="shared" si="5"/>
        <v>0</v>
      </c>
      <c r="AX36" s="4">
        <f t="shared" si="6"/>
        <v>0</v>
      </c>
      <c r="AY36" s="4">
        <f t="shared" si="7"/>
        <v>0</v>
      </c>
      <c r="AZ36" s="4">
        <f t="shared" si="8"/>
        <v>0</v>
      </c>
      <c r="BA36" s="4">
        <f t="shared" si="9"/>
        <v>0</v>
      </c>
      <c r="BB36" s="4">
        <f t="shared" si="10"/>
        <v>0</v>
      </c>
      <c r="BC36" s="4">
        <f t="shared" si="11"/>
        <v>0</v>
      </c>
      <c r="BD36" s="4">
        <f t="shared" ref="BD36:BE36" si="71">((R36-R$36)/R$37)</f>
        <v>0</v>
      </c>
      <c r="BE36" s="4">
        <f t="shared" si="71"/>
        <v>0</v>
      </c>
      <c r="BF36" s="3"/>
    </row>
    <row r="37">
      <c r="A37" s="3" t="s">
        <v>77</v>
      </c>
      <c r="B37" s="4">
        <f t="shared" si="3"/>
        <v>0.05169983067</v>
      </c>
      <c r="C37" s="3" t="s">
        <v>59</v>
      </c>
      <c r="D37" s="3" t="s">
        <v>58</v>
      </c>
      <c r="E37" s="5" t="s">
        <v>60</v>
      </c>
      <c r="F37" s="3" t="s">
        <v>61</v>
      </c>
      <c r="G37" s="5" t="s">
        <v>62</v>
      </c>
      <c r="H37" s="5" t="s">
        <v>71</v>
      </c>
      <c r="I37" s="6">
        <v>20.0</v>
      </c>
      <c r="J37" s="5" t="s">
        <v>92</v>
      </c>
      <c r="K37" s="3" t="s">
        <v>65</v>
      </c>
      <c r="L37" s="5" t="s">
        <v>73</v>
      </c>
      <c r="M37" s="3" t="s">
        <v>74</v>
      </c>
      <c r="N37" s="3" t="s">
        <v>80</v>
      </c>
      <c r="O37" s="3" t="s">
        <v>69</v>
      </c>
      <c r="P37" s="5" t="s">
        <v>85</v>
      </c>
      <c r="Q37" s="5" t="s">
        <v>70</v>
      </c>
      <c r="R37" s="7">
        <v>450.514762163162</v>
      </c>
      <c r="S37" s="7">
        <v>147.04095005989</v>
      </c>
      <c r="T37" s="7">
        <v>2.08995669790719</v>
      </c>
      <c r="U37" s="7">
        <v>7.29221064208914</v>
      </c>
      <c r="V37" s="7">
        <v>2.70040934713408</v>
      </c>
      <c r="W37" s="7">
        <v>0.782459417697187</v>
      </c>
      <c r="X37" s="7">
        <v>0.0548812996011834</v>
      </c>
      <c r="Y37" s="7">
        <v>0.00484368214458227</v>
      </c>
      <c r="Z37" s="7">
        <v>0.0695965670459562</v>
      </c>
      <c r="AA37" s="7">
        <v>0.895366677776044</v>
      </c>
      <c r="AB37" s="7">
        <v>0.0550535627029059</v>
      </c>
      <c r="AC37" s="7">
        <v>0.0696675948142457</v>
      </c>
      <c r="AD37" s="7">
        <v>0.896071107996795</v>
      </c>
      <c r="AE37" s="7">
        <v>0.0851250516623897</v>
      </c>
      <c r="AF37" s="7">
        <v>0.110411637241432</v>
      </c>
      <c r="AG37" s="7">
        <v>0.740410864486236</v>
      </c>
      <c r="AH37" s="14">
        <v>10.0</v>
      </c>
      <c r="AI37" s="7">
        <v>2.08995669790718</v>
      </c>
      <c r="AJ37" s="7">
        <v>7.29221064208915</v>
      </c>
      <c r="AK37" s="7">
        <v>2.70040934713408</v>
      </c>
      <c r="AL37" s="7">
        <v>0.782390073965653</v>
      </c>
      <c r="AM37" s="7">
        <v>1.47268280230273</v>
      </c>
      <c r="AN37" s="7">
        <v>3.47303537879342</v>
      </c>
      <c r="AO37" s="7">
        <v>1.86360816128107</v>
      </c>
      <c r="AP37" s="7">
        <v>0.896071107996795</v>
      </c>
      <c r="AQ37" s="7">
        <v>2.27709513196893</v>
      </c>
      <c r="AR37" s="7">
        <v>8.72322897683019</v>
      </c>
      <c r="AS37" s="7">
        <v>2.95351129620832</v>
      </c>
      <c r="AT37" s="7">
        <v>0.740410864486236</v>
      </c>
      <c r="AU37" s="4">
        <f t="shared" ref="AU37:AV37" si="72">(AB37-AB$36)/AB$37</f>
        <v>-0.2295106242</v>
      </c>
      <c r="AV37" s="4">
        <f t="shared" si="72"/>
        <v>-0.2741816413</v>
      </c>
      <c r="AW37" s="4">
        <f t="shared" si="5"/>
        <v>0.0656162908</v>
      </c>
      <c r="AX37" s="4">
        <f t="shared" si="6"/>
        <v>0.05940094327</v>
      </c>
      <c r="AY37" s="4">
        <f t="shared" si="7"/>
        <v>-0.2546031965</v>
      </c>
      <c r="AZ37" s="4">
        <f t="shared" si="8"/>
        <v>-0.2331171063</v>
      </c>
      <c r="BA37" s="4">
        <f t="shared" si="9"/>
        <v>-0.06977678142</v>
      </c>
      <c r="BB37" s="4">
        <f t="shared" si="10"/>
        <v>-0.04513064674</v>
      </c>
      <c r="BC37" s="4">
        <f t="shared" si="11"/>
        <v>-0.2669188679</v>
      </c>
      <c r="BD37" s="4">
        <f t="shared" ref="BD37:BE37" si="73">((R37-R$36)/R$37)</f>
        <v>0.8116078846</v>
      </c>
      <c r="BE37" s="4">
        <f t="shared" si="73"/>
        <v>-0.1320843917</v>
      </c>
      <c r="BF37" s="3"/>
    </row>
    <row r="38">
      <c r="A38" s="3" t="s">
        <v>57</v>
      </c>
      <c r="B38" s="4">
        <f t="shared" si="3"/>
        <v>-0.09629695336</v>
      </c>
      <c r="C38" s="3" t="s">
        <v>59</v>
      </c>
      <c r="D38" s="3" t="s">
        <v>58</v>
      </c>
      <c r="E38" s="5" t="s">
        <v>60</v>
      </c>
      <c r="F38" s="3" t="s">
        <v>61</v>
      </c>
      <c r="G38" s="5" t="s">
        <v>62</v>
      </c>
      <c r="H38" s="5" t="s">
        <v>71</v>
      </c>
      <c r="I38" s="6">
        <v>20.0</v>
      </c>
      <c r="J38" s="5" t="s">
        <v>92</v>
      </c>
      <c r="K38" s="3" t="s">
        <v>72</v>
      </c>
      <c r="L38" s="5" t="s">
        <v>66</v>
      </c>
      <c r="M38" s="3" t="s">
        <v>74</v>
      </c>
      <c r="N38" s="3" t="s">
        <v>84</v>
      </c>
      <c r="O38" s="3" t="s">
        <v>69</v>
      </c>
      <c r="P38" s="5" t="s">
        <v>86</v>
      </c>
      <c r="Q38" s="3"/>
      <c r="R38" s="7">
        <v>213.470755338668</v>
      </c>
      <c r="S38" s="7">
        <v>126.851146697998</v>
      </c>
      <c r="T38" s="7">
        <v>2.7573497331677</v>
      </c>
      <c r="U38" s="7">
        <v>12.1075481293779</v>
      </c>
      <c r="V38" s="7">
        <v>3.47959022434796</v>
      </c>
      <c r="W38" s="7">
        <v>0.638754880360194</v>
      </c>
      <c r="X38" s="7">
        <v>0.0739635107597092</v>
      </c>
      <c r="Y38" s="7">
        <v>0.00841883621830805</v>
      </c>
      <c r="Z38" s="7">
        <v>0.0917542163516644</v>
      </c>
      <c r="AA38" s="7">
        <v>0.818136125268619</v>
      </c>
      <c r="AB38" s="7">
        <v>0.0741896845711324</v>
      </c>
      <c r="AC38" s="7">
        <v>0.0918488737017</v>
      </c>
      <c r="AD38" s="7">
        <v>0.819356502632954</v>
      </c>
      <c r="AE38" s="7">
        <v>0.10989214790574</v>
      </c>
      <c r="AF38" s="7">
        <v>0.13861071811335</v>
      </c>
      <c r="AG38" s="7">
        <v>0.59088025552188</v>
      </c>
      <c r="AH38" s="14">
        <v>10.0</v>
      </c>
      <c r="AI38" s="7">
        <v>2.7573497331677</v>
      </c>
      <c r="AJ38" s="7">
        <v>12.1075481293779</v>
      </c>
      <c r="AK38" s="7">
        <v>3.47959022434796</v>
      </c>
      <c r="AL38" s="7">
        <v>0.638693561910547</v>
      </c>
      <c r="AM38" s="7">
        <v>1.98457406227779</v>
      </c>
      <c r="AN38" s="7">
        <v>6.0366395254688</v>
      </c>
      <c r="AO38" s="7">
        <v>2.45695737152047</v>
      </c>
      <c r="AP38" s="7">
        <v>0.819356502632954</v>
      </c>
      <c r="AQ38" s="7">
        <v>2.93961495647854</v>
      </c>
      <c r="AR38" s="7">
        <v>13.7480530645539</v>
      </c>
      <c r="AS38" s="7">
        <v>3.70783670953211</v>
      </c>
      <c r="AT38" s="7">
        <v>0.59088025552188</v>
      </c>
      <c r="AU38" s="4">
        <f t="shared" ref="AU38:AV38" si="74">(AB38-AB$36)/AB$37</f>
        <v>0.1180803568</v>
      </c>
      <c r="AV38" s="4">
        <f t="shared" si="74"/>
        <v>0.04420567991</v>
      </c>
      <c r="AW38" s="4">
        <f t="shared" si="5"/>
        <v>0.3565658498</v>
      </c>
      <c r="AX38" s="4">
        <f t="shared" si="6"/>
        <v>0.3148004788</v>
      </c>
      <c r="AY38" s="4">
        <f t="shared" si="7"/>
        <v>0.06473023085</v>
      </c>
      <c r="AZ38" s="4">
        <f t="shared" si="8"/>
        <v>0.05542465794</v>
      </c>
      <c r="BA38" s="4">
        <f t="shared" si="9"/>
        <v>0.01583540346</v>
      </c>
      <c r="BB38" s="4">
        <f t="shared" si="10"/>
        <v>0.1568256131</v>
      </c>
      <c r="BC38" s="4">
        <f t="shared" si="11"/>
        <v>-0.0832553517</v>
      </c>
      <c r="BD38" s="4">
        <f t="shared" ref="BD38:BE38" si="75">((R38-R$36)/R$37)</f>
        <v>0.2854453107</v>
      </c>
      <c r="BE38" s="4">
        <f t="shared" si="75"/>
        <v>-0.2693917428</v>
      </c>
      <c r="BF38" s="3"/>
    </row>
    <row r="39">
      <c r="A39" s="3" t="s">
        <v>57</v>
      </c>
      <c r="B39" s="4">
        <f t="shared" si="3"/>
        <v>-0.08525216544</v>
      </c>
      <c r="C39" s="3" t="s">
        <v>58</v>
      </c>
      <c r="D39" s="3" t="s">
        <v>59</v>
      </c>
      <c r="E39" s="5" t="s">
        <v>82</v>
      </c>
      <c r="F39" s="3" t="s">
        <v>61</v>
      </c>
      <c r="G39" s="12" t="s">
        <v>83</v>
      </c>
      <c r="H39" s="5" t="s">
        <v>71</v>
      </c>
      <c r="I39" s="6">
        <v>20.0</v>
      </c>
      <c r="J39" s="12" t="s">
        <v>92</v>
      </c>
      <c r="K39" s="3" t="s">
        <v>65</v>
      </c>
      <c r="L39" s="5" t="s">
        <v>73</v>
      </c>
      <c r="M39" s="3" t="s">
        <v>74</v>
      </c>
      <c r="N39" s="3" t="s">
        <v>68</v>
      </c>
      <c r="O39" s="3" t="s">
        <v>69</v>
      </c>
      <c r="P39" s="5" t="s">
        <v>81</v>
      </c>
      <c r="Q39" s="5" t="s">
        <v>75</v>
      </c>
      <c r="R39" s="13">
        <v>660.640508413314</v>
      </c>
      <c r="S39" s="13">
        <v>457.084951400756</v>
      </c>
      <c r="T39" s="13">
        <v>1.54199956361998</v>
      </c>
      <c r="U39" s="13">
        <v>4.00986049386201</v>
      </c>
      <c r="V39" s="13">
        <v>2.00246360612671</v>
      </c>
      <c r="W39" s="13">
        <v>0.851593638406139</v>
      </c>
      <c r="X39" s="13">
        <v>0.0541263889016729</v>
      </c>
      <c r="Y39" s="13">
        <v>0.00468394439774913</v>
      </c>
      <c r="Z39" s="13">
        <v>0.0684393483147607</v>
      </c>
      <c r="AA39" s="13">
        <v>0.895173828819094</v>
      </c>
      <c r="AB39" s="13">
        <v>0.0540929645661558</v>
      </c>
      <c r="AC39" s="13">
        <v>0.0683485281361847</v>
      </c>
      <c r="AD39" s="13">
        <v>0.895951901674363</v>
      </c>
      <c r="AE39" s="13">
        <v>0.0778628583680947</v>
      </c>
      <c r="AF39" s="13">
        <v>0.0972242051704321</v>
      </c>
      <c r="AG39" s="13">
        <v>0.790330210822494</v>
      </c>
      <c r="AH39" s="13">
        <v>10.0</v>
      </c>
      <c r="AI39" s="13">
        <v>1.54199956362</v>
      </c>
      <c r="AJ39" s="13">
        <v>4.00986049386201</v>
      </c>
      <c r="AK39" s="13">
        <v>2.00246360612671</v>
      </c>
      <c r="AL39" s="13">
        <v>0.851574955415739</v>
      </c>
      <c r="AM39" s="13">
        <v>1.32527763187083</v>
      </c>
      <c r="AN39" s="13">
        <v>2.8040806593543</v>
      </c>
      <c r="AO39" s="13">
        <v>1.67453893933652</v>
      </c>
      <c r="AP39" s="13">
        <v>0.895951901674363</v>
      </c>
      <c r="AQ39" s="13">
        <v>1.90764003001838</v>
      </c>
      <c r="AR39" s="13">
        <v>5.67389077913113</v>
      </c>
      <c r="AS39" s="13">
        <v>2.38199302667558</v>
      </c>
      <c r="AT39" s="13">
        <v>0.790330210822494</v>
      </c>
      <c r="AU39" s="4">
        <f t="shared" ref="AU39:AV39" si="76">(AB39-AB$36)/AB$37</f>
        <v>-0.2469590524</v>
      </c>
      <c r="AV39" s="4">
        <f t="shared" si="76"/>
        <v>-0.2931153605</v>
      </c>
      <c r="AW39" s="4">
        <f t="shared" si="5"/>
        <v>-0.09663213561</v>
      </c>
      <c r="AX39" s="4">
        <f t="shared" si="6"/>
        <v>-0.1341037406</v>
      </c>
      <c r="AY39" s="4">
        <f t="shared" si="7"/>
        <v>-0.5167890756</v>
      </c>
      <c r="AZ39" s="4">
        <f t="shared" si="8"/>
        <v>-0.4915763439</v>
      </c>
      <c r="BA39" s="4">
        <f t="shared" si="9"/>
        <v>-0.06964374921</v>
      </c>
      <c r="BB39" s="4">
        <f t="shared" si="10"/>
        <v>-0.1125517892</v>
      </c>
      <c r="BC39" s="4">
        <f t="shared" si="11"/>
        <v>-0.3553464743</v>
      </c>
      <c r="BD39" s="4">
        <f t="shared" ref="BD39:BE39" si="77">((R39-R$36)/R$37)</f>
        <v>1.278020451</v>
      </c>
      <c r="BE39" s="4">
        <f t="shared" si="77"/>
        <v>1.97647109</v>
      </c>
      <c r="BF39" s="3"/>
    </row>
    <row r="40">
      <c r="A40" s="3" t="s">
        <v>77</v>
      </c>
      <c r="B40" s="4">
        <f t="shared" si="3"/>
        <v>-0.1307305273</v>
      </c>
      <c r="C40" s="3" t="s">
        <v>58</v>
      </c>
      <c r="D40" s="3" t="s">
        <v>59</v>
      </c>
      <c r="E40" s="5" t="s">
        <v>82</v>
      </c>
      <c r="F40" s="3" t="s">
        <v>61</v>
      </c>
      <c r="G40" s="12" t="s">
        <v>83</v>
      </c>
      <c r="H40" s="5" t="s">
        <v>71</v>
      </c>
      <c r="I40" s="6">
        <v>20.0</v>
      </c>
      <c r="J40" s="12" t="s">
        <v>92</v>
      </c>
      <c r="K40" s="3" t="s">
        <v>72</v>
      </c>
      <c r="L40" s="5" t="s">
        <v>66</v>
      </c>
      <c r="M40" s="3" t="s">
        <v>67</v>
      </c>
      <c r="N40" s="3" t="s">
        <v>84</v>
      </c>
      <c r="O40" s="3" t="s">
        <v>69</v>
      </c>
      <c r="P40" s="5" t="s">
        <v>76</v>
      </c>
      <c r="Q40" s="3"/>
      <c r="R40" s="13">
        <v>568.999272823333</v>
      </c>
      <c r="S40" s="13">
        <v>432.759088516235</v>
      </c>
      <c r="T40" s="13">
        <v>1.85378683513646</v>
      </c>
      <c r="U40" s="13">
        <v>5.53632921667521</v>
      </c>
      <c r="V40" s="13">
        <v>2.35294054677869</v>
      </c>
      <c r="W40" s="13">
        <v>0.795102449040701</v>
      </c>
      <c r="X40" s="13">
        <v>0.0687073637755126</v>
      </c>
      <c r="Y40" s="13">
        <v>0.00721720434318809</v>
      </c>
      <c r="Z40" s="13">
        <v>0.0849541308188606</v>
      </c>
      <c r="AA40" s="13">
        <v>0.8384797440614</v>
      </c>
      <c r="AB40" s="13">
        <v>0.0688544823671224</v>
      </c>
      <c r="AC40" s="13">
        <v>0.0850081162945967</v>
      </c>
      <c r="AD40" s="13">
        <v>0.839047917865598</v>
      </c>
      <c r="AE40" s="13">
        <v>0.0750578749691719</v>
      </c>
      <c r="AF40" s="13">
        <v>0.0956140058214559</v>
      </c>
      <c r="AG40" s="13">
        <v>0.797217682028529</v>
      </c>
      <c r="AH40" s="13">
        <v>10.0</v>
      </c>
      <c r="AI40" s="13">
        <v>1.85378683513641</v>
      </c>
      <c r="AJ40" s="13">
        <v>5.53632921667521</v>
      </c>
      <c r="AK40" s="13">
        <v>2.35294054677869</v>
      </c>
      <c r="AL40" s="13">
        <v>0.795072693407662</v>
      </c>
      <c r="AM40" s="13">
        <v>1.68693481799453</v>
      </c>
      <c r="AN40" s="13">
        <v>4.33763449653241</v>
      </c>
      <c r="AO40" s="13">
        <v>2.08269884921762</v>
      </c>
      <c r="AP40" s="13">
        <v>0.839047917865598</v>
      </c>
      <c r="AQ40" s="13">
        <v>1.83891793674474</v>
      </c>
      <c r="AR40" s="13">
        <v>5.48750837506256</v>
      </c>
      <c r="AS40" s="13">
        <v>2.34254314262567</v>
      </c>
      <c r="AT40" s="13">
        <v>0.797217682028529</v>
      </c>
      <c r="AU40" s="4">
        <f t="shared" ref="AU40:AV40" si="78">(AB40-AB$36)/AB$37</f>
        <v>0.02117105721</v>
      </c>
      <c r="AV40" s="4">
        <f t="shared" si="78"/>
        <v>-0.05398570197</v>
      </c>
      <c r="AW40" s="4">
        <f t="shared" si="5"/>
        <v>-0.1268118555</v>
      </c>
      <c r="AX40" s="4">
        <f t="shared" si="6"/>
        <v>-0.1474606842</v>
      </c>
      <c r="AY40" s="4">
        <f t="shared" si="7"/>
        <v>-0.3676054721</v>
      </c>
      <c r="AZ40" s="4">
        <f t="shared" si="8"/>
        <v>-0.3617897465</v>
      </c>
      <c r="BA40" s="4">
        <f t="shared" si="9"/>
        <v>-0.006139878476</v>
      </c>
      <c r="BB40" s="4">
        <f t="shared" si="10"/>
        <v>-0.1218540179</v>
      </c>
      <c r="BC40" s="4">
        <f t="shared" si="11"/>
        <v>-0.2831289655</v>
      </c>
      <c r="BD40" s="4">
        <f t="shared" ref="BD40:BE40" si="79">((R40-R$36)/R$37)</f>
        <v>1.07460595</v>
      </c>
      <c r="BE40" s="4">
        <f t="shared" si="79"/>
        <v>1.811035116</v>
      </c>
      <c r="BF40" s="3"/>
    </row>
    <row r="41">
      <c r="A41" s="3" t="s">
        <v>77</v>
      </c>
      <c r="B41" s="4">
        <f t="shared" si="3"/>
        <v>-0.08217946424</v>
      </c>
      <c r="C41" s="3" t="s">
        <v>58</v>
      </c>
      <c r="D41" s="3" t="s">
        <v>59</v>
      </c>
      <c r="E41" s="5" t="s">
        <v>82</v>
      </c>
      <c r="F41" s="3" t="s">
        <v>61</v>
      </c>
      <c r="G41" s="12" t="s">
        <v>83</v>
      </c>
      <c r="H41" s="5" t="s">
        <v>63</v>
      </c>
      <c r="I41" s="6">
        <v>20.0</v>
      </c>
      <c r="J41" s="12" t="s">
        <v>92</v>
      </c>
      <c r="K41" s="3" t="s">
        <v>65</v>
      </c>
      <c r="L41" s="5" t="s">
        <v>66</v>
      </c>
      <c r="M41" s="3" t="s">
        <v>79</v>
      </c>
      <c r="N41" s="3" t="s">
        <v>68</v>
      </c>
      <c r="O41" s="3" t="s">
        <v>69</v>
      </c>
      <c r="P41" s="5" t="s">
        <v>75</v>
      </c>
      <c r="Q41" s="3"/>
      <c r="R41" s="13">
        <v>660.483159065246</v>
      </c>
      <c r="S41" s="13">
        <v>413.738087415695</v>
      </c>
      <c r="T41" s="13">
        <v>1.82598676402371</v>
      </c>
      <c r="U41" s="13">
        <v>5.3669495048871</v>
      </c>
      <c r="V41" s="13">
        <v>2.31666775884827</v>
      </c>
      <c r="W41" s="13">
        <v>0.801191605844258</v>
      </c>
      <c r="X41" s="13">
        <v>0.0523566743262858</v>
      </c>
      <c r="Y41" s="13">
        <v>0.00434934842421427</v>
      </c>
      <c r="Z41" s="13">
        <v>0.0659495900230947</v>
      </c>
      <c r="AA41" s="13">
        <v>0.902556838502408</v>
      </c>
      <c r="AB41" s="13">
        <v>0.0522192439684013</v>
      </c>
      <c r="AC41" s="13">
        <v>0.0657938428618492</v>
      </c>
      <c r="AD41" s="13">
        <v>0.90347219793531</v>
      </c>
      <c r="AE41" s="13">
        <v>0.078195910530925</v>
      </c>
      <c r="AF41" s="13">
        <v>0.0986400179606663</v>
      </c>
      <c r="AG41" s="13">
        <v>0.784086548010998</v>
      </c>
      <c r="AH41" s="13">
        <v>10.0</v>
      </c>
      <c r="AI41" s="13">
        <v>1.82598676402367</v>
      </c>
      <c r="AJ41" s="13">
        <v>5.3669495048871</v>
      </c>
      <c r="AK41" s="13">
        <v>2.31666775884827</v>
      </c>
      <c r="AL41" s="13">
        <v>0.801154603696138</v>
      </c>
      <c r="AM41" s="13">
        <v>1.27937147722583</v>
      </c>
      <c r="AN41" s="13">
        <v>2.59838006255746</v>
      </c>
      <c r="AO41" s="13">
        <v>1.6119491501153</v>
      </c>
      <c r="AP41" s="13">
        <v>0.90347219793531</v>
      </c>
      <c r="AQ41" s="13">
        <v>1.9157998080077</v>
      </c>
      <c r="AR41" s="13">
        <v>5.84034434925414</v>
      </c>
      <c r="AS41" s="13">
        <v>2.41668044003632</v>
      </c>
      <c r="AT41" s="13">
        <v>0.784086548010998</v>
      </c>
      <c r="AU41" s="4">
        <f t="shared" ref="AU41:AV41" si="80">(AB41-AB$36)/AB$37</f>
        <v>-0.2809935545</v>
      </c>
      <c r="AV41" s="4">
        <f t="shared" si="80"/>
        <v>-0.3297849955</v>
      </c>
      <c r="AW41" s="4">
        <f t="shared" si="5"/>
        <v>-0.09304872011</v>
      </c>
      <c r="AX41" s="4">
        <f t="shared" si="6"/>
        <v>-0.1223592744</v>
      </c>
      <c r="AY41" s="4">
        <f t="shared" si="7"/>
        <v>-0.3809072171</v>
      </c>
      <c r="AZ41" s="4">
        <f t="shared" si="8"/>
        <v>-0.3752220759</v>
      </c>
      <c r="BA41" s="4">
        <f t="shared" si="9"/>
        <v>-0.07803627095</v>
      </c>
      <c r="BB41" s="4">
        <f t="shared" si="10"/>
        <v>-0.104119089</v>
      </c>
      <c r="BC41" s="4">
        <f t="shared" si="11"/>
        <v>-0.2909024669</v>
      </c>
      <c r="BD41" s="4">
        <f t="shared" ref="BD41:BE41" si="81">((R41-R$36)/R$37)</f>
        <v>1.277671185</v>
      </c>
      <c r="BE41" s="4">
        <f t="shared" si="81"/>
        <v>1.681676586</v>
      </c>
      <c r="BF41" s="3"/>
    </row>
    <row r="42">
      <c r="A42" s="3" t="s">
        <v>77</v>
      </c>
      <c r="B42" s="4">
        <f t="shared" si="3"/>
        <v>-0.2298103837</v>
      </c>
      <c r="C42" s="3" t="s">
        <v>58</v>
      </c>
      <c r="D42" s="3" t="s">
        <v>59</v>
      </c>
      <c r="E42" s="5" t="s">
        <v>60</v>
      </c>
      <c r="F42" s="3" t="s">
        <v>61</v>
      </c>
      <c r="G42" s="12" t="s">
        <v>62</v>
      </c>
      <c r="H42" s="5" t="s">
        <v>71</v>
      </c>
      <c r="I42" s="6">
        <v>20.0</v>
      </c>
      <c r="J42" s="12" t="s">
        <v>92</v>
      </c>
      <c r="K42" s="3" t="s">
        <v>65</v>
      </c>
      <c r="L42" s="5" t="s">
        <v>73</v>
      </c>
      <c r="M42" s="3" t="s">
        <v>67</v>
      </c>
      <c r="N42" s="3" t="s">
        <v>84</v>
      </c>
      <c r="O42" s="3" t="s">
        <v>69</v>
      </c>
      <c r="P42" s="5" t="s">
        <v>70</v>
      </c>
      <c r="Q42" s="5" t="s">
        <v>81</v>
      </c>
      <c r="R42" s="13">
        <v>425.850970745086</v>
      </c>
      <c r="S42" s="13">
        <v>190.165628910064</v>
      </c>
      <c r="T42" s="13">
        <v>2.47794663351936</v>
      </c>
      <c r="U42" s="13">
        <v>9.2512514889541</v>
      </c>
      <c r="V42" s="13">
        <v>3.04158700170718</v>
      </c>
      <c r="W42" s="13">
        <v>0.647184136440698</v>
      </c>
      <c r="X42" s="13">
        <v>0.0991183293478514</v>
      </c>
      <c r="Y42" s="13">
        <v>0.0146686866909212</v>
      </c>
      <c r="Z42" s="13">
        <v>0.121114353777416</v>
      </c>
      <c r="AA42" s="13">
        <v>0.692968012237268</v>
      </c>
      <c r="AB42" s="13">
        <v>0.0989568047332293</v>
      </c>
      <c r="AC42" s="13">
        <v>0.120879045270465</v>
      </c>
      <c r="AD42" s="13">
        <v>0.695698204578695</v>
      </c>
      <c r="AE42" s="13">
        <v>0.120530014146798</v>
      </c>
      <c r="AF42" s="13">
        <v>0.14508811773463</v>
      </c>
      <c r="AG42" s="13">
        <v>0.564825414916542</v>
      </c>
      <c r="AH42" s="13">
        <v>10.0</v>
      </c>
      <c r="AI42" s="13">
        <v>2.47794663351936</v>
      </c>
      <c r="AJ42" s="13">
        <v>9.2512514889541</v>
      </c>
      <c r="AK42" s="13">
        <v>3.04158700170718</v>
      </c>
      <c r="AL42" s="13">
        <v>0.647110579376583</v>
      </c>
      <c r="AM42" s="13">
        <v>2.30761771037628</v>
      </c>
      <c r="AN42" s="13">
        <v>7.94581486284906</v>
      </c>
      <c r="AO42" s="13">
        <v>2.81883218068211</v>
      </c>
      <c r="AP42" s="13">
        <v>0.695698204578695</v>
      </c>
      <c r="AQ42" s="13">
        <v>2.81069296878438</v>
      </c>
      <c r="AR42" s="13">
        <v>11.447221661085</v>
      </c>
      <c r="AS42" s="13">
        <v>3.38337430106174</v>
      </c>
      <c r="AT42" s="13">
        <v>0.564825414916542</v>
      </c>
      <c r="AU42" s="4">
        <f t="shared" ref="AU42:AV42" si="82">(AB42-AB$36)/AB$37</f>
        <v>0.5679535158</v>
      </c>
      <c r="AV42" s="4">
        <f t="shared" si="82"/>
        <v>0.4609011557</v>
      </c>
      <c r="AW42" s="4">
        <f t="shared" si="5"/>
        <v>0.2999489848</v>
      </c>
      <c r="AX42" s="4">
        <f t="shared" si="6"/>
        <v>0.2049439806</v>
      </c>
      <c r="AY42" s="4">
        <f t="shared" si="7"/>
        <v>-0.06895823261</v>
      </c>
      <c r="AZ42" s="4">
        <f t="shared" si="8"/>
        <v>-0.1067741669</v>
      </c>
      <c r="BA42" s="4">
        <f t="shared" si="9"/>
        <v>0.1538359449</v>
      </c>
      <c r="BB42" s="4">
        <f t="shared" si="10"/>
        <v>0.1920153191</v>
      </c>
      <c r="BC42" s="4">
        <f t="shared" si="11"/>
        <v>-0.09401343485</v>
      </c>
      <c r="BD42" s="4">
        <f t="shared" ref="BD42:BE42" si="83">((R42-R$36)/R$37)</f>
        <v>0.7568620838</v>
      </c>
      <c r="BE42" s="4">
        <f t="shared" si="83"/>
        <v>0.16119907</v>
      </c>
      <c r="BF42" s="3"/>
    </row>
    <row r="43">
      <c r="A43" s="3" t="s">
        <v>57</v>
      </c>
      <c r="B43" s="4">
        <f t="shared" si="3"/>
        <v>-0.3688208439</v>
      </c>
      <c r="C43" s="3" t="s">
        <v>59</v>
      </c>
      <c r="D43" s="3" t="s">
        <v>58</v>
      </c>
      <c r="E43" s="5" t="s">
        <v>60</v>
      </c>
      <c r="F43" s="3" t="s">
        <v>78</v>
      </c>
      <c r="G43" s="5" t="s">
        <v>60</v>
      </c>
      <c r="H43" s="5" t="s">
        <v>63</v>
      </c>
      <c r="I43" s="6">
        <v>20.0</v>
      </c>
      <c r="J43" s="5" t="s">
        <v>92</v>
      </c>
      <c r="K43" s="3" t="s">
        <v>72</v>
      </c>
      <c r="L43" s="5" t="s">
        <v>66</v>
      </c>
      <c r="M43" s="3" t="s">
        <v>67</v>
      </c>
      <c r="N43" s="3" t="s">
        <v>80</v>
      </c>
      <c r="O43" s="3" t="s">
        <v>69</v>
      </c>
      <c r="P43" s="5" t="s">
        <v>76</v>
      </c>
      <c r="Q43" s="3"/>
      <c r="R43" s="7">
        <v>63.3120896816253</v>
      </c>
      <c r="S43" s="7">
        <v>122.118220329284</v>
      </c>
      <c r="T43" s="7">
        <v>2.94535341302189</v>
      </c>
      <c r="U43" s="7">
        <v>16.098534871346</v>
      </c>
      <c r="V43" s="7">
        <v>4.0122979539593</v>
      </c>
      <c r="W43" s="7">
        <v>0.517307705021059</v>
      </c>
      <c r="X43" s="7">
        <v>0.126256895435335</v>
      </c>
      <c r="Y43" s="7">
        <v>0.0266111254980457</v>
      </c>
      <c r="Z43" s="7">
        <v>0.163129168139991</v>
      </c>
      <c r="AA43" s="7">
        <v>0.410482634726532</v>
      </c>
      <c r="AB43" s="7">
        <v>0.129395281868721</v>
      </c>
      <c r="AC43" s="7">
        <v>0.165964773884851</v>
      </c>
      <c r="AD43" s="7">
        <v>0.403456988453851</v>
      </c>
      <c r="AE43" s="7">
        <v>0.121026582431602</v>
      </c>
      <c r="AF43" s="7">
        <v>0.153407022928438</v>
      </c>
      <c r="AG43" s="7">
        <v>0.497957069878791</v>
      </c>
      <c r="AH43" s="14">
        <v>10.0</v>
      </c>
      <c r="AI43" s="7">
        <v>2.94535341302189</v>
      </c>
      <c r="AJ43" s="7">
        <v>16.098534871346</v>
      </c>
      <c r="AK43" s="7">
        <v>4.0122979539593</v>
      </c>
      <c r="AL43" s="7">
        <v>0.517448119714157</v>
      </c>
      <c r="AM43" s="7">
        <v>3.46132378998829</v>
      </c>
      <c r="AN43" s="7">
        <v>19.7096725842356</v>
      </c>
      <c r="AO43" s="7">
        <v>4.43955770141977</v>
      </c>
      <c r="AP43" s="7">
        <v>0.403456988453851</v>
      </c>
      <c r="AQ43" s="7">
        <v>3.23746108004535</v>
      </c>
      <c r="AR43" s="7">
        <v>16.8398437134025</v>
      </c>
      <c r="AS43" s="7">
        <v>4.10363786333572</v>
      </c>
      <c r="AT43" s="7">
        <v>0.497957069878791</v>
      </c>
      <c r="AU43" s="4">
        <f t="shared" ref="AU43:AV43" si="84">(AB43-AB$36)/AB$37</f>
        <v>1.120841933</v>
      </c>
      <c r="AV43" s="4">
        <f t="shared" si="84"/>
        <v>1.108056102</v>
      </c>
      <c r="AW43" s="4">
        <f t="shared" si="5"/>
        <v>0.4873667634</v>
      </c>
      <c r="AX43" s="4">
        <f t="shared" si="6"/>
        <v>0.448810853</v>
      </c>
      <c r="AY43" s="4">
        <f t="shared" si="7"/>
        <v>0.1546860084</v>
      </c>
      <c r="AZ43" s="4">
        <f t="shared" si="8"/>
        <v>0.2526939091</v>
      </c>
      <c r="BA43" s="4">
        <f t="shared" si="9"/>
        <v>0.4799721338</v>
      </c>
      <c r="BB43" s="4">
        <f t="shared" si="10"/>
        <v>0.282327804</v>
      </c>
      <c r="BC43" s="4">
        <f t="shared" si="11"/>
        <v>0.0717126703</v>
      </c>
      <c r="BD43" s="4">
        <f t="shared" ref="BD43:BE43" si="85">((R43-R$36)/R$37)</f>
        <v>-0.04785934045</v>
      </c>
      <c r="BE43" s="4">
        <f t="shared" si="85"/>
        <v>-0.3015795542</v>
      </c>
      <c r="BF43" s="3"/>
    </row>
    <row r="44">
      <c r="A44" s="3" t="s">
        <v>57</v>
      </c>
      <c r="B44" s="4">
        <f t="shared" si="3"/>
        <v>-0.2549427457</v>
      </c>
      <c r="C44" s="3" t="s">
        <v>59</v>
      </c>
      <c r="D44" s="3" t="s">
        <v>58</v>
      </c>
      <c r="E44" s="5" t="s">
        <v>60</v>
      </c>
      <c r="F44" s="3" t="s">
        <v>61</v>
      </c>
      <c r="G44" s="5" t="s">
        <v>62</v>
      </c>
      <c r="H44" s="5" t="s">
        <v>63</v>
      </c>
      <c r="I44" s="6">
        <v>20.0</v>
      </c>
      <c r="J44" s="5" t="s">
        <v>92</v>
      </c>
      <c r="K44" s="3" t="s">
        <v>65</v>
      </c>
      <c r="L44" s="5" t="s">
        <v>73</v>
      </c>
      <c r="M44" s="3" t="s">
        <v>67</v>
      </c>
      <c r="N44" s="3" t="s">
        <v>80</v>
      </c>
      <c r="O44" s="3" t="s">
        <v>69</v>
      </c>
      <c r="P44" s="5" t="s">
        <v>81</v>
      </c>
      <c r="Q44" s="5" t="s">
        <v>81</v>
      </c>
      <c r="R44" s="7">
        <v>556.308709859848</v>
      </c>
      <c r="S44" s="7">
        <v>143.86995267868</v>
      </c>
      <c r="T44" s="7">
        <v>2.79232814057995</v>
      </c>
      <c r="U44" s="7">
        <v>12.1877233884057</v>
      </c>
      <c r="V44" s="7">
        <v>3.49109200514763</v>
      </c>
      <c r="W44" s="7">
        <v>0.640655427503775</v>
      </c>
      <c r="X44" s="7">
        <v>0.0902386928840339</v>
      </c>
      <c r="Y44" s="7">
        <v>0.012307775468238</v>
      </c>
      <c r="Z44" s="7">
        <v>0.110940414043927</v>
      </c>
      <c r="AA44" s="7">
        <v>0.737110437281366</v>
      </c>
      <c r="AB44" s="7">
        <v>0.0905065483854002</v>
      </c>
      <c r="AC44" s="7">
        <v>0.11105513770552</v>
      </c>
      <c r="AD44" s="7">
        <v>0.738661819841307</v>
      </c>
      <c r="AE44" s="7">
        <v>0.116177941550179</v>
      </c>
      <c r="AF44" s="7">
        <v>0.145664866868301</v>
      </c>
      <c r="AG44" s="7">
        <v>0.553953842233135</v>
      </c>
      <c r="AH44" s="14">
        <v>10.0</v>
      </c>
      <c r="AI44" s="7">
        <v>2.79232814057996</v>
      </c>
      <c r="AJ44" s="7">
        <v>12.1877233884057</v>
      </c>
      <c r="AK44" s="7">
        <v>3.49109200514763</v>
      </c>
      <c r="AL44" s="7">
        <v>0.640531907358306</v>
      </c>
      <c r="AM44" s="7">
        <v>2.42105016930945</v>
      </c>
      <c r="AN44" s="7">
        <v>8.8252066312475</v>
      </c>
      <c r="AO44" s="7">
        <v>2.97072493362268</v>
      </c>
      <c r="AP44" s="7">
        <v>0.738661819841307</v>
      </c>
      <c r="AQ44" s="7">
        <v>3.10775993646731</v>
      </c>
      <c r="AR44" s="7">
        <v>15.1829864769882</v>
      </c>
      <c r="AS44" s="7">
        <v>3.89653518872706</v>
      </c>
      <c r="AT44" s="7">
        <v>0.553953842233135</v>
      </c>
      <c r="AU44" s="4">
        <f t="shared" ref="AU44:AV44" si="86">(AB44-AB$36)/AB$37</f>
        <v>0.4144619716</v>
      </c>
      <c r="AV44" s="4">
        <f t="shared" si="86"/>
        <v>0.3198900071</v>
      </c>
      <c r="AW44" s="4">
        <f t="shared" si="5"/>
        <v>0.4304077274</v>
      </c>
      <c r="AX44" s="4">
        <f t="shared" si="6"/>
        <v>0.3786900192</v>
      </c>
      <c r="AY44" s="4">
        <f t="shared" si="7"/>
        <v>0.08146665771</v>
      </c>
      <c r="AZ44" s="4">
        <f t="shared" si="8"/>
        <v>0.05968393101</v>
      </c>
      <c r="BA44" s="4">
        <f t="shared" si="9"/>
        <v>0.1058892865</v>
      </c>
      <c r="BB44" s="4">
        <f t="shared" si="10"/>
        <v>0.2066984811</v>
      </c>
      <c r="BC44" s="4">
        <f t="shared" si="11"/>
        <v>-0.08560500504</v>
      </c>
      <c r="BD44" s="4">
        <f t="shared" ref="BD44:BE44" si="87">((R44-R$36)/R$37)</f>
        <v>1.046436921</v>
      </c>
      <c r="BE44" s="4">
        <f t="shared" si="87"/>
        <v>-0.1536497949</v>
      </c>
      <c r="BF44" s="3"/>
    </row>
    <row r="45">
      <c r="A45" s="3" t="s">
        <v>57</v>
      </c>
      <c r="B45" s="4">
        <f t="shared" si="3"/>
        <v>-0.3068384692</v>
      </c>
      <c r="C45" s="3" t="s">
        <v>58</v>
      </c>
      <c r="D45" s="3" t="s">
        <v>59</v>
      </c>
      <c r="E45" s="5" t="s">
        <v>82</v>
      </c>
      <c r="F45" s="3" t="s">
        <v>78</v>
      </c>
      <c r="G45" s="12" t="s">
        <v>88</v>
      </c>
      <c r="H45" s="5" t="s">
        <v>63</v>
      </c>
      <c r="I45" s="6">
        <v>20.0</v>
      </c>
      <c r="J45" s="12" t="s">
        <v>92</v>
      </c>
      <c r="K45" s="3" t="s">
        <v>65</v>
      </c>
      <c r="L45" s="5" t="s">
        <v>66</v>
      </c>
      <c r="M45" s="3" t="s">
        <v>67</v>
      </c>
      <c r="N45" s="3" t="s">
        <v>80</v>
      </c>
      <c r="O45" s="3" t="s">
        <v>69</v>
      </c>
      <c r="P45" s="5" t="s">
        <v>75</v>
      </c>
      <c r="Q45" s="3"/>
      <c r="R45" s="13">
        <v>429.737086057662</v>
      </c>
      <c r="S45" s="13">
        <v>402.887254476547</v>
      </c>
      <c r="T45" s="13">
        <v>2.51133858684843</v>
      </c>
      <c r="U45" s="13">
        <v>9.64708632475311</v>
      </c>
      <c r="V45" s="13">
        <v>3.10597590537227</v>
      </c>
      <c r="W45" s="13">
        <v>0.641571141478529</v>
      </c>
      <c r="X45" s="13">
        <v>0.0862615987066653</v>
      </c>
      <c r="Y45" s="13">
        <v>0.0108685739297156</v>
      </c>
      <c r="Z45" s="13">
        <v>0.104252452871458</v>
      </c>
      <c r="AA45" s="13">
        <v>0.75312784747868</v>
      </c>
      <c r="AB45" s="13">
        <v>0.0861244511488195</v>
      </c>
      <c r="AC45" s="13">
        <v>0.103850788552814</v>
      </c>
      <c r="AD45" s="13">
        <v>0.757426217336472</v>
      </c>
      <c r="AE45" s="13">
        <v>0.108234225107339</v>
      </c>
      <c r="AF45" s="13">
        <v>0.136922963364192</v>
      </c>
      <c r="AG45" s="13">
        <v>0.586377842739359</v>
      </c>
      <c r="AH45" s="13">
        <v>10.0</v>
      </c>
      <c r="AI45" s="13">
        <v>2.5113385868483</v>
      </c>
      <c r="AJ45" s="13">
        <v>9.64708632475311</v>
      </c>
      <c r="AK45" s="13">
        <v>3.10597590537227</v>
      </c>
      <c r="AL45" s="13">
        <v>0.641454890357605</v>
      </c>
      <c r="AM45" s="13">
        <v>2.11004905314613</v>
      </c>
      <c r="AN45" s="13">
        <v>6.47368801639558</v>
      </c>
      <c r="AO45" s="13">
        <v>2.54434431954395</v>
      </c>
      <c r="AP45" s="13">
        <v>0.757426217336472</v>
      </c>
      <c r="AQ45" s="13">
        <v>2.65173851512967</v>
      </c>
      <c r="AR45" s="13">
        <v>11.2534257123332</v>
      </c>
      <c r="AS45" s="13">
        <v>3.35461260242271</v>
      </c>
      <c r="AT45" s="13">
        <v>0.586377842739359</v>
      </c>
      <c r="AU45" s="4">
        <f t="shared" ref="AU45:AV45" si="88">(AB45-AB$36)/AB$37</f>
        <v>0.3348649933</v>
      </c>
      <c r="AV45" s="4">
        <f t="shared" si="88"/>
        <v>0.2164796745</v>
      </c>
      <c r="AW45" s="4">
        <f t="shared" si="5"/>
        <v>0.2301431821</v>
      </c>
      <c r="AX45" s="4">
        <f t="shared" si="6"/>
        <v>0.1952058433</v>
      </c>
      <c r="AY45" s="4">
        <f t="shared" si="7"/>
        <v>-0.05298089042</v>
      </c>
      <c r="AZ45" s="4">
        <f t="shared" si="8"/>
        <v>-0.08293003979</v>
      </c>
      <c r="BA45" s="4">
        <f t="shared" si="9"/>
        <v>0.08494854051</v>
      </c>
      <c r="BB45" s="4">
        <f t="shared" si="10"/>
        <v>0.1629065784</v>
      </c>
      <c r="BC45" s="4">
        <f t="shared" si="11"/>
        <v>-0.08678470176</v>
      </c>
      <c r="BD45" s="4">
        <f t="shared" ref="BD45:BE45" si="89">((R45-R$36)/R$37)</f>
        <v>0.7654880283</v>
      </c>
      <c r="BE45" s="4">
        <f t="shared" si="89"/>
        <v>1.607881953</v>
      </c>
      <c r="BF45" s="3"/>
    </row>
    <row r="46">
      <c r="A46" s="3" t="s">
        <v>77</v>
      </c>
      <c r="B46" s="4">
        <f t="shared" si="3"/>
        <v>-0.197640487</v>
      </c>
      <c r="C46" s="3" t="s">
        <v>58</v>
      </c>
      <c r="D46" s="3" t="s">
        <v>59</v>
      </c>
      <c r="E46" s="5" t="s">
        <v>60</v>
      </c>
      <c r="F46" s="3" t="s">
        <v>78</v>
      </c>
      <c r="G46" s="12" t="s">
        <v>60</v>
      </c>
      <c r="H46" s="5" t="s">
        <v>63</v>
      </c>
      <c r="I46" s="6">
        <v>20.0</v>
      </c>
      <c r="J46" s="12" t="s">
        <v>92</v>
      </c>
      <c r="K46" s="3" t="s">
        <v>65</v>
      </c>
      <c r="L46" s="5" t="s">
        <v>73</v>
      </c>
      <c r="M46" s="3" t="s">
        <v>67</v>
      </c>
      <c r="N46" s="3" t="s">
        <v>84</v>
      </c>
      <c r="O46" s="3" t="s">
        <v>69</v>
      </c>
      <c r="P46" s="5" t="s">
        <v>70</v>
      </c>
      <c r="Q46" s="5" t="s">
        <v>70</v>
      </c>
      <c r="R46" s="13">
        <v>762.528671026229</v>
      </c>
      <c r="S46" s="13">
        <v>170.922168254852</v>
      </c>
      <c r="T46" s="13">
        <v>2.23905107059175</v>
      </c>
      <c r="U46" s="13">
        <v>8.49615058208479</v>
      </c>
      <c r="V46" s="13">
        <v>2.91481570293643</v>
      </c>
      <c r="W46" s="13">
        <v>0.673524443689894</v>
      </c>
      <c r="X46" s="13">
        <v>0.0863868246879989</v>
      </c>
      <c r="Y46" s="13">
        <v>0.0120549436024176</v>
      </c>
      <c r="Z46" s="13">
        <v>0.109795007183467</v>
      </c>
      <c r="AA46" s="13">
        <v>0.742601881137164</v>
      </c>
      <c r="AB46" s="13">
        <v>0.0855032259970965</v>
      </c>
      <c r="AC46" s="13">
        <v>0.108850344288268</v>
      </c>
      <c r="AD46" s="13">
        <v>0.749718276545127</v>
      </c>
      <c r="AE46" s="13">
        <v>0.103049433800944</v>
      </c>
      <c r="AF46" s="13">
        <v>0.137574511172658</v>
      </c>
      <c r="AG46" s="13">
        <v>0.60924901286098</v>
      </c>
      <c r="AH46" s="13">
        <v>10.0</v>
      </c>
      <c r="AI46" s="13">
        <v>2.23905107059175</v>
      </c>
      <c r="AJ46" s="13">
        <v>8.49615058208479</v>
      </c>
      <c r="AK46" s="13">
        <v>2.91481570293643</v>
      </c>
      <c r="AL46" s="13">
        <v>0.673248967099533</v>
      </c>
      <c r="AM46" s="13">
        <v>1.99388772846009</v>
      </c>
      <c r="AN46" s="13">
        <v>6.44311693683755</v>
      </c>
      <c r="AO46" s="13">
        <v>2.53832955638891</v>
      </c>
      <c r="AP46" s="13">
        <v>0.749718276545127</v>
      </c>
      <c r="AQ46" s="13">
        <v>2.40305554655256</v>
      </c>
      <c r="AR46" s="13">
        <v>10.2922980943794</v>
      </c>
      <c r="AS46" s="13">
        <v>3.2081611702624</v>
      </c>
      <c r="AT46" s="13">
        <v>0.60924901286098</v>
      </c>
      <c r="AU46" s="4">
        <f t="shared" ref="AU46:AV46" si="90">(AB46-AB$36)/AB$37</f>
        <v>0.3235809797</v>
      </c>
      <c r="AV46" s="4">
        <f t="shared" si="90"/>
        <v>0.2882426763</v>
      </c>
      <c r="AW46" s="4">
        <f t="shared" si="5"/>
        <v>0.1209325632</v>
      </c>
      <c r="AX46" s="4">
        <f t="shared" si="6"/>
        <v>0.1456203102</v>
      </c>
      <c r="AY46" s="4">
        <f t="shared" si="7"/>
        <v>-0.183264698</v>
      </c>
      <c r="AZ46" s="4">
        <f t="shared" si="8"/>
        <v>-0.1537193824</v>
      </c>
      <c r="BA46" s="4">
        <f t="shared" si="9"/>
        <v>0.09355047034</v>
      </c>
      <c r="BB46" s="4">
        <f t="shared" si="10"/>
        <v>0.1320167425</v>
      </c>
      <c r="BC46" s="4">
        <f t="shared" si="11"/>
        <v>-0.1274218185</v>
      </c>
      <c r="BD46" s="4">
        <f t="shared" ref="BD46:BE46" si="91">((R46-R$36)/R$37)</f>
        <v>1.504179882</v>
      </c>
      <c r="BE46" s="4">
        <f t="shared" si="91"/>
        <v>0.03032763153</v>
      </c>
      <c r="BF46" s="3"/>
    </row>
    <row r="47">
      <c r="A47" s="3" t="s">
        <v>77</v>
      </c>
      <c r="B47" s="4">
        <f t="shared" si="3"/>
        <v>-0.3409080171</v>
      </c>
      <c r="C47" s="3" t="s">
        <v>59</v>
      </c>
      <c r="D47" s="3" t="s">
        <v>58</v>
      </c>
      <c r="E47" s="5" t="s">
        <v>82</v>
      </c>
      <c r="F47" s="3" t="s">
        <v>61</v>
      </c>
      <c r="G47" s="5" t="s">
        <v>83</v>
      </c>
      <c r="H47" s="5" t="s">
        <v>71</v>
      </c>
      <c r="I47" s="6">
        <v>20.0</v>
      </c>
      <c r="J47" s="5" t="s">
        <v>92</v>
      </c>
      <c r="K47" s="3" t="s">
        <v>72</v>
      </c>
      <c r="L47" s="5" t="s">
        <v>66</v>
      </c>
      <c r="M47" s="3" t="s">
        <v>74</v>
      </c>
      <c r="N47" s="3" t="s">
        <v>80</v>
      </c>
      <c r="O47" s="3" t="s">
        <v>69</v>
      </c>
      <c r="P47" s="5" t="s">
        <v>76</v>
      </c>
      <c r="Q47" s="3"/>
      <c r="R47" s="7">
        <v>696.909157037735</v>
      </c>
      <c r="S47" s="7">
        <v>328.696696996688</v>
      </c>
      <c r="T47" s="7">
        <v>2.74104695311483</v>
      </c>
      <c r="U47" s="7">
        <v>11.6581960305276</v>
      </c>
      <c r="V47" s="7">
        <v>3.41441005600201</v>
      </c>
      <c r="W47" s="7">
        <v>0.64833211134728</v>
      </c>
      <c r="X47" s="7">
        <v>0.0809594393934266</v>
      </c>
      <c r="Y47" s="7">
        <v>0.00966419054634683</v>
      </c>
      <c r="Z47" s="7">
        <v>0.0983066149673908</v>
      </c>
      <c r="AA47" s="7">
        <v>0.773937267115207</v>
      </c>
      <c r="AB47" s="7">
        <v>0.0812706747967966</v>
      </c>
      <c r="AC47" s="7">
        <v>0.0985054480912525</v>
      </c>
      <c r="AD47" s="7">
        <v>0.774816127597768</v>
      </c>
      <c r="AE47" s="7">
        <v>0.106993042531276</v>
      </c>
      <c r="AF47" s="7">
        <v>0.134065809795683</v>
      </c>
      <c r="AG47" s="7">
        <v>0.586659958244872</v>
      </c>
      <c r="AH47" s="14">
        <v>10.0</v>
      </c>
      <c r="AI47" s="7">
        <v>2.74104695311481</v>
      </c>
      <c r="AJ47" s="7">
        <v>11.6581960305276</v>
      </c>
      <c r="AK47" s="7">
        <v>3.41441005600201</v>
      </c>
      <c r="AL47" s="7">
        <v>0.648216219851226</v>
      </c>
      <c r="AM47" s="7">
        <v>2.24848866937798</v>
      </c>
      <c r="AN47" s="7">
        <v>7.42735491543369</v>
      </c>
      <c r="AO47" s="7">
        <v>2.72531739719132</v>
      </c>
      <c r="AP47" s="7">
        <v>0.774816127597768</v>
      </c>
      <c r="AQ47" s="7">
        <v>2.96014084336533</v>
      </c>
      <c r="AR47" s="7">
        <v>13.7578239225191</v>
      </c>
      <c r="AS47" s="7">
        <v>3.70915407101391</v>
      </c>
      <c r="AT47" s="7">
        <v>0.586659958244872</v>
      </c>
      <c r="AU47" s="4">
        <f t="shared" ref="AU47:AV47" si="92">(AB47-AB$36)/AB$37</f>
        <v>0.2467003748</v>
      </c>
      <c r="AV47" s="4">
        <f t="shared" si="92"/>
        <v>0.1397533216</v>
      </c>
      <c r="AW47" s="4">
        <f t="shared" si="5"/>
        <v>0.3655799163</v>
      </c>
      <c r="AX47" s="4">
        <f t="shared" si="6"/>
        <v>0.3152465111</v>
      </c>
      <c r="AY47" s="4">
        <f t="shared" si="7"/>
        <v>0.056929696</v>
      </c>
      <c r="AZ47" s="4">
        <f t="shared" si="8"/>
        <v>0.03128751428</v>
      </c>
      <c r="BA47" s="4">
        <f t="shared" si="9"/>
        <v>0.06554169868</v>
      </c>
      <c r="BB47" s="4">
        <f t="shared" si="10"/>
        <v>0.1625255528</v>
      </c>
      <c r="BC47" s="4">
        <f t="shared" si="11"/>
        <v>-0.09542659244</v>
      </c>
      <c r="BD47" s="4">
        <f t="shared" ref="BD47:BE47" si="93">((R47-R$36)/R$37)</f>
        <v>1.358525357</v>
      </c>
      <c r="BE47" s="4">
        <f t="shared" si="93"/>
        <v>1.103324839</v>
      </c>
      <c r="BF47" s="3"/>
    </row>
    <row r="48">
      <c r="A48" s="3" t="s">
        <v>57</v>
      </c>
      <c r="B48" s="4">
        <f t="shared" si="3"/>
        <v>-0.282484506</v>
      </c>
      <c r="C48" s="3" t="s">
        <v>59</v>
      </c>
      <c r="D48" s="3" t="s">
        <v>58</v>
      </c>
      <c r="E48" s="5" t="s">
        <v>82</v>
      </c>
      <c r="F48" s="3" t="s">
        <v>61</v>
      </c>
      <c r="G48" s="5" t="s">
        <v>83</v>
      </c>
      <c r="H48" s="5" t="s">
        <v>71</v>
      </c>
      <c r="I48" s="6">
        <v>20.0</v>
      </c>
      <c r="J48" s="5" t="s">
        <v>92</v>
      </c>
      <c r="K48" s="3" t="s">
        <v>65</v>
      </c>
      <c r="L48" s="5" t="s">
        <v>66</v>
      </c>
      <c r="M48" s="3" t="s">
        <v>67</v>
      </c>
      <c r="N48" s="3" t="s">
        <v>80</v>
      </c>
      <c r="O48" s="3" t="s">
        <v>69</v>
      </c>
      <c r="P48" s="5" t="s">
        <v>81</v>
      </c>
      <c r="Q48" s="3"/>
      <c r="R48" s="7">
        <v>1024.99970555305</v>
      </c>
      <c r="S48" s="7">
        <v>331.63477897644</v>
      </c>
      <c r="T48" s="7">
        <v>2.40659841841038</v>
      </c>
      <c r="U48" s="7">
        <v>9.27775792480616</v>
      </c>
      <c r="V48" s="7">
        <v>3.04594122149561</v>
      </c>
      <c r="W48" s="7">
        <v>0.720128326121473</v>
      </c>
      <c r="X48" s="7">
        <v>0.0675433913881869</v>
      </c>
      <c r="Y48" s="7">
        <v>0.00687632891761355</v>
      </c>
      <c r="Z48" s="7">
        <v>0.0829236330463972</v>
      </c>
      <c r="AA48" s="7">
        <v>0.839150345817833</v>
      </c>
      <c r="AB48" s="7">
        <v>0.0677373201027453</v>
      </c>
      <c r="AC48" s="7">
        <v>0.0830123885199232</v>
      </c>
      <c r="AD48" s="7">
        <v>0.840080066145402</v>
      </c>
      <c r="AE48" s="7">
        <v>0.0923768627479083</v>
      </c>
      <c r="AF48" s="7">
        <v>0.117537774923047</v>
      </c>
      <c r="AG48" s="7">
        <v>0.682293326550796</v>
      </c>
      <c r="AH48" s="14">
        <v>10.0</v>
      </c>
      <c r="AI48" s="7">
        <v>2.40659841841037</v>
      </c>
      <c r="AJ48" s="7">
        <v>9.27775792480616</v>
      </c>
      <c r="AK48" s="7">
        <v>3.0459412214956</v>
      </c>
      <c r="AL48" s="7">
        <v>0.720045473112032</v>
      </c>
      <c r="AM48" s="7">
        <v>1.87406585617592</v>
      </c>
      <c r="AN48" s="7">
        <v>5.27472102739718</v>
      </c>
      <c r="AO48" s="7">
        <v>2.29667608238453</v>
      </c>
      <c r="AP48" s="7">
        <v>0.840080066145402</v>
      </c>
      <c r="AQ48" s="7">
        <v>2.55575986935875</v>
      </c>
      <c r="AR48" s="7">
        <v>10.5747133855298</v>
      </c>
      <c r="AS48" s="7">
        <v>3.25187843953765</v>
      </c>
      <c r="AT48" s="7">
        <v>0.682293326550796</v>
      </c>
      <c r="AU48" s="4">
        <f t="shared" ref="AU48:AV48" si="94">(AB48-AB$36)/AB$37</f>
        <v>0.0008787780308</v>
      </c>
      <c r="AV48" s="4">
        <f t="shared" si="94"/>
        <v>-0.08263213049</v>
      </c>
      <c r="AW48" s="4">
        <f t="shared" si="5"/>
        <v>0.1879935835</v>
      </c>
      <c r="AX48" s="4">
        <f t="shared" si="6"/>
        <v>0.1604221053</v>
      </c>
      <c r="AY48" s="4">
        <f t="shared" si="7"/>
        <v>-0.1030968419</v>
      </c>
      <c r="AZ48" s="4">
        <f t="shared" si="8"/>
        <v>-0.1051617373</v>
      </c>
      <c r="BA48" s="4">
        <f t="shared" si="9"/>
        <v>-0.007291738267</v>
      </c>
      <c r="BB48" s="4">
        <f t="shared" si="10"/>
        <v>0.03336298527</v>
      </c>
      <c r="BC48" s="4">
        <f t="shared" si="11"/>
        <v>-0.1872340625</v>
      </c>
      <c r="BD48" s="4">
        <f t="shared" ref="BD48:BE48" si="95">((R48-R$36)/R$37)</f>
        <v>2.0867824</v>
      </c>
      <c r="BE48" s="4">
        <f t="shared" si="95"/>
        <v>1.123306225</v>
      </c>
      <c r="BF48" s="3"/>
    </row>
    <row r="49">
      <c r="A49" s="3" t="s">
        <v>77</v>
      </c>
      <c r="B49" s="4">
        <f t="shared" si="3"/>
        <v>-0.3412086056</v>
      </c>
      <c r="C49" s="3" t="s">
        <v>58</v>
      </c>
      <c r="D49" s="3" t="s">
        <v>59</v>
      </c>
      <c r="E49" s="5" t="s">
        <v>82</v>
      </c>
      <c r="F49" s="3" t="s">
        <v>78</v>
      </c>
      <c r="G49" s="12" t="s">
        <v>88</v>
      </c>
      <c r="H49" s="5" t="s">
        <v>71</v>
      </c>
      <c r="I49" s="6">
        <v>20.0</v>
      </c>
      <c r="J49" s="12" t="s">
        <v>92</v>
      </c>
      <c r="K49" s="3" t="s">
        <v>65</v>
      </c>
      <c r="L49" s="5" t="s">
        <v>73</v>
      </c>
      <c r="M49" s="3" t="s">
        <v>79</v>
      </c>
      <c r="N49" s="3" t="s">
        <v>68</v>
      </c>
      <c r="O49" s="3" t="s">
        <v>69</v>
      </c>
      <c r="P49" s="5" t="s">
        <v>75</v>
      </c>
      <c r="Q49" s="5" t="s">
        <v>70</v>
      </c>
      <c r="R49" s="13">
        <v>1031.76707935333</v>
      </c>
      <c r="S49" s="13">
        <v>456.525387525558</v>
      </c>
      <c r="T49" s="13">
        <v>2.11220919566846</v>
      </c>
      <c r="U49" s="13">
        <v>7.20460628169976</v>
      </c>
      <c r="V49" s="13">
        <v>2.68413976567908</v>
      </c>
      <c r="W49" s="13">
        <v>0.733023692263028</v>
      </c>
      <c r="X49" s="13">
        <v>0.071684691570284</v>
      </c>
      <c r="Y49" s="13">
        <v>0.00781641696592492</v>
      </c>
      <c r="Z49" s="13">
        <v>0.0884105025770407</v>
      </c>
      <c r="AA49" s="13">
        <v>0.822582795252021</v>
      </c>
      <c r="AB49" s="13">
        <v>0.0716849885530764</v>
      </c>
      <c r="AC49" s="13">
        <v>0.0881602360634795</v>
      </c>
      <c r="AD49" s="13">
        <v>0.82536001728554</v>
      </c>
      <c r="AE49" s="13">
        <v>0.0987331513194772</v>
      </c>
      <c r="AF49" s="13">
        <v>0.124990950774826</v>
      </c>
      <c r="AG49" s="13">
        <v>0.656448751620275</v>
      </c>
      <c r="AH49" s="13">
        <v>10.0</v>
      </c>
      <c r="AI49" s="13">
        <v>2.11220919566841</v>
      </c>
      <c r="AJ49" s="13">
        <v>7.20460628169976</v>
      </c>
      <c r="AK49" s="13">
        <v>2.68413976567908</v>
      </c>
      <c r="AL49" s="13">
        <v>0.732748898185527</v>
      </c>
      <c r="AM49" s="13">
        <v>1.75628221955042</v>
      </c>
      <c r="AN49" s="13">
        <v>4.66527939046673</v>
      </c>
      <c r="AO49" s="13">
        <v>2.15992578355524</v>
      </c>
      <c r="AP49" s="13">
        <v>0.82536001728554</v>
      </c>
      <c r="AQ49" s="13">
        <v>2.41896220732716</v>
      </c>
      <c r="AR49" s="13">
        <v>9.37754834980094</v>
      </c>
      <c r="AS49" s="13">
        <v>3.06227829398324</v>
      </c>
      <c r="AT49" s="13">
        <v>0.656448751620275</v>
      </c>
      <c r="AU49" s="4">
        <f t="shared" ref="AU49:AV49" si="96">(AB49-AB$36)/AB$37</f>
        <v>0.07258473595</v>
      </c>
      <c r="AV49" s="4">
        <f t="shared" si="96"/>
        <v>-0.008740566448</v>
      </c>
      <c r="AW49" s="4">
        <f t="shared" si="5"/>
        <v>0.1279180688</v>
      </c>
      <c r="AX49" s="4">
        <f t="shared" si="6"/>
        <v>0.09622727873</v>
      </c>
      <c r="AY49" s="4">
        <f t="shared" si="7"/>
        <v>-0.2439558477</v>
      </c>
      <c r="AZ49" s="4">
        <f t="shared" si="8"/>
        <v>-0.2391419638</v>
      </c>
      <c r="BA49" s="4">
        <f t="shared" si="9"/>
        <v>0.009135583994</v>
      </c>
      <c r="BB49" s="4">
        <f t="shared" si="10"/>
        <v>0.06826870609</v>
      </c>
      <c r="BC49" s="4">
        <f t="shared" si="11"/>
        <v>-0.2034707524</v>
      </c>
      <c r="BD49" s="4">
        <f t="shared" ref="BD49:BE49" si="97">((R49-R$36)/R$37)</f>
        <v>2.101803825</v>
      </c>
      <c r="BE49" s="4">
        <f t="shared" si="97"/>
        <v>1.972665594</v>
      </c>
      <c r="BF49" s="3"/>
    </row>
    <row r="50">
      <c r="A50" s="3" t="s">
        <v>77</v>
      </c>
      <c r="B50" s="4">
        <f t="shared" si="3"/>
        <v>-0.4623521221</v>
      </c>
      <c r="C50" s="3" t="s">
        <v>59</v>
      </c>
      <c r="D50" s="3" t="s">
        <v>58</v>
      </c>
      <c r="E50" s="5" t="s">
        <v>60</v>
      </c>
      <c r="F50" s="3" t="s">
        <v>61</v>
      </c>
      <c r="G50" s="5" t="s">
        <v>62</v>
      </c>
      <c r="H50" s="5" t="s">
        <v>63</v>
      </c>
      <c r="I50" s="6">
        <v>20.0</v>
      </c>
      <c r="J50" s="5" t="s">
        <v>92</v>
      </c>
      <c r="K50" s="3" t="s">
        <v>72</v>
      </c>
      <c r="L50" s="5" t="s">
        <v>66</v>
      </c>
      <c r="M50" s="3" t="s">
        <v>67</v>
      </c>
      <c r="N50" s="3" t="s">
        <v>84</v>
      </c>
      <c r="O50" s="3" t="s">
        <v>69</v>
      </c>
      <c r="P50" s="5" t="s">
        <v>76</v>
      </c>
      <c r="Q50" s="3"/>
      <c r="R50" s="7">
        <v>64.2373027801513</v>
      </c>
      <c r="S50" s="7">
        <v>125.569796323776</v>
      </c>
      <c r="T50" s="7">
        <v>4.04784215653578</v>
      </c>
      <c r="U50" s="7">
        <v>28.9493714363019</v>
      </c>
      <c r="V50" s="7">
        <v>5.38046200955847</v>
      </c>
      <c r="W50" s="7">
        <v>0.146238337327382</v>
      </c>
      <c r="X50" s="7">
        <v>0.0836677560366405</v>
      </c>
      <c r="Y50" s="7">
        <v>0.0117941854661794</v>
      </c>
      <c r="Z50" s="7">
        <v>0.108601038052955</v>
      </c>
      <c r="AA50" s="7">
        <v>0.748080531057149</v>
      </c>
      <c r="AB50" s="7">
        <v>0.0844301155652626</v>
      </c>
      <c r="AC50" s="7">
        <v>0.109340539703041</v>
      </c>
      <c r="AD50" s="7">
        <v>0.746669209052397</v>
      </c>
      <c r="AE50" s="7">
        <v>0.159323582865591</v>
      </c>
      <c r="AF50" s="7">
        <v>0.20859873095715</v>
      </c>
      <c r="AG50" s="7">
        <v>0.085268796214599</v>
      </c>
      <c r="AH50" s="14">
        <v>10.0</v>
      </c>
      <c r="AI50" s="7">
        <v>4.04784215653578</v>
      </c>
      <c r="AJ50" s="7">
        <v>28.9493714363019</v>
      </c>
      <c r="AK50" s="7">
        <v>5.38046200955847</v>
      </c>
      <c r="AL50" s="7">
        <v>0.146159212697338</v>
      </c>
      <c r="AM50" s="7">
        <v>2.25850559137077</v>
      </c>
      <c r="AN50" s="7">
        <v>8.5548027265376</v>
      </c>
      <c r="AO50" s="7">
        <v>2.92485943705635</v>
      </c>
      <c r="AP50" s="7">
        <v>0.746669209052397</v>
      </c>
      <c r="AQ50" s="7">
        <v>4.26190584165459</v>
      </c>
      <c r="AR50" s="7">
        <v>31.1365791528956</v>
      </c>
      <c r="AS50" s="7">
        <v>5.58001605310375</v>
      </c>
      <c r="AT50" s="7">
        <v>0.085268796214599</v>
      </c>
      <c r="AU50" s="4">
        <f t="shared" ref="AU50:AV50" si="98">(AB50-AB$36)/AB$37</f>
        <v>0.3040888637</v>
      </c>
      <c r="AV50" s="4">
        <f t="shared" si="98"/>
        <v>0.2952788804</v>
      </c>
      <c r="AW50" s="4">
        <f t="shared" si="5"/>
        <v>0.9372578317</v>
      </c>
      <c r="AX50" s="4">
        <f t="shared" si="6"/>
        <v>0.9486830531</v>
      </c>
      <c r="AY50" s="4">
        <f t="shared" si="7"/>
        <v>0.6822035137</v>
      </c>
      <c r="AZ50" s="4">
        <f t="shared" si="8"/>
        <v>0.7593445237</v>
      </c>
      <c r="BA50" s="4">
        <f t="shared" si="9"/>
        <v>0.09695317741</v>
      </c>
      <c r="BB50" s="4">
        <f t="shared" si="10"/>
        <v>0.839705192</v>
      </c>
      <c r="BC50" s="4">
        <f t="shared" si="11"/>
        <v>0.5462699524</v>
      </c>
      <c r="BD50" s="4">
        <f t="shared" ref="BD50:BE50" si="99">((R50-R$36)/R$37)</f>
        <v>-0.04580566058</v>
      </c>
      <c r="BE50" s="4">
        <f t="shared" si="99"/>
        <v>-0.2781059845</v>
      </c>
      <c r="BF50" s="3"/>
    </row>
    <row r="51">
      <c r="A51" s="3" t="s">
        <v>77</v>
      </c>
      <c r="B51" s="4">
        <f t="shared" si="3"/>
        <v>-0.4795329682</v>
      </c>
      <c r="C51" s="3" t="s">
        <v>59</v>
      </c>
      <c r="D51" s="3" t="s">
        <v>58</v>
      </c>
      <c r="E51" s="5" t="s">
        <v>82</v>
      </c>
      <c r="F51" s="3" t="s">
        <v>61</v>
      </c>
      <c r="G51" s="5" t="s">
        <v>83</v>
      </c>
      <c r="H51" s="5" t="s">
        <v>63</v>
      </c>
      <c r="I51" s="6">
        <v>20.0</v>
      </c>
      <c r="J51" s="5" t="s">
        <v>92</v>
      </c>
      <c r="K51" s="3" t="s">
        <v>65</v>
      </c>
      <c r="L51" s="5" t="s">
        <v>66</v>
      </c>
      <c r="M51" s="3" t="s">
        <v>74</v>
      </c>
      <c r="N51" s="3" t="s">
        <v>80</v>
      </c>
      <c r="O51" s="3" t="s">
        <v>69</v>
      </c>
      <c r="P51" s="5" t="s">
        <v>70</v>
      </c>
      <c r="Q51" s="3"/>
      <c r="R51" s="7">
        <v>1066.93214035034</v>
      </c>
      <c r="S51" s="7">
        <v>324.210508108139</v>
      </c>
      <c r="T51" s="7">
        <v>2.92201430019613</v>
      </c>
      <c r="U51" s="7">
        <v>13.0225008300904</v>
      </c>
      <c r="V51" s="7">
        <v>3.60867023016657</v>
      </c>
      <c r="W51" s="7">
        <v>0.607215294871672</v>
      </c>
      <c r="X51" s="7">
        <v>0.0882996501490775</v>
      </c>
      <c r="Y51" s="7">
        <v>0.0112017379895838</v>
      </c>
      <c r="Z51" s="7">
        <v>0.105838263353023</v>
      </c>
      <c r="AA51" s="7">
        <v>0.739277362208443</v>
      </c>
      <c r="AB51" s="7">
        <v>0.088637150391488</v>
      </c>
      <c r="AC51" s="7">
        <v>0.106065917992915</v>
      </c>
      <c r="AD51" s="7">
        <v>0.740140284453497</v>
      </c>
      <c r="AE51" s="7">
        <v>0.114611330852865</v>
      </c>
      <c r="AF51" s="7">
        <v>0.142343880427255</v>
      </c>
      <c r="AG51" s="7">
        <v>0.533398120641558</v>
      </c>
      <c r="AH51" s="14">
        <v>10.0</v>
      </c>
      <c r="AI51" s="7">
        <v>2.92201430019612</v>
      </c>
      <c r="AJ51" s="7">
        <v>13.0225008300904</v>
      </c>
      <c r="AK51" s="7">
        <v>3.60867023016657</v>
      </c>
      <c r="AL51" s="7">
        <v>0.60717406210255</v>
      </c>
      <c r="AM51" s="7">
        <v>2.45229449416448</v>
      </c>
      <c r="AN51" s="7">
        <v>8.61123389480382</v>
      </c>
      <c r="AO51" s="7">
        <v>2.93449039780399</v>
      </c>
      <c r="AP51" s="7">
        <v>0.740140284453497</v>
      </c>
      <c r="AQ51" s="7">
        <v>3.17091348692938</v>
      </c>
      <c r="AR51" s="7">
        <v>15.5092671614297</v>
      </c>
      <c r="AS51" s="7">
        <v>3.93818069182074</v>
      </c>
      <c r="AT51" s="7">
        <v>0.533398120641558</v>
      </c>
      <c r="AU51" s="4">
        <f t="shared" ref="AU51:AV51" si="100">(AB51-AB$36)/AB$37</f>
        <v>0.3805059858</v>
      </c>
      <c r="AV51" s="4">
        <f t="shared" si="100"/>
        <v>0.2482753672</v>
      </c>
      <c r="AW51" s="4">
        <f t="shared" si="5"/>
        <v>0.4581419883</v>
      </c>
      <c r="AX51" s="4">
        <f t="shared" si="6"/>
        <v>0.3927903557</v>
      </c>
      <c r="AY51" s="4">
        <f t="shared" si="7"/>
        <v>0.1435187374</v>
      </c>
      <c r="AZ51" s="4">
        <f t="shared" si="8"/>
        <v>0.1032248205</v>
      </c>
      <c r="BA51" s="4">
        <f t="shared" si="9"/>
        <v>0.1042393454</v>
      </c>
      <c r="BB51" s="4">
        <f t="shared" si="10"/>
        <v>0.2344610688</v>
      </c>
      <c r="BC51" s="4">
        <f t="shared" si="11"/>
        <v>-0.04296918134</v>
      </c>
      <c r="BD51" s="4">
        <f t="shared" ref="BD51:BE51" si="101">((R51-R$36)/R$37)</f>
        <v>2.179859116</v>
      </c>
      <c r="BE51" s="4">
        <f t="shared" si="101"/>
        <v>1.072815046</v>
      </c>
      <c r="BF51" s="3"/>
    </row>
    <row r="52">
      <c r="A52" s="3" t="s">
        <v>77</v>
      </c>
      <c r="B52" s="4">
        <f t="shared" si="3"/>
        <v>-0.4732812994</v>
      </c>
      <c r="C52" s="3" t="s">
        <v>59</v>
      </c>
      <c r="D52" s="3" t="s">
        <v>58</v>
      </c>
      <c r="E52" s="5" t="s">
        <v>82</v>
      </c>
      <c r="F52" s="3" t="s">
        <v>78</v>
      </c>
      <c r="G52" s="5" t="s">
        <v>88</v>
      </c>
      <c r="H52" s="5" t="s">
        <v>71</v>
      </c>
      <c r="I52" s="6">
        <v>20.0</v>
      </c>
      <c r="J52" s="5" t="s">
        <v>92</v>
      </c>
      <c r="K52" s="3" t="s">
        <v>65</v>
      </c>
      <c r="L52" s="5" t="s">
        <v>73</v>
      </c>
      <c r="M52" s="3" t="s">
        <v>67</v>
      </c>
      <c r="N52" s="3" t="s">
        <v>80</v>
      </c>
      <c r="O52" s="3" t="s">
        <v>69</v>
      </c>
      <c r="P52" s="5" t="s">
        <v>75</v>
      </c>
      <c r="Q52" s="5" t="s">
        <v>85</v>
      </c>
      <c r="R52" s="7">
        <v>1381.67544364929</v>
      </c>
      <c r="S52" s="7">
        <v>365.66908621788</v>
      </c>
      <c r="T52" s="7">
        <v>2.50150121150174</v>
      </c>
      <c r="U52" s="7">
        <v>10.2626284116061</v>
      </c>
      <c r="V52" s="7">
        <v>3.20353373817197</v>
      </c>
      <c r="W52" s="7">
        <v>0.68624774422095</v>
      </c>
      <c r="X52" s="7">
        <v>0.0816725350118827</v>
      </c>
      <c r="Y52" s="7">
        <v>0.00977541045505992</v>
      </c>
      <c r="Z52" s="7">
        <v>0.0988706754050963</v>
      </c>
      <c r="AA52" s="7">
        <v>0.763212943133019</v>
      </c>
      <c r="AB52" s="7">
        <v>0.0821176812376148</v>
      </c>
      <c r="AC52" s="7">
        <v>0.099010258947731</v>
      </c>
      <c r="AD52" s="7">
        <v>0.767566048202575</v>
      </c>
      <c r="AE52" s="7">
        <v>0.102058199162751</v>
      </c>
      <c r="AF52" s="7">
        <v>0.131134590888509</v>
      </c>
      <c r="AG52" s="7">
        <v>0.599707129094305</v>
      </c>
      <c r="AH52" s="14">
        <v>10.0</v>
      </c>
      <c r="AI52" s="7">
        <v>2.50150121150173</v>
      </c>
      <c r="AJ52" s="7">
        <v>10.2626284116061</v>
      </c>
      <c r="AK52" s="7">
        <v>3.20353373817197</v>
      </c>
      <c r="AL52" s="7">
        <v>0.685987854876047</v>
      </c>
      <c r="AM52" s="7">
        <v>2.27192251424066</v>
      </c>
      <c r="AN52" s="7">
        <v>7.50367590616019</v>
      </c>
      <c r="AO52" s="7">
        <v>2.73928383088722</v>
      </c>
      <c r="AP52" s="7">
        <v>0.767566048202575</v>
      </c>
      <c r="AQ52" s="7">
        <v>2.82361017683607</v>
      </c>
      <c r="AR52" s="7">
        <v>13.1627977010584</v>
      </c>
      <c r="AS52" s="7">
        <v>3.62805701458211</v>
      </c>
      <c r="AT52" s="7">
        <v>0.599707129094305</v>
      </c>
      <c r="AU52" s="4">
        <f t="shared" ref="AU52:AV52" si="102">(AB52-AB$36)/AB$37</f>
        <v>0.2620855089</v>
      </c>
      <c r="AV52" s="4">
        <f t="shared" si="102"/>
        <v>0.146999314</v>
      </c>
      <c r="AW52" s="4">
        <f t="shared" si="5"/>
        <v>0.3056216543</v>
      </c>
      <c r="AX52" s="4">
        <f t="shared" si="6"/>
        <v>0.2877886658</v>
      </c>
      <c r="AY52" s="4">
        <f t="shared" si="7"/>
        <v>-0.0576878661</v>
      </c>
      <c r="AZ52" s="4">
        <f t="shared" si="8"/>
        <v>-0.04680298635</v>
      </c>
      <c r="BA52" s="4">
        <f t="shared" si="9"/>
        <v>0.07363266304</v>
      </c>
      <c r="BB52" s="4">
        <f t="shared" si="10"/>
        <v>0.1449040247</v>
      </c>
      <c r="BC52" s="4">
        <f t="shared" si="11"/>
        <v>-0.1437038346</v>
      </c>
      <c r="BD52" s="4">
        <f t="shared" ref="BD52:BE52" si="103">((R52-R$36)/R$37)</f>
        <v>2.878489505</v>
      </c>
      <c r="BE52" s="4">
        <f t="shared" si="103"/>
        <v>1.354767646</v>
      </c>
      <c r="BF52" s="3"/>
    </row>
    <row r="53">
      <c r="A53" s="3" t="s">
        <v>77</v>
      </c>
      <c r="B53" s="4">
        <f t="shared" si="3"/>
        <v>-0.6154222321</v>
      </c>
      <c r="C53" s="3" t="s">
        <v>58</v>
      </c>
      <c r="D53" s="3" t="s">
        <v>59</v>
      </c>
      <c r="E53" s="5" t="s">
        <v>60</v>
      </c>
      <c r="F53" s="3" t="s">
        <v>61</v>
      </c>
      <c r="G53" s="12" t="s">
        <v>62</v>
      </c>
      <c r="H53" s="5" t="s">
        <v>63</v>
      </c>
      <c r="I53" s="6">
        <v>20.0</v>
      </c>
      <c r="J53" s="12" t="s">
        <v>92</v>
      </c>
      <c r="K53" s="3" t="s">
        <v>72</v>
      </c>
      <c r="L53" s="5" t="s">
        <v>73</v>
      </c>
      <c r="M53" s="3" t="s">
        <v>67</v>
      </c>
      <c r="N53" s="3" t="s">
        <v>80</v>
      </c>
      <c r="O53" s="3" t="s">
        <v>69</v>
      </c>
      <c r="P53" s="5" t="s">
        <v>75</v>
      </c>
      <c r="Q53" s="5" t="s">
        <v>76</v>
      </c>
      <c r="R53" s="13">
        <v>78.0817599296569</v>
      </c>
      <c r="S53" s="13">
        <v>174.882437467575</v>
      </c>
      <c r="T53" s="13">
        <v>4.15158099239497</v>
      </c>
      <c r="U53" s="13">
        <v>24.5546769535818</v>
      </c>
      <c r="V53" s="13">
        <v>4.95526759656648</v>
      </c>
      <c r="W53" s="13">
        <v>0.0570323047047097</v>
      </c>
      <c r="X53" s="13">
        <v>0.127809299312785</v>
      </c>
      <c r="Y53" s="13">
        <v>0.0221937758644018</v>
      </c>
      <c r="Z53" s="13">
        <v>0.14897575596184</v>
      </c>
      <c r="AA53" s="13">
        <v>0.533165403462209</v>
      </c>
      <c r="AB53" s="13">
        <v>0.128205359519995</v>
      </c>
      <c r="AC53" s="13">
        <v>0.149281204844607</v>
      </c>
      <c r="AD53" s="13">
        <v>0.533528989481155</v>
      </c>
      <c r="AE53" s="13">
        <v>0.17844783771048</v>
      </c>
      <c r="AF53" s="13">
        <v>0.208704960631285</v>
      </c>
      <c r="AG53" s="13">
        <v>0.0920862979208102</v>
      </c>
      <c r="AH53" s="13">
        <v>10.0</v>
      </c>
      <c r="AI53" s="13">
        <v>4.15158099239497</v>
      </c>
      <c r="AJ53" s="13">
        <v>24.5546769535818</v>
      </c>
      <c r="AK53" s="13">
        <v>4.95526759656648</v>
      </c>
      <c r="AL53" s="13">
        <v>0.0569437747421739</v>
      </c>
      <c r="AM53" s="13">
        <v>2.98967775880657</v>
      </c>
      <c r="AN53" s="13">
        <v>12.1184384837735</v>
      </c>
      <c r="AO53" s="13">
        <v>3.48115476297356</v>
      </c>
      <c r="AP53" s="13">
        <v>0.533528989481155</v>
      </c>
      <c r="AQ53" s="13">
        <v>4.16130443772078</v>
      </c>
      <c r="AR53" s="13">
        <v>23.6865572872939</v>
      </c>
      <c r="AS53" s="13">
        <v>4.86688373472121</v>
      </c>
      <c r="AT53" s="13">
        <v>0.0920862979208103</v>
      </c>
      <c r="AU53" s="4">
        <f t="shared" ref="AU53:AV53" si="104">(AB53-AB$36)/AB$37</f>
        <v>1.09922803</v>
      </c>
      <c r="AV53" s="4">
        <f t="shared" si="104"/>
        <v>0.8685822254</v>
      </c>
      <c r="AW53" s="4">
        <f t="shared" si="5"/>
        <v>0.8930781211</v>
      </c>
      <c r="AX53" s="4">
        <f t="shared" si="6"/>
        <v>0.7072306776</v>
      </c>
      <c r="AY53" s="4">
        <f t="shared" si="7"/>
        <v>0.7318403488</v>
      </c>
      <c r="AZ53" s="4">
        <f t="shared" si="8"/>
        <v>0.6018889834</v>
      </c>
      <c r="BA53" s="4">
        <f t="shared" si="9"/>
        <v>0.3348140097</v>
      </c>
      <c r="BB53" s="4">
        <f t="shared" si="10"/>
        <v>0.8304974642</v>
      </c>
      <c r="BC53" s="4">
        <f t="shared" si="11"/>
        <v>0.6602993105</v>
      </c>
      <c r="BD53" s="4">
        <f t="shared" ref="BD53:BE53" si="105">((R53-R$36)/R$37)</f>
        <v>-0.01507535313</v>
      </c>
      <c r="BE53" s="4">
        <f t="shared" si="105"/>
        <v>0.05726073562</v>
      </c>
      <c r="BF53" s="3"/>
    </row>
    <row r="54">
      <c r="A54" s="3" t="s">
        <v>57</v>
      </c>
      <c r="B54" s="4">
        <f t="shared" si="3"/>
        <v>-0.814746327</v>
      </c>
      <c r="C54" s="3" t="s">
        <v>59</v>
      </c>
      <c r="D54" s="3" t="s">
        <v>58</v>
      </c>
      <c r="E54" s="5" t="s">
        <v>82</v>
      </c>
      <c r="F54" s="3" t="s">
        <v>78</v>
      </c>
      <c r="G54" s="5" t="s">
        <v>88</v>
      </c>
      <c r="H54" s="5" t="s">
        <v>63</v>
      </c>
      <c r="I54" s="6">
        <v>20.0</v>
      </c>
      <c r="J54" s="5" t="s">
        <v>92</v>
      </c>
      <c r="K54" s="3" t="s">
        <v>65</v>
      </c>
      <c r="L54" s="5" t="s">
        <v>73</v>
      </c>
      <c r="M54" s="3" t="s">
        <v>67</v>
      </c>
      <c r="N54" s="3" t="s">
        <v>80</v>
      </c>
      <c r="O54" s="3" t="s">
        <v>69</v>
      </c>
      <c r="P54" s="5" t="s">
        <v>75</v>
      </c>
      <c r="Q54" s="5" t="s">
        <v>81</v>
      </c>
      <c r="R54" s="7">
        <v>968.840086460113</v>
      </c>
      <c r="S54" s="7">
        <v>364.905105113983</v>
      </c>
      <c r="T54" s="7">
        <v>3.71285591533372</v>
      </c>
      <c r="U54" s="7">
        <v>21.7221416979541</v>
      </c>
      <c r="V54" s="7">
        <v>4.66070184606933</v>
      </c>
      <c r="W54" s="7">
        <v>0.337604292676006</v>
      </c>
      <c r="X54" s="7">
        <v>0.124488337284713</v>
      </c>
      <c r="Y54" s="7">
        <v>0.0225804439095831</v>
      </c>
      <c r="Z54" s="7">
        <v>0.150267907117864</v>
      </c>
      <c r="AA54" s="7">
        <v>0.456630839761265</v>
      </c>
      <c r="AB54" s="7">
        <v>0.125767093088579</v>
      </c>
      <c r="AC54" s="7">
        <v>0.151045142113576</v>
      </c>
      <c r="AD54" s="7">
        <v>0.462022504738918</v>
      </c>
      <c r="AE54" s="7">
        <v>0.135864843595359</v>
      </c>
      <c r="AF54" s="7">
        <v>0.174530086516015</v>
      </c>
      <c r="AG54" s="7">
        <v>0.292460743984854</v>
      </c>
      <c r="AH54" s="14">
        <v>10.0</v>
      </c>
      <c r="AI54" s="7">
        <v>3.71285591533374</v>
      </c>
      <c r="AJ54" s="7">
        <v>21.7221416979541</v>
      </c>
      <c r="AK54" s="7">
        <v>4.66070184606933</v>
      </c>
      <c r="AL54" s="7">
        <v>0.337432951241748</v>
      </c>
      <c r="AM54" s="7">
        <v>3.47955624211761</v>
      </c>
      <c r="AN54" s="7">
        <v>17.4633355791829</v>
      </c>
      <c r="AO54" s="7">
        <v>4.17891559847563</v>
      </c>
      <c r="AP54" s="7">
        <v>0.462022504738918</v>
      </c>
      <c r="AQ54" s="7">
        <v>3.75892733947183</v>
      </c>
      <c r="AR54" s="7">
        <v>23.3160127025549</v>
      </c>
      <c r="AS54" s="7">
        <v>4.8286657269431</v>
      </c>
      <c r="AT54" s="7">
        <v>0.292460743984854</v>
      </c>
      <c r="AU54" s="4">
        <f t="shared" ref="AU54:AV54" si="106">(AB54-AB$36)/AB$37</f>
        <v>1.054939045</v>
      </c>
      <c r="AV54" s="4">
        <f t="shared" si="106"/>
        <v>0.8939015618</v>
      </c>
      <c r="AW54" s="4">
        <f t="shared" si="5"/>
        <v>0.7163718024</v>
      </c>
      <c r="AX54" s="4">
        <f t="shared" si="6"/>
        <v>0.6942908227</v>
      </c>
      <c r="AY54" s="4">
        <f t="shared" si="7"/>
        <v>0.5219196947</v>
      </c>
      <c r="AZ54" s="4">
        <f t="shared" si="8"/>
        <v>0.4928070952</v>
      </c>
      <c r="BA54" s="4">
        <f t="shared" si="9"/>
        <v>0.4146140213</v>
      </c>
      <c r="BB54" s="4">
        <f t="shared" si="10"/>
        <v>0.5598714433</v>
      </c>
      <c r="BC54" s="4">
        <f t="shared" si="11"/>
        <v>0.3017963261</v>
      </c>
      <c r="BD54" s="4">
        <f t="shared" ref="BD54:BE54" si="107">((R54-R$36)/R$37)</f>
        <v>1.962125843</v>
      </c>
      <c r="BE54" s="4">
        <f t="shared" si="107"/>
        <v>1.349571943</v>
      </c>
      <c r="BF54" s="3"/>
    </row>
    <row r="55">
      <c r="A55" s="3" t="s">
        <v>77</v>
      </c>
      <c r="B55" s="4">
        <f t="shared" si="3"/>
        <v>-0.957763228</v>
      </c>
      <c r="C55" s="3" t="s">
        <v>59</v>
      </c>
      <c r="D55" s="3" t="s">
        <v>58</v>
      </c>
      <c r="E55" s="5" t="s">
        <v>60</v>
      </c>
      <c r="F55" s="3" t="s">
        <v>78</v>
      </c>
      <c r="G55" s="5" t="s">
        <v>60</v>
      </c>
      <c r="H55" s="5" t="s">
        <v>63</v>
      </c>
      <c r="I55" s="6">
        <v>20.0</v>
      </c>
      <c r="J55" s="5" t="s">
        <v>92</v>
      </c>
      <c r="K55" s="3" t="s">
        <v>65</v>
      </c>
      <c r="L55" s="5" t="s">
        <v>73</v>
      </c>
      <c r="M55" s="3" t="s">
        <v>79</v>
      </c>
      <c r="N55" s="3" t="s">
        <v>80</v>
      </c>
      <c r="O55" s="3" t="s">
        <v>69</v>
      </c>
      <c r="P55" s="5" t="s">
        <v>75</v>
      </c>
      <c r="Q55" s="5" t="s">
        <v>75</v>
      </c>
      <c r="R55" s="7">
        <v>620.395533084869</v>
      </c>
      <c r="S55" s="7">
        <v>127.980404615402</v>
      </c>
      <c r="T55" s="7">
        <v>4.49144686344404</v>
      </c>
      <c r="U55" s="7">
        <v>32.6878895077165</v>
      </c>
      <c r="V55" s="7">
        <v>5.71733237687967</v>
      </c>
      <c r="W55" s="7">
        <v>0.0202556124620153</v>
      </c>
      <c r="X55" s="7">
        <v>0.161388922338078</v>
      </c>
      <c r="Y55" s="7">
        <v>0.040905605653454</v>
      </c>
      <c r="Z55" s="7">
        <v>0.202251342772932</v>
      </c>
      <c r="AA55" s="7">
        <v>0.0938164238295523</v>
      </c>
      <c r="AB55" s="7">
        <v>0.164254165059468</v>
      </c>
      <c r="AC55" s="7">
        <v>0.204421927853115</v>
      </c>
      <c r="AD55" s="7">
        <v>0.0949660215703737</v>
      </c>
      <c r="AE55" s="7">
        <v>0.163464968190919</v>
      </c>
      <c r="AF55" s="7">
        <v>0.212922457551655</v>
      </c>
      <c r="AG55" s="7">
        <v>0.0328511671261426</v>
      </c>
      <c r="AH55" s="14">
        <v>10.0</v>
      </c>
      <c r="AI55" s="7">
        <v>4.49144686344404</v>
      </c>
      <c r="AJ55" s="7">
        <v>32.6878895077165</v>
      </c>
      <c r="AK55" s="7">
        <v>5.71733237687967</v>
      </c>
      <c r="AL55" s="7">
        <v>0.0201839688778067</v>
      </c>
      <c r="AM55" s="7">
        <v>4.39379891534079</v>
      </c>
      <c r="AN55" s="7">
        <v>29.9021580124171</v>
      </c>
      <c r="AO55" s="7">
        <v>5.46828657007084</v>
      </c>
      <c r="AP55" s="7">
        <v>0.0949660215703736</v>
      </c>
      <c r="AQ55" s="7">
        <v>4.3726878991071</v>
      </c>
      <c r="AR55" s="7">
        <v>32.4407221296063</v>
      </c>
      <c r="AS55" s="7">
        <v>5.6956757395068</v>
      </c>
      <c r="AT55" s="7">
        <v>0.0328511671261424</v>
      </c>
      <c r="AU55" s="4">
        <f t="shared" ref="AU55:AV55" si="108">(AB55-AB$36)/AB$37</f>
        <v>1.754023174</v>
      </c>
      <c r="AV55" s="4">
        <f t="shared" si="108"/>
        <v>1.660065312</v>
      </c>
      <c r="AW55" s="4">
        <f t="shared" si="5"/>
        <v>0.9859084375</v>
      </c>
      <c r="AX55" s="4">
        <f t="shared" si="6"/>
        <v>0.9878431154</v>
      </c>
      <c r="AY55" s="4">
        <f t="shared" si="7"/>
        <v>0.8944589673</v>
      </c>
      <c r="AZ55" s="4">
        <f t="shared" si="8"/>
        <v>0.8840924134</v>
      </c>
      <c r="BA55" s="4">
        <f t="shared" si="9"/>
        <v>0.824242766</v>
      </c>
      <c r="BB55" s="4">
        <f t="shared" si="10"/>
        <v>0.9105005187</v>
      </c>
      <c r="BC55" s="4">
        <f t="shared" si="11"/>
        <v>0.7072832985</v>
      </c>
      <c r="BD55" s="4">
        <f t="shared" ref="BD55:BE55" si="109">((R55-R$36)/R$37)</f>
        <v>1.188689359</v>
      </c>
      <c r="BE55" s="4">
        <f t="shared" si="109"/>
        <v>-0.2617118556</v>
      </c>
      <c r="BF55" s="3"/>
    </row>
    <row r="56">
      <c r="A56" s="3" t="s">
        <v>57</v>
      </c>
      <c r="B56" s="4">
        <f t="shared" si="3"/>
        <v>0.05539962033</v>
      </c>
      <c r="C56" s="3" t="s">
        <v>58</v>
      </c>
      <c r="D56" s="3" t="s">
        <v>59</v>
      </c>
      <c r="E56" s="5" t="s">
        <v>82</v>
      </c>
      <c r="F56" s="3" t="s">
        <v>61</v>
      </c>
      <c r="G56" s="12" t="s">
        <v>83</v>
      </c>
      <c r="H56" s="5" t="s">
        <v>63</v>
      </c>
      <c r="I56" s="6">
        <v>150.0</v>
      </c>
      <c r="J56" s="12" t="s">
        <v>92</v>
      </c>
      <c r="K56" s="3" t="s">
        <v>72</v>
      </c>
      <c r="L56" s="5" t="s">
        <v>73</v>
      </c>
      <c r="M56" s="3" t="s">
        <v>74</v>
      </c>
      <c r="N56" s="3" t="s">
        <v>68</v>
      </c>
      <c r="O56" s="3" t="s">
        <v>69</v>
      </c>
      <c r="P56" s="5" t="s">
        <v>75</v>
      </c>
      <c r="Q56" s="5" t="s">
        <v>76</v>
      </c>
      <c r="R56" s="13">
        <v>134.492164611816</v>
      </c>
      <c r="S56" s="13">
        <v>427.336787223815</v>
      </c>
      <c r="T56" s="13">
        <v>1.6700345049366</v>
      </c>
      <c r="U56" s="13">
        <v>4.63680186012124</v>
      </c>
      <c r="V56" s="13">
        <v>2.15332344530988</v>
      </c>
      <c r="W56" s="13">
        <v>0.828228257414715</v>
      </c>
      <c r="X56" s="13">
        <v>0.0542414215130266</v>
      </c>
      <c r="Y56" s="13">
        <v>0.00477991769882405</v>
      </c>
      <c r="Z56" s="13">
        <v>0.0691369488683442</v>
      </c>
      <c r="AA56" s="13">
        <v>0.892910328894643</v>
      </c>
      <c r="AB56" s="13">
        <v>0.0543996370072135</v>
      </c>
      <c r="AC56" s="13">
        <v>0.0692214212998461</v>
      </c>
      <c r="AD56" s="13">
        <v>0.893152851714989</v>
      </c>
      <c r="AE56" s="13">
        <v>0.0632344813284357</v>
      </c>
      <c r="AF56" s="13">
        <v>0.083519390877152</v>
      </c>
      <c r="AG56" s="13">
        <v>0.845208163772805</v>
      </c>
      <c r="AH56" s="13">
        <v>10.0</v>
      </c>
      <c r="AI56" s="13">
        <v>1.67003450493659</v>
      </c>
      <c r="AJ56" s="13">
        <v>4.63680186012124</v>
      </c>
      <c r="AK56" s="13">
        <v>2.15332344530988</v>
      </c>
      <c r="AL56" s="13">
        <v>0.82820656266307</v>
      </c>
      <c r="AM56" s="13">
        <v>1.33279110667677</v>
      </c>
      <c r="AN56" s="13">
        <v>2.87616100135416</v>
      </c>
      <c r="AO56" s="13">
        <v>1.69592482184622</v>
      </c>
      <c r="AP56" s="13">
        <v>0.893152851714989</v>
      </c>
      <c r="AQ56" s="13">
        <v>1.54924479254664</v>
      </c>
      <c r="AR56" s="13">
        <v>4.18703706365743</v>
      </c>
      <c r="AS56" s="13">
        <v>2.04622507649022</v>
      </c>
      <c r="AT56" s="13">
        <v>0.845208163772805</v>
      </c>
      <c r="AU56" s="4">
        <f t="shared" ref="AU56:AV56" si="110">(AB56-AB$36)/AB$37</f>
        <v>-0.2413886147</v>
      </c>
      <c r="AV56" s="4">
        <f t="shared" si="110"/>
        <v>-0.2805859605</v>
      </c>
      <c r="AW56" s="4">
        <f t="shared" si="5"/>
        <v>-0.2540235561</v>
      </c>
      <c r="AX56" s="4">
        <f t="shared" si="6"/>
        <v>-0.2477880696</v>
      </c>
      <c r="AY56" s="4">
        <f t="shared" si="7"/>
        <v>-0.4555270689</v>
      </c>
      <c r="AZ56" s="4">
        <f t="shared" si="8"/>
        <v>-0.4357107991</v>
      </c>
      <c r="BA56" s="4">
        <f t="shared" si="9"/>
        <v>-0.06652005742</v>
      </c>
      <c r="BB56" s="4">
        <f t="shared" si="10"/>
        <v>-0.1866700329</v>
      </c>
      <c r="BC56" s="4">
        <f t="shared" si="11"/>
        <v>-0.3254785177</v>
      </c>
      <c r="BD56" s="4">
        <f t="shared" ref="BD56:BE56" si="111">((R56-R$36)/R$37)</f>
        <v>0.1101378683</v>
      </c>
      <c r="BE56" s="4">
        <f t="shared" si="111"/>
        <v>1.774158985</v>
      </c>
      <c r="BF56" s="3"/>
    </row>
    <row r="57">
      <c r="A57" s="3" t="s">
        <v>77</v>
      </c>
      <c r="B57" s="4">
        <f t="shared" si="3"/>
        <v>-0.02438542395</v>
      </c>
      <c r="C57" s="3" t="s">
        <v>58</v>
      </c>
      <c r="D57" s="3" t="s">
        <v>59</v>
      </c>
      <c r="E57" s="5" t="s">
        <v>82</v>
      </c>
      <c r="F57" s="3" t="s">
        <v>78</v>
      </c>
      <c r="G57" s="12" t="s">
        <v>88</v>
      </c>
      <c r="H57" s="5" t="s">
        <v>63</v>
      </c>
      <c r="I57" s="6">
        <v>150.0</v>
      </c>
      <c r="J57" s="12" t="s">
        <v>92</v>
      </c>
      <c r="K57" s="3" t="s">
        <v>72</v>
      </c>
      <c r="L57" s="5" t="s">
        <v>73</v>
      </c>
      <c r="M57" s="3" t="s">
        <v>74</v>
      </c>
      <c r="N57" s="3" t="s">
        <v>80</v>
      </c>
      <c r="O57" s="3" t="s">
        <v>69</v>
      </c>
      <c r="P57" s="5" t="s">
        <v>75</v>
      </c>
      <c r="Q57" s="5" t="s">
        <v>76</v>
      </c>
      <c r="R57" s="13">
        <v>148.50133895874</v>
      </c>
      <c r="S57" s="13">
        <v>427.105757951736</v>
      </c>
      <c r="T57" s="13">
        <v>1.83630700481504</v>
      </c>
      <c r="U57" s="13">
        <v>5.60822270297221</v>
      </c>
      <c r="V57" s="13">
        <v>2.36816863904837</v>
      </c>
      <c r="W57" s="13">
        <v>0.791772602675942</v>
      </c>
      <c r="X57" s="13">
        <v>0.0592400807269001</v>
      </c>
      <c r="Y57" s="13">
        <v>0.00536809281717274</v>
      </c>
      <c r="Z57" s="13">
        <v>0.0732672697537771</v>
      </c>
      <c r="AA57" s="13">
        <v>0.878067478099738</v>
      </c>
      <c r="AB57" s="13">
        <v>0.0590766452992214</v>
      </c>
      <c r="AC57" s="13">
        <v>0.0729512422369244</v>
      </c>
      <c r="AD57" s="13">
        <v>0.880301241301919</v>
      </c>
      <c r="AE57" s="13">
        <v>0.0811159155450297</v>
      </c>
      <c r="AF57" s="13">
        <v>0.104951376671208</v>
      </c>
      <c r="AG57" s="13">
        <v>0.756988125667587</v>
      </c>
      <c r="AH57" s="13">
        <v>10.0</v>
      </c>
      <c r="AI57" s="13">
        <v>1.83630700481503</v>
      </c>
      <c r="AJ57" s="13">
        <v>5.60822270297221</v>
      </c>
      <c r="AK57" s="13">
        <v>2.36816863904837</v>
      </c>
      <c r="AL57" s="13">
        <v>0.791563923422485</v>
      </c>
      <c r="AM57" s="13">
        <v>1.44737780983095</v>
      </c>
      <c r="AN57" s="13">
        <v>3.19446071728221</v>
      </c>
      <c r="AO57" s="13">
        <v>1.78730543480464</v>
      </c>
      <c r="AP57" s="13">
        <v>0.880301241301919</v>
      </c>
      <c r="AQ57" s="13">
        <v>1.98733993085322</v>
      </c>
      <c r="AR57" s="13">
        <v>6.61162857697541</v>
      </c>
      <c r="AS57" s="13">
        <v>2.5713087284446</v>
      </c>
      <c r="AT57" s="13">
        <v>0.756988125667587</v>
      </c>
      <c r="AU57" s="4">
        <f t="shared" ref="AU57:AV57" si="112">(AB57-AB$36)/AB$37</f>
        <v>-0.156434834</v>
      </c>
      <c r="AV57" s="4">
        <f t="shared" si="112"/>
        <v>-0.2270485742</v>
      </c>
      <c r="AW57" s="4">
        <f t="shared" si="5"/>
        <v>-0.0616314456</v>
      </c>
      <c r="AX57" s="4">
        <f t="shared" si="6"/>
        <v>-0.07000522093</v>
      </c>
      <c r="AY57" s="4">
        <f t="shared" si="7"/>
        <v>-0.3759692005</v>
      </c>
      <c r="AZ57" s="4">
        <f t="shared" si="8"/>
        <v>-0.3561505673</v>
      </c>
      <c r="BA57" s="4">
        <f t="shared" si="9"/>
        <v>-0.05217788045</v>
      </c>
      <c r="BB57" s="4">
        <f t="shared" si="10"/>
        <v>-0.06751992002</v>
      </c>
      <c r="BC57" s="4">
        <f t="shared" si="11"/>
        <v>-0.2786442844</v>
      </c>
      <c r="BD57" s="4">
        <f t="shared" ref="BD57:BE57" si="113">((R57-R$36)/R$37)</f>
        <v>0.1412337957</v>
      </c>
      <c r="BE57" s="4">
        <f t="shared" si="113"/>
        <v>1.772587795</v>
      </c>
      <c r="BF57" s="3"/>
    </row>
    <row r="58">
      <c r="A58" s="3" t="s">
        <v>57</v>
      </c>
      <c r="B58" s="4">
        <f t="shared" si="3"/>
        <v>-0.01051557883</v>
      </c>
      <c r="C58" s="3" t="s">
        <v>59</v>
      </c>
      <c r="D58" s="3" t="s">
        <v>58</v>
      </c>
      <c r="E58" s="5" t="s">
        <v>60</v>
      </c>
      <c r="F58" s="3" t="s">
        <v>78</v>
      </c>
      <c r="G58" s="5" t="s">
        <v>60</v>
      </c>
      <c r="H58" s="5" t="s">
        <v>71</v>
      </c>
      <c r="I58" s="6">
        <v>150.0</v>
      </c>
      <c r="J58" s="5" t="s">
        <v>92</v>
      </c>
      <c r="K58" s="3" t="s">
        <v>65</v>
      </c>
      <c r="L58" s="5" t="s">
        <v>66</v>
      </c>
      <c r="M58" s="3" t="s">
        <v>67</v>
      </c>
      <c r="N58" s="3" t="s">
        <v>80</v>
      </c>
      <c r="O58" s="3" t="s">
        <v>69</v>
      </c>
      <c r="P58" s="5" t="s">
        <v>81</v>
      </c>
      <c r="Q58" s="3"/>
      <c r="R58" s="7">
        <v>270.256208896636</v>
      </c>
      <c r="S58" s="7">
        <v>125.386932373046</v>
      </c>
      <c r="T58" s="7">
        <v>2.5280111006659</v>
      </c>
      <c r="U58" s="7">
        <v>10.8119140608604</v>
      </c>
      <c r="V58" s="7">
        <v>3.28814751202869</v>
      </c>
      <c r="W58" s="7">
        <v>0.669532133695782</v>
      </c>
      <c r="X58" s="7">
        <v>0.0606881031207098</v>
      </c>
      <c r="Y58" s="7">
        <v>0.00578136289485922</v>
      </c>
      <c r="Z58" s="7">
        <v>0.0760352740171246</v>
      </c>
      <c r="AA58" s="7">
        <v>0.869942669937789</v>
      </c>
      <c r="AB58" s="7">
        <v>0.0608600238107526</v>
      </c>
      <c r="AC58" s="7">
        <v>0.0760624874748549</v>
      </c>
      <c r="AD58" s="7">
        <v>0.873116903361378</v>
      </c>
      <c r="AE58" s="7">
        <v>0.0972195142401098</v>
      </c>
      <c r="AF58" s="7">
        <v>0.127764951995609</v>
      </c>
      <c r="AG58" s="7">
        <v>0.638045997510886</v>
      </c>
      <c r="AH58" s="14">
        <v>10.0</v>
      </c>
      <c r="AI58" s="7">
        <v>2.5280111006659</v>
      </c>
      <c r="AJ58" s="7">
        <v>10.8119140608604</v>
      </c>
      <c r="AK58" s="7">
        <v>3.28814751202869</v>
      </c>
      <c r="AL58" s="7">
        <v>0.669628443576192</v>
      </c>
      <c r="AM58" s="7">
        <v>1.62800563693764</v>
      </c>
      <c r="AN58" s="7">
        <v>4.13988827549214</v>
      </c>
      <c r="AO58" s="7">
        <v>2.03467153995237</v>
      </c>
      <c r="AP58" s="7">
        <v>0.873116903361378</v>
      </c>
      <c r="AQ58" s="7">
        <v>2.60062200592293</v>
      </c>
      <c r="AR58" s="7">
        <v>11.680758499449</v>
      </c>
      <c r="AS58" s="7">
        <v>3.41771246588256</v>
      </c>
      <c r="AT58" s="7">
        <v>0.638045997510886</v>
      </c>
      <c r="AU58" s="4">
        <f t="shared" ref="AU58:AV58" si="114">(AB58-AB$36)/AB$37</f>
        <v>-0.1240413171</v>
      </c>
      <c r="AV58" s="4">
        <f t="shared" si="114"/>
        <v>-0.1823901466</v>
      </c>
      <c r="AW58" s="4">
        <f t="shared" si="5"/>
        <v>0.2076950601</v>
      </c>
      <c r="AX58" s="4">
        <f t="shared" si="6"/>
        <v>0.2165701981</v>
      </c>
      <c r="AY58" s="4">
        <f t="shared" si="7"/>
        <v>-0.0450034458</v>
      </c>
      <c r="AZ58" s="4">
        <f t="shared" si="8"/>
        <v>-0.01546930209</v>
      </c>
      <c r="BA58" s="4">
        <f t="shared" si="9"/>
        <v>-0.04416028243</v>
      </c>
      <c r="BB58" s="4">
        <f t="shared" si="10"/>
        <v>0.0931234928</v>
      </c>
      <c r="BC58" s="4">
        <f t="shared" si="11"/>
        <v>-0.1227943013</v>
      </c>
      <c r="BD58" s="4">
        <f t="shared" ref="BD58:BE58" si="115">((R58-R$36)/R$37)</f>
        <v>0.4114910218</v>
      </c>
      <c r="BE58" s="4">
        <f t="shared" si="115"/>
        <v>-0.2793496105</v>
      </c>
      <c r="BF58" s="3"/>
    </row>
    <row r="59">
      <c r="A59" s="3" t="s">
        <v>77</v>
      </c>
      <c r="B59" s="4">
        <f t="shared" si="3"/>
        <v>-0.03531741686</v>
      </c>
      <c r="C59" s="3" t="s">
        <v>58</v>
      </c>
      <c r="D59" s="3" t="s">
        <v>59</v>
      </c>
      <c r="E59" s="5" t="s">
        <v>60</v>
      </c>
      <c r="F59" s="3" t="s">
        <v>78</v>
      </c>
      <c r="G59" s="12" t="s">
        <v>60</v>
      </c>
      <c r="H59" s="5" t="s">
        <v>71</v>
      </c>
      <c r="I59" s="6">
        <v>150.0</v>
      </c>
      <c r="J59" s="12" t="s">
        <v>92</v>
      </c>
      <c r="K59" s="3" t="s">
        <v>72</v>
      </c>
      <c r="L59" s="5" t="s">
        <v>66</v>
      </c>
      <c r="M59" s="3" t="s">
        <v>79</v>
      </c>
      <c r="N59" s="3" t="s">
        <v>68</v>
      </c>
      <c r="O59" s="3" t="s">
        <v>69</v>
      </c>
      <c r="P59" s="5" t="s">
        <v>75</v>
      </c>
      <c r="Q59" s="3"/>
      <c r="R59" s="13">
        <v>382.832958459854</v>
      </c>
      <c r="S59" s="13">
        <v>164.31522989273</v>
      </c>
      <c r="T59" s="13">
        <v>2.11129984258296</v>
      </c>
      <c r="U59" s="13">
        <v>7.26144649948056</v>
      </c>
      <c r="V59" s="13">
        <v>2.6947071268471</v>
      </c>
      <c r="W59" s="13">
        <v>0.722191356578257</v>
      </c>
      <c r="X59" s="13">
        <v>0.0733016386099544</v>
      </c>
      <c r="Y59" s="13">
        <v>0.00843612990096533</v>
      </c>
      <c r="Z59" s="13">
        <v>0.0918484071770726</v>
      </c>
      <c r="AA59" s="13">
        <v>0.820626259261613</v>
      </c>
      <c r="AB59" s="13">
        <v>0.073050701839553</v>
      </c>
      <c r="AC59" s="13">
        <v>0.0913417179984735</v>
      </c>
      <c r="AD59" s="13">
        <v>0.824590345735934</v>
      </c>
      <c r="AE59" s="13">
        <v>0.10014482329705</v>
      </c>
      <c r="AF59" s="13">
        <v>0.130810823685121</v>
      </c>
      <c r="AG59" s="13">
        <v>0.645260437767663</v>
      </c>
      <c r="AH59" s="13">
        <v>10.0</v>
      </c>
      <c r="AI59" s="13">
        <v>2.11129984258296</v>
      </c>
      <c r="AJ59" s="13">
        <v>7.26144649948056</v>
      </c>
      <c r="AK59" s="13">
        <v>2.6947071268471</v>
      </c>
      <c r="AL59" s="13">
        <v>0.722018485938422</v>
      </c>
      <c r="AM59" s="13">
        <v>1.70350178317515</v>
      </c>
      <c r="AN59" s="13">
        <v>4.53706238551968</v>
      </c>
      <c r="AO59" s="13">
        <v>2.13003811832551</v>
      </c>
      <c r="AP59" s="13">
        <v>0.824590345735934</v>
      </c>
      <c r="AQ59" s="13">
        <v>2.33532164327427</v>
      </c>
      <c r="AR59" s="13">
        <v>9.30515817737455</v>
      </c>
      <c r="AS59" s="13">
        <v>3.05043573565721</v>
      </c>
      <c r="AT59" s="13">
        <v>0.645260437767663</v>
      </c>
      <c r="AU59" s="4">
        <f t="shared" ref="AU59:AV59" si="116">(AB59-AB$36)/AB$37</f>
        <v>0.09739172789</v>
      </c>
      <c r="AV59" s="4">
        <f t="shared" si="116"/>
        <v>0.03692602996</v>
      </c>
      <c r="AW59" s="4">
        <f t="shared" si="5"/>
        <v>0.09118681286</v>
      </c>
      <c r="AX59" s="4">
        <f t="shared" si="6"/>
        <v>0.09221762475</v>
      </c>
      <c r="AY59" s="4">
        <f t="shared" si="7"/>
        <v>-0.2443909539</v>
      </c>
      <c r="AZ59" s="4">
        <f t="shared" si="8"/>
        <v>-0.2352287196</v>
      </c>
      <c r="BA59" s="4">
        <f t="shared" si="9"/>
        <v>0.009994524253</v>
      </c>
      <c r="BB59" s="4">
        <f t="shared" si="10"/>
        <v>0.0833796592</v>
      </c>
      <c r="BC59" s="4">
        <f t="shared" si="11"/>
        <v>-0.1897558389</v>
      </c>
      <c r="BD59" s="4">
        <f t="shared" ref="BD59:BE59" si="117">((R59-R$36)/R$37)</f>
        <v>0.6613757293</v>
      </c>
      <c r="BE59" s="4">
        <f t="shared" si="117"/>
        <v>-0.01460501043</v>
      </c>
      <c r="BF59" s="3"/>
    </row>
    <row r="60">
      <c r="A60" s="3" t="s">
        <v>57</v>
      </c>
      <c r="B60" s="4">
        <f t="shared" si="3"/>
        <v>-0.1464492906</v>
      </c>
      <c r="C60" s="3" t="s">
        <v>58</v>
      </c>
      <c r="D60" s="3" t="s">
        <v>59</v>
      </c>
      <c r="E60" s="5" t="s">
        <v>60</v>
      </c>
      <c r="F60" s="3" t="s">
        <v>78</v>
      </c>
      <c r="G60" s="12" t="s">
        <v>60</v>
      </c>
      <c r="H60" s="5" t="s">
        <v>71</v>
      </c>
      <c r="I60" s="6">
        <v>150.0</v>
      </c>
      <c r="J60" s="12" t="s">
        <v>92</v>
      </c>
      <c r="K60" s="3" t="s">
        <v>65</v>
      </c>
      <c r="L60" s="5" t="s">
        <v>66</v>
      </c>
      <c r="M60" s="3" t="s">
        <v>67</v>
      </c>
      <c r="N60" s="3" t="s">
        <v>68</v>
      </c>
      <c r="O60" s="3" t="s">
        <v>69</v>
      </c>
      <c r="P60" s="5" t="s">
        <v>81</v>
      </c>
      <c r="Q60" s="3"/>
      <c r="R60" s="13">
        <v>289.667145490646</v>
      </c>
      <c r="S60" s="13">
        <v>166.880414485931</v>
      </c>
      <c r="T60" s="13">
        <v>2.46461257100895</v>
      </c>
      <c r="U60" s="13">
        <v>9.4691984939222</v>
      </c>
      <c r="V60" s="13">
        <v>3.07720628069068</v>
      </c>
      <c r="W60" s="13">
        <v>0.637658428380842</v>
      </c>
      <c r="X60" s="13">
        <v>0.0932368906359137</v>
      </c>
      <c r="Y60" s="13">
        <v>0.0130196034014397</v>
      </c>
      <c r="Z60" s="13">
        <v>0.114103476728098</v>
      </c>
      <c r="AA60" s="13">
        <v>0.723169866696904</v>
      </c>
      <c r="AB60" s="13">
        <v>0.093283660142733</v>
      </c>
      <c r="AC60" s="13">
        <v>0.113864499381441</v>
      </c>
      <c r="AD60" s="13">
        <v>0.727421358241152</v>
      </c>
      <c r="AE60" s="13">
        <v>0.110242451500855</v>
      </c>
      <c r="AF60" s="13">
        <v>0.136688608149878</v>
      </c>
      <c r="AG60" s="13">
        <v>0.612664852325971</v>
      </c>
      <c r="AH60" s="13">
        <v>10.0</v>
      </c>
      <c r="AI60" s="13">
        <v>2.46461257100895</v>
      </c>
      <c r="AJ60" s="13">
        <v>9.46919849392221</v>
      </c>
      <c r="AK60" s="13">
        <v>3.07720628069068</v>
      </c>
      <c r="AL60" s="13">
        <v>0.637501683104268</v>
      </c>
      <c r="AM60" s="13">
        <v>2.17532313027291</v>
      </c>
      <c r="AN60" s="13">
        <v>7.05038903251213</v>
      </c>
      <c r="AO60" s="13">
        <v>2.65525686752</v>
      </c>
      <c r="AP60" s="13">
        <v>0.727421358241152</v>
      </c>
      <c r="AQ60" s="13">
        <v>2.57079272319355</v>
      </c>
      <c r="AR60" s="13">
        <v>10.1601715751201</v>
      </c>
      <c r="AS60" s="13">
        <v>3.18750240393951</v>
      </c>
      <c r="AT60" s="13">
        <v>0.612664852325971</v>
      </c>
      <c r="AU60" s="4">
        <f t="shared" ref="AU60:AV60" si="118">(AB60-AB$36)/AB$37</f>
        <v>0.4649057871</v>
      </c>
      <c r="AV60" s="4">
        <f t="shared" si="118"/>
        <v>0.3602152356</v>
      </c>
      <c r="AW60" s="4">
        <f t="shared" si="5"/>
        <v>0.1945953515</v>
      </c>
      <c r="AX60" s="4">
        <f t="shared" si="6"/>
        <v>0.138625664</v>
      </c>
      <c r="AY60" s="4">
        <f t="shared" si="7"/>
        <v>-0.07533829902</v>
      </c>
      <c r="AZ60" s="4">
        <f t="shared" si="8"/>
        <v>-0.09358384112</v>
      </c>
      <c r="BA60" s="4">
        <f t="shared" si="9"/>
        <v>0.1184334491</v>
      </c>
      <c r="BB60" s="4">
        <f t="shared" si="10"/>
        <v>0.1274033047</v>
      </c>
      <c r="BC60" s="4">
        <f t="shared" si="11"/>
        <v>-0.0817319699</v>
      </c>
      <c r="BD60" s="4">
        <f t="shared" ref="BD60:BE60" si="119">((R60-R$36)/R$37)</f>
        <v>0.4545771496</v>
      </c>
      <c r="BE60" s="4">
        <f t="shared" si="119"/>
        <v>0.00284036511</v>
      </c>
      <c r="BF60" s="3"/>
    </row>
    <row r="61">
      <c r="A61" s="3" t="s">
        <v>57</v>
      </c>
      <c r="B61" s="4">
        <f t="shared" si="3"/>
        <v>-0.2680181769</v>
      </c>
      <c r="C61" s="3" t="s">
        <v>59</v>
      </c>
      <c r="D61" s="3" t="s">
        <v>58</v>
      </c>
      <c r="E61" s="5" t="s">
        <v>82</v>
      </c>
      <c r="F61" s="3" t="s">
        <v>61</v>
      </c>
      <c r="G61" s="5" t="s">
        <v>83</v>
      </c>
      <c r="H61" s="5" t="s">
        <v>63</v>
      </c>
      <c r="I61" s="6">
        <v>150.0</v>
      </c>
      <c r="J61" s="5" t="s">
        <v>92</v>
      </c>
      <c r="K61" s="3" t="s">
        <v>72</v>
      </c>
      <c r="L61" s="5" t="s">
        <v>66</v>
      </c>
      <c r="M61" s="3" t="s">
        <v>67</v>
      </c>
      <c r="N61" s="3" t="s">
        <v>68</v>
      </c>
      <c r="O61" s="3" t="s">
        <v>69</v>
      </c>
      <c r="P61" s="5" t="s">
        <v>75</v>
      </c>
      <c r="Q61" s="3"/>
      <c r="R61" s="7">
        <v>119.36383152008</v>
      </c>
      <c r="S61" s="7">
        <v>314.906559944152</v>
      </c>
      <c r="T61" s="7">
        <v>2.66363826908523</v>
      </c>
      <c r="U61" s="7">
        <v>11.5643510074967</v>
      </c>
      <c r="V61" s="7">
        <v>3.40063979384714</v>
      </c>
      <c r="W61" s="7">
        <v>0.65117827660061</v>
      </c>
      <c r="X61" s="7">
        <v>0.0993718011232613</v>
      </c>
      <c r="Y61" s="7">
        <v>0.0145071809781686</v>
      </c>
      <c r="Z61" s="7">
        <v>0.120445759486038</v>
      </c>
      <c r="AA61" s="7">
        <v>0.662342531572804</v>
      </c>
      <c r="AB61" s="7">
        <v>0.0997907451643561</v>
      </c>
      <c r="AC61" s="7">
        <v>0.120735042507834</v>
      </c>
      <c r="AD61" s="7">
        <v>0.663291618475118</v>
      </c>
      <c r="AE61" s="7">
        <v>0.101576697180907</v>
      </c>
      <c r="AF61" s="7">
        <v>0.128646960245839</v>
      </c>
      <c r="AG61" s="7">
        <v>0.618874559267203</v>
      </c>
      <c r="AH61" s="14">
        <v>10.0</v>
      </c>
      <c r="AI61" s="7">
        <v>2.66363826908522</v>
      </c>
      <c r="AJ61" s="7">
        <v>11.5643510074967</v>
      </c>
      <c r="AK61" s="7">
        <v>3.40063979384714</v>
      </c>
      <c r="AL61" s="7">
        <v>0.651159397878596</v>
      </c>
      <c r="AM61" s="7">
        <v>2.76087728288052</v>
      </c>
      <c r="AN61" s="7">
        <v>11.1578457690289</v>
      </c>
      <c r="AO61" s="7">
        <v>3.34033617605008</v>
      </c>
      <c r="AP61" s="7">
        <v>0.663291618475118</v>
      </c>
      <c r="AQ61" s="7">
        <v>2.8102886220051</v>
      </c>
      <c r="AR61" s="7">
        <v>12.6681364645807</v>
      </c>
      <c r="AS61" s="7">
        <v>3.55923256680155</v>
      </c>
      <c r="AT61" s="7">
        <v>0.618874559267202</v>
      </c>
      <c r="AU61" s="4">
        <f t="shared" ref="AU61:AV61" si="120">(AB61-AB$36)/AB$37</f>
        <v>0.5831013171</v>
      </c>
      <c r="AV61" s="4">
        <f t="shared" si="120"/>
        <v>0.4588341579</v>
      </c>
      <c r="AW61" s="4">
        <f t="shared" si="5"/>
        <v>0.2997714135</v>
      </c>
      <c r="AX61" s="4">
        <f t="shared" si="6"/>
        <v>0.2644860809</v>
      </c>
      <c r="AY61" s="4">
        <f t="shared" si="7"/>
        <v>0.01989128075</v>
      </c>
      <c r="AZ61" s="4">
        <f t="shared" si="8"/>
        <v>0.0261881903</v>
      </c>
      <c r="BA61" s="4">
        <f t="shared" si="9"/>
        <v>0.1900011396</v>
      </c>
      <c r="BB61" s="4">
        <f t="shared" si="10"/>
        <v>0.1190164654</v>
      </c>
      <c r="BC61" s="4">
        <f t="shared" si="11"/>
        <v>-0.09918837077</v>
      </c>
      <c r="BD61" s="4">
        <f t="shared" ref="BD61:BE61" si="121">((R61-R$36)/R$37)</f>
        <v>0.07655776316</v>
      </c>
      <c r="BE61" s="4">
        <f t="shared" si="121"/>
        <v>1.009540508</v>
      </c>
      <c r="BF61" s="3"/>
    </row>
    <row r="62">
      <c r="A62" s="3" t="s">
        <v>77</v>
      </c>
      <c r="B62" s="4">
        <f t="shared" si="3"/>
        <v>-0.2690406487</v>
      </c>
      <c r="C62" s="3" t="s">
        <v>59</v>
      </c>
      <c r="D62" s="3" t="s">
        <v>58</v>
      </c>
      <c r="E62" s="5" t="s">
        <v>82</v>
      </c>
      <c r="F62" s="3" t="s">
        <v>78</v>
      </c>
      <c r="G62" s="5" t="s">
        <v>88</v>
      </c>
      <c r="H62" s="5" t="s">
        <v>63</v>
      </c>
      <c r="I62" s="6">
        <v>150.0</v>
      </c>
      <c r="J62" s="5" t="s">
        <v>92</v>
      </c>
      <c r="K62" s="3" t="s">
        <v>72</v>
      </c>
      <c r="L62" s="5" t="s">
        <v>73</v>
      </c>
      <c r="M62" s="3" t="s">
        <v>74</v>
      </c>
      <c r="N62" s="3" t="s">
        <v>68</v>
      </c>
      <c r="O62" s="3" t="s">
        <v>69</v>
      </c>
      <c r="P62" s="5" t="s">
        <v>75</v>
      </c>
      <c r="Q62" s="5" t="s">
        <v>75</v>
      </c>
      <c r="R62" s="7">
        <v>194.392905950546</v>
      </c>
      <c r="S62" s="7">
        <v>322.579672336578</v>
      </c>
      <c r="T62" s="7">
        <v>2.80681649278244</v>
      </c>
      <c r="U62" s="7">
        <v>12.7289755637323</v>
      </c>
      <c r="V62" s="7">
        <v>3.56776898968141</v>
      </c>
      <c r="W62" s="7">
        <v>0.612007143744539</v>
      </c>
      <c r="X62" s="7">
        <v>0.0858316513646991</v>
      </c>
      <c r="Y62" s="7">
        <v>0.0106460367333523</v>
      </c>
      <c r="Z62" s="7">
        <v>0.103179633326312</v>
      </c>
      <c r="AA62" s="7">
        <v>0.743816903563292</v>
      </c>
      <c r="AB62" s="7">
        <v>0.0866098827015395</v>
      </c>
      <c r="AC62" s="7">
        <v>0.103677272201746</v>
      </c>
      <c r="AD62" s="7">
        <v>0.746535168714666</v>
      </c>
      <c r="AE62" s="7">
        <v>0.105045259722531</v>
      </c>
      <c r="AF62" s="7">
        <v>0.136690951509185</v>
      </c>
      <c r="AG62" s="7">
        <v>0.566000263373035</v>
      </c>
      <c r="AH62" s="14">
        <v>10.0</v>
      </c>
      <c r="AI62" s="7">
        <v>2.80681649278243</v>
      </c>
      <c r="AJ62" s="7">
        <v>12.7289755637323</v>
      </c>
      <c r="AK62" s="7">
        <v>3.56776898968141</v>
      </c>
      <c r="AL62" s="7">
        <v>0.611741793684534</v>
      </c>
      <c r="AM62" s="7">
        <v>2.39620675474259</v>
      </c>
      <c r="AN62" s="7">
        <v>8.22774455297365</v>
      </c>
      <c r="AO62" s="7">
        <v>2.86840453091499</v>
      </c>
      <c r="AP62" s="7">
        <v>0.746535168714666</v>
      </c>
      <c r="AQ62" s="7">
        <v>2.90625218565667</v>
      </c>
      <c r="AR62" s="7">
        <v>14.3018825967208</v>
      </c>
      <c r="AS62" s="7">
        <v>3.78178299175413</v>
      </c>
      <c r="AT62" s="7">
        <v>0.566000263373035</v>
      </c>
      <c r="AU62" s="4">
        <f t="shared" ref="AU62:AV62" si="122">(AB62-AB$36)/AB$37</f>
        <v>0.3436824345</v>
      </c>
      <c r="AV62" s="4">
        <f t="shared" si="122"/>
        <v>0.2139890423</v>
      </c>
      <c r="AW62" s="4">
        <f t="shared" si="5"/>
        <v>0.3419143887</v>
      </c>
      <c r="AX62" s="4">
        <f t="shared" si="6"/>
        <v>0.3398372147</v>
      </c>
      <c r="AY62" s="4">
        <f t="shared" si="7"/>
        <v>0.08839902727</v>
      </c>
      <c r="AZ62" s="4">
        <f t="shared" si="8"/>
        <v>0.08807850926</v>
      </c>
      <c r="BA62" s="4">
        <f t="shared" si="9"/>
        <v>0.09710276413</v>
      </c>
      <c r="BB62" s="4">
        <f t="shared" si="10"/>
        <v>0.190428567</v>
      </c>
      <c r="BC62" s="4">
        <f t="shared" si="11"/>
        <v>-0.04880735815</v>
      </c>
      <c r="BD62" s="4">
        <f t="shared" ref="BD62:BE62" si="123">((R62-R$36)/R$37)</f>
        <v>0.243098531</v>
      </c>
      <c r="BE62" s="4">
        <f t="shared" si="123"/>
        <v>1.061724015</v>
      </c>
      <c r="BF62" s="3"/>
    </row>
    <row r="63">
      <c r="A63" s="3" t="s">
        <v>57</v>
      </c>
      <c r="B63" s="4">
        <f t="shared" si="3"/>
        <v>-0.379080752</v>
      </c>
      <c r="C63" s="3" t="s">
        <v>58</v>
      </c>
      <c r="D63" s="3" t="s">
        <v>59</v>
      </c>
      <c r="E63" s="5" t="s">
        <v>82</v>
      </c>
      <c r="F63" s="3" t="s">
        <v>78</v>
      </c>
      <c r="G63" s="12" t="s">
        <v>88</v>
      </c>
      <c r="H63" s="5" t="s">
        <v>71</v>
      </c>
      <c r="I63" s="6">
        <v>150.0</v>
      </c>
      <c r="J63" s="12" t="s">
        <v>92</v>
      </c>
      <c r="K63" s="3" t="s">
        <v>72</v>
      </c>
      <c r="L63" s="5" t="s">
        <v>66</v>
      </c>
      <c r="M63" s="3" t="s">
        <v>67</v>
      </c>
      <c r="N63" s="3" t="s">
        <v>80</v>
      </c>
      <c r="O63" s="3" t="s">
        <v>69</v>
      </c>
      <c r="P63" s="5" t="s">
        <v>87</v>
      </c>
      <c r="Q63" s="3"/>
      <c r="R63" s="13">
        <v>494.825473308563</v>
      </c>
      <c r="S63" s="13">
        <v>409.494121789932</v>
      </c>
      <c r="T63" s="13">
        <v>2.46490603072543</v>
      </c>
      <c r="U63" s="13">
        <v>10.4041696579201</v>
      </c>
      <c r="V63" s="13">
        <v>3.22554951255133</v>
      </c>
      <c r="W63" s="13">
        <v>0.614169161236833</v>
      </c>
      <c r="X63" s="13">
        <v>0.09756096829627</v>
      </c>
      <c r="Y63" s="13">
        <v>0.0150562376428009</v>
      </c>
      <c r="Z63" s="13">
        <v>0.122703861564341</v>
      </c>
      <c r="AA63" s="13">
        <v>0.658253185794451</v>
      </c>
      <c r="AB63" s="13">
        <v>0.0983384831511408</v>
      </c>
      <c r="AC63" s="13">
        <v>0.12306738244558</v>
      </c>
      <c r="AD63" s="13">
        <v>0.65968262864482</v>
      </c>
      <c r="AE63" s="13">
        <v>0.101732229388399</v>
      </c>
      <c r="AF63" s="13">
        <v>0.137724689918231</v>
      </c>
      <c r="AG63" s="13">
        <v>0.582882900187941</v>
      </c>
      <c r="AH63" s="13">
        <v>10.0</v>
      </c>
      <c r="AI63" s="13">
        <v>2.46490603072532</v>
      </c>
      <c r="AJ63" s="13">
        <v>10.4041696579201</v>
      </c>
      <c r="AK63" s="13">
        <v>3.22554951255133</v>
      </c>
      <c r="AL63" s="13">
        <v>0.614062768203363</v>
      </c>
      <c r="AM63" s="13">
        <v>2.40929283720288</v>
      </c>
      <c r="AN63" s="13">
        <v>9.09113476835955</v>
      </c>
      <c r="AO63" s="13">
        <v>3.01515086991672</v>
      </c>
      <c r="AP63" s="13">
        <v>0.65968262864482</v>
      </c>
      <c r="AQ63" s="13">
        <v>2.49243962001572</v>
      </c>
      <c r="AR63" s="13">
        <v>11.3855961503971</v>
      </c>
      <c r="AS63" s="13">
        <v>3.37425490299668</v>
      </c>
      <c r="AT63" s="13">
        <v>0.582882900187941</v>
      </c>
      <c r="AU63" s="4">
        <f t="shared" ref="AU63:AV63" si="124">(AB63-AB$36)/AB$37</f>
        <v>0.5567222429</v>
      </c>
      <c r="AV63" s="4">
        <f t="shared" si="124"/>
        <v>0.4923122756</v>
      </c>
      <c r="AW63" s="4">
        <f t="shared" si="5"/>
        <v>0.1601861158</v>
      </c>
      <c r="AX63" s="4">
        <f t="shared" si="6"/>
        <v>0.2018563344</v>
      </c>
      <c r="AY63" s="4">
        <f t="shared" si="7"/>
        <v>-0.07519788476</v>
      </c>
      <c r="AZ63" s="4">
        <f t="shared" si="8"/>
        <v>-0.03865023188</v>
      </c>
      <c r="BA63" s="4">
        <f t="shared" si="9"/>
        <v>0.1940287104</v>
      </c>
      <c r="BB63" s="4">
        <f t="shared" si="10"/>
        <v>0.167626853</v>
      </c>
      <c r="BC63" s="4">
        <f t="shared" si="11"/>
        <v>-0.05177387651</v>
      </c>
      <c r="BD63" s="4">
        <f t="shared" ref="BD63:BE63" si="125">((R63-R$36)/R$37)</f>
        <v>0.9099636209</v>
      </c>
      <c r="BE63" s="4">
        <f t="shared" si="125"/>
        <v>1.652814112</v>
      </c>
      <c r="BF63" s="3"/>
    </row>
    <row r="64">
      <c r="A64" s="3" t="s">
        <v>77</v>
      </c>
      <c r="B64" s="4">
        <f t="shared" si="3"/>
        <v>-0.5862492941</v>
      </c>
      <c r="C64" s="3" t="s">
        <v>59</v>
      </c>
      <c r="D64" s="3" t="s">
        <v>58</v>
      </c>
      <c r="E64" s="5" t="s">
        <v>60</v>
      </c>
      <c r="F64" s="3" t="s">
        <v>78</v>
      </c>
      <c r="G64" s="5" t="s">
        <v>60</v>
      </c>
      <c r="H64" s="5" t="s">
        <v>71</v>
      </c>
      <c r="I64" s="6">
        <v>150.0</v>
      </c>
      <c r="J64" s="5" t="s">
        <v>92</v>
      </c>
      <c r="K64" s="3" t="s">
        <v>72</v>
      </c>
      <c r="L64" s="5" t="s">
        <v>73</v>
      </c>
      <c r="M64" s="3" t="s">
        <v>67</v>
      </c>
      <c r="N64" s="3" t="s">
        <v>80</v>
      </c>
      <c r="O64" s="3" t="s">
        <v>69</v>
      </c>
      <c r="P64" s="5" t="s">
        <v>75</v>
      </c>
      <c r="Q64" s="5" t="s">
        <v>75</v>
      </c>
      <c r="R64" s="7">
        <v>531.753926753997</v>
      </c>
      <c r="S64" s="7">
        <v>132.486864805221</v>
      </c>
      <c r="T64" s="7">
        <v>3.76558965205566</v>
      </c>
      <c r="U64" s="7">
        <v>21.7940269682694</v>
      </c>
      <c r="V64" s="7">
        <v>4.66840732673033</v>
      </c>
      <c r="W64" s="7">
        <v>0.33399857269161</v>
      </c>
      <c r="X64" s="7">
        <v>0.128059487680772</v>
      </c>
      <c r="Y64" s="7">
        <v>0.0240426551180881</v>
      </c>
      <c r="Z64" s="7">
        <v>0.155056941534676</v>
      </c>
      <c r="AA64" s="7">
        <v>0.459137302201609</v>
      </c>
      <c r="AB64" s="7">
        <v>0.129596299236224</v>
      </c>
      <c r="AC64" s="7">
        <v>0.156115217244531</v>
      </c>
      <c r="AD64" s="7">
        <v>0.465493246844914</v>
      </c>
      <c r="AE64" s="7">
        <v>0.137376294643336</v>
      </c>
      <c r="AF64" s="7">
        <v>0.174581216232512</v>
      </c>
      <c r="AG64" s="7">
        <v>0.324189491405627</v>
      </c>
      <c r="AH64" s="14">
        <v>10.0</v>
      </c>
      <c r="AI64" s="7">
        <v>3.76558965205566</v>
      </c>
      <c r="AJ64" s="7">
        <v>21.7940269682694</v>
      </c>
      <c r="AK64" s="7">
        <v>4.66840732673033</v>
      </c>
      <c r="AL64" s="7">
        <v>0.334056248531021</v>
      </c>
      <c r="AM64" s="7">
        <v>3.46670100456901</v>
      </c>
      <c r="AN64" s="7">
        <v>17.4396613826382</v>
      </c>
      <c r="AO64" s="7">
        <v>4.1760820612912</v>
      </c>
      <c r="AP64" s="7">
        <v>0.465493246844914</v>
      </c>
      <c r="AQ64" s="7">
        <v>3.67481588170925</v>
      </c>
      <c r="AR64" s="7">
        <v>21.8093439718715</v>
      </c>
      <c r="AS64" s="7">
        <v>4.6700475342197</v>
      </c>
      <c r="AT64" s="7">
        <v>0.324189491405627</v>
      </c>
      <c r="AU64" s="4">
        <f t="shared" ref="AU64:AV64" si="126">(AB64-AB$36)/AB$37</f>
        <v>1.124493238</v>
      </c>
      <c r="AV64" s="4">
        <f t="shared" si="126"/>
        <v>0.9666767902</v>
      </c>
      <c r="AW64" s="4">
        <f t="shared" si="5"/>
        <v>0.6794337506</v>
      </c>
      <c r="AX64" s="4">
        <f t="shared" si="6"/>
        <v>0.6405858672</v>
      </c>
      <c r="AY64" s="4">
        <f t="shared" si="7"/>
        <v>0.5471516704</v>
      </c>
      <c r="AZ64" s="4">
        <f t="shared" si="8"/>
        <v>0.4956605443</v>
      </c>
      <c r="BA64" s="4">
        <f t="shared" si="9"/>
        <v>0.4107407325</v>
      </c>
      <c r="BB64" s="4">
        <f t="shared" si="10"/>
        <v>0.5170185505</v>
      </c>
      <c r="BC64" s="4">
        <f t="shared" si="11"/>
        <v>0.3061122074</v>
      </c>
      <c r="BD64" s="4">
        <f t="shared" ref="BD64:BE64" si="127">((R64-R$36)/R$37)</f>
        <v>0.9919330846</v>
      </c>
      <c r="BE64" s="4">
        <f t="shared" si="127"/>
        <v>-0.2310642014</v>
      </c>
      <c r="BF64" s="3"/>
    </row>
    <row r="65">
      <c r="A65" s="3" t="s">
        <v>57</v>
      </c>
      <c r="B65" s="4">
        <f t="shared" si="3"/>
        <v>-0.9611992356</v>
      </c>
      <c r="C65" s="3" t="s">
        <v>59</v>
      </c>
      <c r="D65" s="3" t="s">
        <v>58</v>
      </c>
      <c r="E65" s="5" t="s">
        <v>82</v>
      </c>
      <c r="F65" s="3" t="s">
        <v>78</v>
      </c>
      <c r="G65" s="5" t="s">
        <v>88</v>
      </c>
      <c r="H65" s="5" t="s">
        <v>71</v>
      </c>
      <c r="I65" s="6">
        <v>150.0</v>
      </c>
      <c r="J65" s="5" t="s">
        <v>92</v>
      </c>
      <c r="K65" s="3" t="s">
        <v>72</v>
      </c>
      <c r="L65" s="5" t="s">
        <v>66</v>
      </c>
      <c r="M65" s="3" t="s">
        <v>67</v>
      </c>
      <c r="N65" s="3" t="s">
        <v>80</v>
      </c>
      <c r="O65" s="3" t="s">
        <v>69</v>
      </c>
      <c r="P65" s="5" t="s">
        <v>75</v>
      </c>
      <c r="Q65" s="3"/>
      <c r="R65" s="7">
        <v>592.256257295608</v>
      </c>
      <c r="S65" s="7">
        <v>334.030455350875</v>
      </c>
      <c r="T65" s="7">
        <v>4.33523509376732</v>
      </c>
      <c r="U65" s="7">
        <v>31.078534857806</v>
      </c>
      <c r="V65" s="7">
        <v>5.57481254014931</v>
      </c>
      <c r="W65" s="7">
        <v>0.0494828841743756</v>
      </c>
      <c r="X65" s="7">
        <v>0.133097846765612</v>
      </c>
      <c r="Y65" s="7">
        <v>0.0287646384404686</v>
      </c>
      <c r="Z65" s="7">
        <v>0.169601410490799</v>
      </c>
      <c r="AA65" s="7">
        <v>0.303242139092395</v>
      </c>
      <c r="AB65" s="7">
        <v>0.135427980864005</v>
      </c>
      <c r="AC65" s="7">
        <v>0.17131534661265</v>
      </c>
      <c r="AD65" s="7">
        <v>0.304124234741255</v>
      </c>
      <c r="AE65" s="7">
        <v>0.160824438862049</v>
      </c>
      <c r="AF65" s="7">
        <v>0.207463631970722</v>
      </c>
      <c r="AG65" s="7">
        <v>-0.00190669203028237</v>
      </c>
      <c r="AH65" s="14">
        <v>10.0</v>
      </c>
      <c r="AI65" s="7">
        <v>4.33523509376734</v>
      </c>
      <c r="AJ65" s="7">
        <v>31.078534857806</v>
      </c>
      <c r="AK65" s="7">
        <v>5.57481254014931</v>
      </c>
      <c r="AL65" s="7">
        <v>0.0490703739236415</v>
      </c>
      <c r="AM65" s="7">
        <v>3.74684080390438</v>
      </c>
      <c r="AN65" s="7">
        <v>22.4649891854168</v>
      </c>
      <c r="AO65" s="7">
        <v>4.73972458961665</v>
      </c>
      <c r="AP65" s="7">
        <v>0.304124234741255</v>
      </c>
      <c r="AQ65" s="7">
        <v>4.44947614185037</v>
      </c>
      <c r="AR65" s="7">
        <v>32.9456157255378</v>
      </c>
      <c r="AS65" s="7">
        <v>5.73982715118999</v>
      </c>
      <c r="AT65" s="7">
        <v>-0.00190669203028237</v>
      </c>
      <c r="AU65" s="4">
        <f t="shared" ref="AU65:AV65" si="128">(AB65-AB$36)/AB$37</f>
        <v>1.230420654</v>
      </c>
      <c r="AV65" s="4">
        <f t="shared" si="128"/>
        <v>1.184857559</v>
      </c>
      <c r="AW65" s="4">
        <f t="shared" si="5"/>
        <v>1.019630455</v>
      </c>
      <c r="AX65" s="4">
        <f t="shared" si="6"/>
        <v>1.002791903</v>
      </c>
      <c r="AY65" s="4">
        <f t="shared" si="7"/>
        <v>0.8197149452</v>
      </c>
      <c r="AZ65" s="4">
        <f t="shared" si="8"/>
        <v>0.8313152902</v>
      </c>
      <c r="BA65" s="4">
        <f t="shared" si="9"/>
        <v>0.5908257846</v>
      </c>
      <c r="BB65" s="4">
        <f t="shared" si="10"/>
        <v>0.9574445343</v>
      </c>
      <c r="BC65" s="4">
        <f t="shared" si="11"/>
        <v>0.6703625783</v>
      </c>
      <c r="BD65" s="4">
        <f t="shared" ref="BD65:BE65" si="129">((R65-R$36)/R$37)</f>
        <v>1.126229085</v>
      </c>
      <c r="BE65" s="4">
        <f t="shared" si="129"/>
        <v>1.139598804</v>
      </c>
      <c r="BF65" s="3"/>
    </row>
    <row r="66">
      <c r="A66" s="3" t="s">
        <v>77</v>
      </c>
      <c r="B66" s="4">
        <f t="shared" si="3"/>
        <v>0.2030389814</v>
      </c>
      <c r="C66" s="3" t="s">
        <v>58</v>
      </c>
      <c r="D66" s="3" t="s">
        <v>59</v>
      </c>
      <c r="E66" s="5" t="s">
        <v>60</v>
      </c>
      <c r="F66" s="3" t="s">
        <v>61</v>
      </c>
      <c r="G66" s="5" t="s">
        <v>62</v>
      </c>
      <c r="H66" s="5" t="s">
        <v>63</v>
      </c>
      <c r="I66" s="6">
        <v>20.0</v>
      </c>
      <c r="J66" s="5" t="s">
        <v>85</v>
      </c>
      <c r="K66" s="3" t="s">
        <v>72</v>
      </c>
      <c r="L66" s="5" t="s">
        <v>66</v>
      </c>
      <c r="M66" s="3" t="s">
        <v>67</v>
      </c>
      <c r="N66" s="3" t="s">
        <v>68</v>
      </c>
      <c r="O66" s="3" t="s">
        <v>69</v>
      </c>
      <c r="P66" s="5" t="s">
        <v>75</v>
      </c>
      <c r="Q66" s="3"/>
      <c r="R66" s="7">
        <v>129.909317016601</v>
      </c>
      <c r="S66" s="7">
        <v>165.220059394836</v>
      </c>
      <c r="T66" s="7">
        <v>1.55280398678682</v>
      </c>
      <c r="U66" s="7">
        <v>4.07103972854558</v>
      </c>
      <c r="V66" s="7">
        <v>2.01768177088102</v>
      </c>
      <c r="W66" s="7">
        <v>0.843657639567344</v>
      </c>
      <c r="X66" s="7">
        <v>0.060304307205408</v>
      </c>
      <c r="Y66" s="7">
        <v>0.00577574670126734</v>
      </c>
      <c r="Z66" s="7">
        <v>0.0759983335426991</v>
      </c>
      <c r="AA66" s="7">
        <v>0.878510155393817</v>
      </c>
      <c r="AB66" s="7">
        <v>0.0602710395973338</v>
      </c>
      <c r="AC66" s="7">
        <v>0.0758948569776341</v>
      </c>
      <c r="AD66" s="7">
        <v>0.879430047539825</v>
      </c>
      <c r="AE66" s="7">
        <v>0.070193358919852</v>
      </c>
      <c r="AF66" s="7">
        <v>0.0901403946277564</v>
      </c>
      <c r="AG66" s="7">
        <v>0.830637234346895</v>
      </c>
      <c r="AH66" s="7">
        <v>10.0</v>
      </c>
      <c r="AI66" s="7">
        <v>1.55280398678682</v>
      </c>
      <c r="AJ66" s="7">
        <v>4.07103972854558</v>
      </c>
      <c r="AK66" s="7">
        <v>2.01768177088102</v>
      </c>
      <c r="AL66" s="7">
        <v>0.843646105931895</v>
      </c>
      <c r="AM66" s="7">
        <v>1.40548715949895</v>
      </c>
      <c r="AN66" s="7">
        <v>3.13228371952835</v>
      </c>
      <c r="AO66" s="7">
        <v>1.769825900909</v>
      </c>
      <c r="AP66" s="7">
        <v>0.879430047539825</v>
      </c>
      <c r="AQ66" s="7">
        <v>1.63687013370045</v>
      </c>
      <c r="AR66" s="7">
        <v>4.41850458010478</v>
      </c>
      <c r="AS66" s="7">
        <v>2.10202392472226</v>
      </c>
      <c r="AT66" s="7">
        <v>0.830637234346895</v>
      </c>
      <c r="AU66" s="4">
        <f t="shared" ref="AU66:AV66" si="130">(AB66-AB$36)/AB$37</f>
        <v>-0.1347397022</v>
      </c>
      <c r="AV66" s="4">
        <f t="shared" si="130"/>
        <v>-0.1847962939</v>
      </c>
      <c r="AW66" s="4">
        <f t="shared" si="5"/>
        <v>-0.2155423614</v>
      </c>
      <c r="AX66" s="4">
        <f t="shared" si="6"/>
        <v>-0.2288956929</v>
      </c>
      <c r="AY66" s="4">
        <f t="shared" si="7"/>
        <v>-0.5116193881</v>
      </c>
      <c r="AZ66" s="4">
        <f t="shared" si="8"/>
        <v>-0.485940841</v>
      </c>
      <c r="BA66" s="4">
        <f t="shared" si="9"/>
        <v>-0.05120564314</v>
      </c>
      <c r="BB66" s="4">
        <f t="shared" si="10"/>
        <v>-0.1669905143</v>
      </c>
      <c r="BC66" s="4">
        <f t="shared" si="11"/>
        <v>-0.3452123356</v>
      </c>
      <c r="BD66" s="4">
        <f t="shared" ref="BD66:BE66" si="131">((R66-R$36)/R$37)</f>
        <v>0.099965399</v>
      </c>
      <c r="BE66" s="4">
        <f t="shared" si="131"/>
        <v>-0.008451421908</v>
      </c>
      <c r="BF66" s="3"/>
    </row>
    <row r="67">
      <c r="A67" s="3" t="s">
        <v>77</v>
      </c>
      <c r="B67" s="4">
        <f t="shared" si="3"/>
        <v>0.1943599402</v>
      </c>
      <c r="C67" s="3" t="s">
        <v>58</v>
      </c>
      <c r="D67" s="3" t="s">
        <v>59</v>
      </c>
      <c r="E67" s="5" t="s">
        <v>60</v>
      </c>
      <c r="F67" s="3" t="s">
        <v>61</v>
      </c>
      <c r="G67" s="5" t="s">
        <v>62</v>
      </c>
      <c r="H67" s="5" t="s">
        <v>71</v>
      </c>
      <c r="I67" s="6">
        <v>20.0</v>
      </c>
      <c r="J67" s="5" t="s">
        <v>85</v>
      </c>
      <c r="K67" s="3" t="s">
        <v>65</v>
      </c>
      <c r="L67" s="5" t="s">
        <v>66</v>
      </c>
      <c r="M67" s="3" t="s">
        <v>67</v>
      </c>
      <c r="N67" s="3" t="s">
        <v>80</v>
      </c>
      <c r="O67" s="3" t="s">
        <v>69</v>
      </c>
      <c r="P67" s="5" t="s">
        <v>81</v>
      </c>
      <c r="Q67" s="3"/>
      <c r="R67" s="7">
        <v>377.022311210632</v>
      </c>
      <c r="S67" s="7">
        <v>179.162210702896</v>
      </c>
      <c r="T67" s="7">
        <v>1.47479557565341</v>
      </c>
      <c r="U67" s="7">
        <v>3.68223829325961</v>
      </c>
      <c r="V67" s="7">
        <v>1.91891591615151</v>
      </c>
      <c r="W67" s="7">
        <v>0.859586959003407</v>
      </c>
      <c r="X67" s="7">
        <v>0.0473249326747795</v>
      </c>
      <c r="Y67" s="7">
        <v>0.00367242968057736</v>
      </c>
      <c r="Z67" s="7">
        <v>0.0606005749195283</v>
      </c>
      <c r="AA67" s="7">
        <v>0.923131947085324</v>
      </c>
      <c r="AB67" s="7">
        <v>0.0471698024075215</v>
      </c>
      <c r="AC67" s="7">
        <v>0.0604453547748354</v>
      </c>
      <c r="AD67" s="7">
        <v>0.923909868565282</v>
      </c>
      <c r="AE67" s="7">
        <v>0.0724240337471738</v>
      </c>
      <c r="AF67" s="7">
        <v>0.0928134033671882</v>
      </c>
      <c r="AG67" s="7">
        <v>0.821917506906944</v>
      </c>
      <c r="AH67" s="7">
        <v>10.0</v>
      </c>
      <c r="AI67" s="7">
        <v>1.47479557565341</v>
      </c>
      <c r="AJ67" s="7">
        <v>3.68223829325961</v>
      </c>
      <c r="AK67" s="7">
        <v>1.91891591615151</v>
      </c>
      <c r="AL67" s="7">
        <v>0.85954084812663</v>
      </c>
      <c r="AM67" s="7">
        <v>1.09997358669762</v>
      </c>
      <c r="AN67" s="7">
        <v>1.9868371017432</v>
      </c>
      <c r="AO67" s="7">
        <v>1.40955209259651</v>
      </c>
      <c r="AP67" s="7">
        <v>0.923909868565282</v>
      </c>
      <c r="AQ67" s="7">
        <v>1.6888882314098</v>
      </c>
      <c r="AR67" s="7">
        <v>4.68444123869022</v>
      </c>
      <c r="AS67" s="7">
        <v>2.16435700352096</v>
      </c>
      <c r="AT67" s="7">
        <v>0.821917506906944</v>
      </c>
      <c r="AU67" s="4">
        <f t="shared" ref="AU67:AV67" si="132">(AB67-AB$36)/AB$37</f>
        <v>-0.372712261</v>
      </c>
      <c r="AV67" s="4">
        <f t="shared" si="132"/>
        <v>-0.406556529</v>
      </c>
      <c r="AW67" s="4">
        <f t="shared" si="5"/>
        <v>-0.1926983015</v>
      </c>
      <c r="AX67" s="4">
        <f t="shared" si="6"/>
        <v>-0.207790956</v>
      </c>
      <c r="AY67" s="4">
        <f t="shared" si="7"/>
        <v>-0.54894476</v>
      </c>
      <c r="AZ67" s="4">
        <f t="shared" si="8"/>
        <v>-0.5225152421</v>
      </c>
      <c r="BA67" s="4">
        <f t="shared" si="9"/>
        <v>-0.1008443611</v>
      </c>
      <c r="BB67" s="4">
        <f t="shared" si="10"/>
        <v>-0.1552136376</v>
      </c>
      <c r="BC67" s="4">
        <f t="shared" si="11"/>
        <v>-0.3655279591</v>
      </c>
      <c r="BD67" s="4">
        <f t="shared" ref="BD67:BE67" si="133">((R67-R$36)/R$37)</f>
        <v>0.6484779339</v>
      </c>
      <c r="BE67" s="4">
        <f t="shared" si="133"/>
        <v>0.08636673115</v>
      </c>
      <c r="BF67" s="3"/>
    </row>
    <row r="68">
      <c r="A68" s="3" t="s">
        <v>57</v>
      </c>
      <c r="B68" s="4">
        <f t="shared" si="3"/>
        <v>-0.009243806757</v>
      </c>
      <c r="C68" s="3" t="s">
        <v>58</v>
      </c>
      <c r="D68" s="3" t="s">
        <v>59</v>
      </c>
      <c r="E68" s="5" t="s">
        <v>60</v>
      </c>
      <c r="F68" s="3" t="s">
        <v>78</v>
      </c>
      <c r="G68" s="5" t="s">
        <v>60</v>
      </c>
      <c r="H68" s="5" t="s">
        <v>63</v>
      </c>
      <c r="I68" s="6">
        <v>20.0</v>
      </c>
      <c r="J68" s="5" t="s">
        <v>85</v>
      </c>
      <c r="K68" s="3" t="s">
        <v>72</v>
      </c>
      <c r="L68" s="5" t="s">
        <v>73</v>
      </c>
      <c r="M68" s="3" t="s">
        <v>67</v>
      </c>
      <c r="N68" s="3" t="s">
        <v>80</v>
      </c>
      <c r="O68" s="3" t="s">
        <v>69</v>
      </c>
      <c r="P68" s="5" t="s">
        <v>76</v>
      </c>
      <c r="Q68" s="5" t="s">
        <v>86</v>
      </c>
      <c r="R68" s="7">
        <v>78.3854303359985</v>
      </c>
      <c r="S68" s="7">
        <v>164.147175312042</v>
      </c>
      <c r="T68" s="7">
        <v>2.04569469010359</v>
      </c>
      <c r="U68" s="7">
        <v>7.32961986869531</v>
      </c>
      <c r="V68" s="7">
        <v>2.70732707087549</v>
      </c>
      <c r="W68" s="7">
        <v>0.718329822997733</v>
      </c>
      <c r="X68" s="7">
        <v>0.0810463007493768</v>
      </c>
      <c r="Y68" s="7">
        <v>0.0108049566344382</v>
      </c>
      <c r="Z68" s="7">
        <v>0.103946893337118</v>
      </c>
      <c r="AA68" s="7">
        <v>0.769291702738356</v>
      </c>
      <c r="AB68" s="7">
        <v>0.0805379187310101</v>
      </c>
      <c r="AC68" s="7">
        <v>0.103277391027616</v>
      </c>
      <c r="AD68" s="7">
        <v>0.774690222077437</v>
      </c>
      <c r="AE68" s="7">
        <v>0.101989475417448</v>
      </c>
      <c r="AF68" s="7">
        <v>0.132903701006789</v>
      </c>
      <c r="AG68" s="7">
        <v>0.63533147772598</v>
      </c>
      <c r="AH68" s="7">
        <v>10.0</v>
      </c>
      <c r="AI68" s="7">
        <v>2.04569469010359</v>
      </c>
      <c r="AJ68" s="7">
        <v>7.32961986869531</v>
      </c>
      <c r="AK68" s="7">
        <v>2.70732707087549</v>
      </c>
      <c r="AL68" s="7">
        <v>0.718112239216422</v>
      </c>
      <c r="AM68" s="7">
        <v>1.87809952151899</v>
      </c>
      <c r="AN68" s="7">
        <v>5.80025271573505</v>
      </c>
      <c r="AO68" s="7">
        <v>2.40837138243566</v>
      </c>
      <c r="AP68" s="7">
        <v>0.774690222077437</v>
      </c>
      <c r="AQ68" s="7">
        <v>2.37833790591522</v>
      </c>
      <c r="AR68" s="7">
        <v>9.60529150383372</v>
      </c>
      <c r="AS68" s="7">
        <v>3.09924047208888</v>
      </c>
      <c r="AT68" s="7">
        <v>0.63533147772598</v>
      </c>
      <c r="AU68" s="4">
        <f t="shared" ref="AU68:AV68" si="134">(AB68-AB$36)/AB$37</f>
        <v>0.2333904993</v>
      </c>
      <c r="AV68" s="4">
        <f t="shared" si="134"/>
        <v>0.2082491977</v>
      </c>
      <c r="AW68" s="4">
        <f t="shared" si="5"/>
        <v>0.1100776629</v>
      </c>
      <c r="AX68" s="4">
        <f t="shared" si="6"/>
        <v>0.1087419348</v>
      </c>
      <c r="AY68" s="4">
        <f t="shared" si="7"/>
        <v>-0.2757816294</v>
      </c>
      <c r="AZ68" s="4">
        <f t="shared" si="8"/>
        <v>-0.2305553748</v>
      </c>
      <c r="BA68" s="4">
        <f t="shared" si="9"/>
        <v>0.06568220709</v>
      </c>
      <c r="BB68" s="4">
        <f t="shared" si="10"/>
        <v>0.0967897272</v>
      </c>
      <c r="BC68" s="4">
        <f t="shared" si="11"/>
        <v>-0.1847631289</v>
      </c>
      <c r="BD68" s="4">
        <f t="shared" ref="BD68:BE68" si="135">((R68-R$36)/R$37)</f>
        <v>-0.01440130106</v>
      </c>
      <c r="BE68" s="4">
        <f t="shared" si="135"/>
        <v>-0.01574792048</v>
      </c>
      <c r="BF68" s="3"/>
    </row>
    <row r="69">
      <c r="A69" s="3" t="s">
        <v>77</v>
      </c>
      <c r="B69" s="4">
        <f t="shared" si="3"/>
        <v>-0.04895584006</v>
      </c>
      <c r="C69" s="3" t="s">
        <v>58</v>
      </c>
      <c r="D69" s="3" t="s">
        <v>59</v>
      </c>
      <c r="E69" s="5" t="s">
        <v>82</v>
      </c>
      <c r="F69" s="3" t="s">
        <v>78</v>
      </c>
      <c r="G69" s="5" t="s">
        <v>88</v>
      </c>
      <c r="H69" s="5" t="s">
        <v>63</v>
      </c>
      <c r="I69" s="6">
        <v>20.0</v>
      </c>
      <c r="J69" s="5" t="s">
        <v>85</v>
      </c>
      <c r="K69" s="3" t="s">
        <v>72</v>
      </c>
      <c r="L69" s="5" t="s">
        <v>66</v>
      </c>
      <c r="M69" s="3" t="s">
        <v>74</v>
      </c>
      <c r="N69" s="3" t="s">
        <v>80</v>
      </c>
      <c r="O69" s="3" t="s">
        <v>69</v>
      </c>
      <c r="P69" s="5" t="s">
        <v>86</v>
      </c>
      <c r="Q69" s="3"/>
      <c r="R69" s="7">
        <v>194.473452568054</v>
      </c>
      <c r="S69" s="7">
        <v>407.446476459503</v>
      </c>
      <c r="T69" s="7">
        <v>1.89162088087554</v>
      </c>
      <c r="U69" s="7">
        <v>5.98021562768867</v>
      </c>
      <c r="V69" s="7">
        <v>2.44544794008964</v>
      </c>
      <c r="W69" s="7">
        <v>0.777933542835368</v>
      </c>
      <c r="X69" s="7">
        <v>0.0666032425521062</v>
      </c>
      <c r="Y69" s="7">
        <v>0.0069729602576278</v>
      </c>
      <c r="Z69" s="7">
        <v>0.0835042529313795</v>
      </c>
      <c r="AA69" s="7">
        <v>0.841614022283121</v>
      </c>
      <c r="AB69" s="7">
        <v>0.0665819033737691</v>
      </c>
      <c r="AC69" s="7">
        <v>0.083220104154869</v>
      </c>
      <c r="AD69" s="7">
        <v>0.844231092655733</v>
      </c>
      <c r="AE69" s="7">
        <v>0.0769354723531266</v>
      </c>
      <c r="AF69" s="7">
        <v>0.101502633290916</v>
      </c>
      <c r="AG69" s="7">
        <v>0.772696651053668</v>
      </c>
      <c r="AH69" s="7">
        <v>10.0</v>
      </c>
      <c r="AI69" s="7">
        <v>1.8916208808755</v>
      </c>
      <c r="AJ69" s="7">
        <v>5.98021562768867</v>
      </c>
      <c r="AK69" s="7">
        <v>2.44544794008964</v>
      </c>
      <c r="AL69" s="7">
        <v>0.777738376569397</v>
      </c>
      <c r="AM69" s="7">
        <v>1.63125663265737</v>
      </c>
      <c r="AN69" s="7">
        <v>4.15708283776223</v>
      </c>
      <c r="AO69" s="7">
        <v>2.03889255179429</v>
      </c>
      <c r="AP69" s="7">
        <v>0.844231092655733</v>
      </c>
      <c r="AQ69" s="7">
        <v>1.88491907265162</v>
      </c>
      <c r="AR69" s="7">
        <v>6.18424643513533</v>
      </c>
      <c r="AS69" s="7">
        <v>2.48681451562743</v>
      </c>
      <c r="AT69" s="7">
        <v>0.772696651053668</v>
      </c>
      <c r="AU69" s="4">
        <f t="shared" ref="AU69:AV69" si="136">(AB69-AB$36)/AB$37</f>
        <v>-0.02010836017</v>
      </c>
      <c r="AV69" s="4">
        <f t="shared" si="136"/>
        <v>-0.07965060607</v>
      </c>
      <c r="AW69" s="4">
        <f t="shared" si="5"/>
        <v>-0.1066101805</v>
      </c>
      <c r="AX69" s="4">
        <f t="shared" si="6"/>
        <v>-0.09861327567</v>
      </c>
      <c r="AY69" s="4">
        <f t="shared" si="7"/>
        <v>-0.3495026828</v>
      </c>
      <c r="AZ69" s="4">
        <f t="shared" si="8"/>
        <v>-0.3275329427</v>
      </c>
      <c r="BA69" s="4">
        <f t="shared" si="9"/>
        <v>-0.01192421271</v>
      </c>
      <c r="BB69" s="4">
        <f t="shared" si="10"/>
        <v>-0.08873587746</v>
      </c>
      <c r="BC69" s="4">
        <f t="shared" si="11"/>
        <v>-0.2609733715</v>
      </c>
      <c r="BD69" s="4">
        <f t="shared" ref="BD69:BE69" si="137">((R69-R$36)/R$37)</f>
        <v>0.243277319</v>
      </c>
      <c r="BE69" s="4">
        <f t="shared" si="137"/>
        <v>1.638888431</v>
      </c>
      <c r="BF69" s="3"/>
    </row>
    <row r="70">
      <c r="A70" s="3" t="s">
        <v>57</v>
      </c>
      <c r="B70" s="4">
        <f t="shared" si="3"/>
        <v>-0.1475309591</v>
      </c>
      <c r="C70" s="3" t="s">
        <v>58</v>
      </c>
      <c r="D70" s="3" t="s">
        <v>59</v>
      </c>
      <c r="E70" s="5" t="s">
        <v>82</v>
      </c>
      <c r="F70" s="3" t="s">
        <v>61</v>
      </c>
      <c r="G70" s="5" t="s">
        <v>83</v>
      </c>
      <c r="H70" s="5" t="s">
        <v>63</v>
      </c>
      <c r="I70" s="6">
        <v>20.0</v>
      </c>
      <c r="J70" s="5" t="s">
        <v>85</v>
      </c>
      <c r="K70" s="3" t="s">
        <v>72</v>
      </c>
      <c r="L70" s="5" t="s">
        <v>73</v>
      </c>
      <c r="M70" s="3" t="s">
        <v>74</v>
      </c>
      <c r="N70" s="3" t="s">
        <v>68</v>
      </c>
      <c r="O70" s="3" t="s">
        <v>69</v>
      </c>
      <c r="P70" s="5" t="s">
        <v>86</v>
      </c>
      <c r="Q70" s="5" t="s">
        <v>76</v>
      </c>
      <c r="R70" s="7">
        <v>227.979334115982</v>
      </c>
      <c r="S70" s="7">
        <v>425.73728442192</v>
      </c>
      <c r="T70" s="7">
        <v>2.07295582416179</v>
      </c>
      <c r="U70" s="7">
        <v>6.75267935731356</v>
      </c>
      <c r="V70" s="7">
        <v>2.59859180274885</v>
      </c>
      <c r="W70" s="7">
        <v>0.74983726885322</v>
      </c>
      <c r="X70" s="7">
        <v>0.0754732762384296</v>
      </c>
      <c r="Y70" s="7">
        <v>0.00902630891411504</v>
      </c>
      <c r="Z70" s="7">
        <v>0.095006888771894</v>
      </c>
      <c r="AA70" s="7">
        <v>0.797773829213474</v>
      </c>
      <c r="AB70" s="7">
        <v>0.0753398224476389</v>
      </c>
      <c r="AC70" s="7">
        <v>0.0948162916493265</v>
      </c>
      <c r="AD70" s="7">
        <v>0.799530714602915</v>
      </c>
      <c r="AE70" s="7">
        <v>0.0911470011604847</v>
      </c>
      <c r="AF70" s="7">
        <v>0.113463815204741</v>
      </c>
      <c r="AG70" s="7">
        <v>0.714314511568062</v>
      </c>
      <c r="AH70" s="7">
        <v>10.0</v>
      </c>
      <c r="AI70" s="7">
        <v>2.0729558241617</v>
      </c>
      <c r="AJ70" s="7">
        <v>6.75267935731356</v>
      </c>
      <c r="AK70" s="7">
        <v>2.59859180274885</v>
      </c>
      <c r="AL70" s="7">
        <v>0.749813334055923</v>
      </c>
      <c r="AM70" s="7">
        <v>1.84582564996722</v>
      </c>
      <c r="AN70" s="7">
        <v>5.39632502956859</v>
      </c>
      <c r="AO70" s="7">
        <v>2.32299914540849</v>
      </c>
      <c r="AP70" s="7">
        <v>0.799530714602915</v>
      </c>
      <c r="AQ70" s="7">
        <v>2.23310152843181</v>
      </c>
      <c r="AR70" s="7">
        <v>7.72764092582971</v>
      </c>
      <c r="AS70" s="7">
        <v>2.77986347251617</v>
      </c>
      <c r="AT70" s="7">
        <v>0.714314511568062</v>
      </c>
      <c r="AU70" s="4">
        <f t="shared" ref="AU70:AV70" si="138">(AB70-AB$36)/AB$37</f>
        <v>0.1389716093</v>
      </c>
      <c r="AV70" s="4">
        <f t="shared" si="138"/>
        <v>0.08679962844</v>
      </c>
      <c r="AW70" s="4">
        <f t="shared" si="5"/>
        <v>0.04629623565</v>
      </c>
      <c r="AX70" s="4">
        <f t="shared" si="6"/>
        <v>0.000607254578</v>
      </c>
      <c r="AY70" s="4">
        <f t="shared" si="7"/>
        <v>-0.2627377543</v>
      </c>
      <c r="AZ70" s="4">
        <f t="shared" si="8"/>
        <v>-0.2708215916</v>
      </c>
      <c r="BA70" s="4">
        <f t="shared" si="9"/>
        <v>0.03796064313</v>
      </c>
      <c r="BB70" s="4">
        <f t="shared" si="10"/>
        <v>-0.009884874201</v>
      </c>
      <c r="BC70" s="4">
        <f t="shared" si="11"/>
        <v>-0.2252814022</v>
      </c>
      <c r="BD70" s="4">
        <f t="shared" ref="BD70:BE70" si="139">((R70-R$36)/R$37)</f>
        <v>0.3176497577</v>
      </c>
      <c r="BE70" s="4">
        <f t="shared" si="139"/>
        <v>1.763281044</v>
      </c>
      <c r="BF70" s="3"/>
    </row>
    <row r="71">
      <c r="A71" s="3" t="s">
        <v>57</v>
      </c>
      <c r="B71" s="4">
        <f t="shared" si="3"/>
        <v>-0.1788459736</v>
      </c>
      <c r="C71" s="3" t="s">
        <v>59</v>
      </c>
      <c r="D71" s="3" t="s">
        <v>58</v>
      </c>
      <c r="E71" s="5" t="s">
        <v>60</v>
      </c>
      <c r="F71" s="3" t="s">
        <v>78</v>
      </c>
      <c r="G71" s="5" t="s">
        <v>60</v>
      </c>
      <c r="H71" s="5" t="s">
        <v>63</v>
      </c>
      <c r="I71" s="6">
        <v>20.0</v>
      </c>
      <c r="J71" s="5" t="s">
        <v>85</v>
      </c>
      <c r="K71" s="3" t="s">
        <v>72</v>
      </c>
      <c r="L71" s="5" t="s">
        <v>66</v>
      </c>
      <c r="M71" s="3" t="s">
        <v>74</v>
      </c>
      <c r="N71" s="3" t="s">
        <v>80</v>
      </c>
      <c r="O71" s="3" t="s">
        <v>69</v>
      </c>
      <c r="P71" s="5" t="s">
        <v>76</v>
      </c>
      <c r="Q71" s="3"/>
      <c r="R71" s="11">
        <v>112.2860622406</v>
      </c>
      <c r="S71" s="11">
        <v>123.732687950134</v>
      </c>
      <c r="T71" s="7">
        <v>2.85761349406776</v>
      </c>
      <c r="U71" s="7">
        <v>13.9279194787287</v>
      </c>
      <c r="V71" s="7">
        <v>3.73201279187635</v>
      </c>
      <c r="W71" s="7">
        <v>0.582690434425594</v>
      </c>
      <c r="X71" s="7">
        <v>0.0948879102034817</v>
      </c>
      <c r="Y71" s="7">
        <v>0.01395951120624</v>
      </c>
      <c r="Z71" s="7">
        <v>0.118150375396102</v>
      </c>
      <c r="AA71" s="7">
        <v>0.690754370106879</v>
      </c>
      <c r="AB71" s="7">
        <v>0.0963713948934256</v>
      </c>
      <c r="AC71" s="7">
        <v>0.119300918927593</v>
      </c>
      <c r="AD71" s="7">
        <v>0.691753962143374</v>
      </c>
      <c r="AE71" s="7">
        <v>0.105417402602262</v>
      </c>
      <c r="AF71" s="7">
        <v>0.141691714650517</v>
      </c>
      <c r="AG71" s="7">
        <v>0.571708669535399</v>
      </c>
      <c r="AH71" s="7">
        <v>10.0</v>
      </c>
      <c r="AI71" s="7">
        <v>2.85761349406776</v>
      </c>
      <c r="AJ71" s="7">
        <v>13.9279194787287</v>
      </c>
      <c r="AK71" s="7">
        <v>3.73201279187635</v>
      </c>
      <c r="AL71" s="7">
        <v>0.582512086556829</v>
      </c>
      <c r="AM71" s="7">
        <v>2.57793481339914</v>
      </c>
      <c r="AN71" s="7">
        <v>10.1843930176894</v>
      </c>
      <c r="AO71" s="7">
        <v>3.19129958131313</v>
      </c>
      <c r="AP71" s="7">
        <v>0.691753962143374</v>
      </c>
      <c r="AQ71" s="7">
        <v>2.81991551961052</v>
      </c>
      <c r="AR71" s="7">
        <v>14.366020585307</v>
      </c>
      <c r="AS71" s="7">
        <v>3.79025336690135</v>
      </c>
      <c r="AT71" s="7">
        <v>0.571708669535399</v>
      </c>
      <c r="AU71" s="4">
        <f t="shared" ref="AU71:AU73" si="141">(AB71-$AB$36)/AB$37</f>
        <v>0.5209917986</v>
      </c>
      <c r="AV71" s="4">
        <f t="shared" ref="AV71:AV73" si="142">(AC71-AC$36)/AC$37</f>
        <v>0.4382489263</v>
      </c>
      <c r="AW71" s="4">
        <f t="shared" si="5"/>
        <v>0.3039991234</v>
      </c>
      <c r="AX71" s="4">
        <f t="shared" si="6"/>
        <v>0.3427051147</v>
      </c>
      <c r="AY71" s="4">
        <f t="shared" si="7"/>
        <v>0.1127043162</v>
      </c>
      <c r="AZ71" s="4">
        <f t="shared" si="8"/>
        <v>0.1489003259</v>
      </c>
      <c r="BA71" s="4">
        <f t="shared" si="9"/>
        <v>0.1582376518</v>
      </c>
      <c r="BB71" s="4">
        <f t="shared" si="10"/>
        <v>0.1827187853</v>
      </c>
      <c r="BC71" s="4">
        <f t="shared" si="11"/>
        <v>-0.01144785155</v>
      </c>
      <c r="BD71" s="4">
        <f t="shared" ref="BD71:BE71" si="140">((R71-R$36)/R$37)</f>
        <v>0.06084735836</v>
      </c>
      <c r="BE71" s="4">
        <f t="shared" si="140"/>
        <v>-0.2905998399</v>
      </c>
      <c r="BF71" s="4"/>
    </row>
    <row r="72">
      <c r="A72" s="3" t="s">
        <v>57</v>
      </c>
      <c r="B72" s="4">
        <f t="shared" si="3"/>
        <v>-0.273566914</v>
      </c>
      <c r="C72" s="3" t="s">
        <v>59</v>
      </c>
      <c r="D72" s="3" t="s">
        <v>58</v>
      </c>
      <c r="E72" s="5" t="s">
        <v>82</v>
      </c>
      <c r="F72" s="3" t="s">
        <v>61</v>
      </c>
      <c r="G72" s="5" t="s">
        <v>83</v>
      </c>
      <c r="H72" s="5" t="s">
        <v>63</v>
      </c>
      <c r="I72" s="6">
        <v>20.0</v>
      </c>
      <c r="J72" s="5" t="s">
        <v>85</v>
      </c>
      <c r="K72" s="3" t="s">
        <v>72</v>
      </c>
      <c r="L72" s="5" t="s">
        <v>66</v>
      </c>
      <c r="M72" s="3" t="s">
        <v>67</v>
      </c>
      <c r="N72" s="3" t="s">
        <v>68</v>
      </c>
      <c r="O72" s="3" t="s">
        <v>69</v>
      </c>
      <c r="P72" s="5" t="s">
        <v>76</v>
      </c>
      <c r="Q72" s="3"/>
      <c r="R72" s="11">
        <v>249.993406772613</v>
      </c>
      <c r="S72" s="11">
        <v>317.522227048873</v>
      </c>
      <c r="T72" s="7">
        <v>2.67155991833055</v>
      </c>
      <c r="U72" s="7">
        <v>11.1820703089677</v>
      </c>
      <c r="V72" s="7">
        <v>3.34396027323408</v>
      </c>
      <c r="W72" s="7">
        <v>0.662721680735378</v>
      </c>
      <c r="X72" s="7">
        <v>0.0925715462385737</v>
      </c>
      <c r="Y72" s="7">
        <v>0.0124597776280774</v>
      </c>
      <c r="Z72" s="7">
        <v>0.111623374022099</v>
      </c>
      <c r="AA72" s="7">
        <v>0.70999624410879</v>
      </c>
      <c r="AB72" s="7">
        <v>0.0928806348413743</v>
      </c>
      <c r="AC72" s="7">
        <v>0.111802287697465</v>
      </c>
      <c r="AD72" s="7">
        <v>0.711272181950805</v>
      </c>
      <c r="AE72" s="7">
        <v>0.104457505820395</v>
      </c>
      <c r="AF72" s="7">
        <v>0.131938375132258</v>
      </c>
      <c r="AG72" s="7">
        <v>0.599122995613297</v>
      </c>
      <c r="AH72" s="7">
        <v>10.0</v>
      </c>
      <c r="AI72" s="7">
        <v>2.67155991833054</v>
      </c>
      <c r="AJ72" s="7">
        <v>11.1820703089677</v>
      </c>
      <c r="AK72" s="7">
        <v>3.34396027323408</v>
      </c>
      <c r="AL72" s="7">
        <v>0.662690959742103</v>
      </c>
      <c r="AM72" s="7">
        <v>2.5696975639447</v>
      </c>
      <c r="AN72" s="7">
        <v>9.56786536893229</v>
      </c>
      <c r="AO72" s="7">
        <v>3.09319662629653</v>
      </c>
      <c r="AP72" s="7">
        <v>0.711272181950805</v>
      </c>
      <c r="AQ72" s="7">
        <v>2.88999099436428</v>
      </c>
      <c r="AR72" s="7">
        <v>13.3246539179301</v>
      </c>
      <c r="AS72" s="7">
        <v>3.6502950453258</v>
      </c>
      <c r="AT72" s="7">
        <v>0.599122995613297</v>
      </c>
      <c r="AU72" s="4">
        <f t="shared" si="141"/>
        <v>0.4575851837</v>
      </c>
      <c r="AV72" s="4">
        <f t="shared" si="142"/>
        <v>0.3306145053</v>
      </c>
      <c r="AW72" s="4">
        <f t="shared" si="5"/>
        <v>0.3347731889</v>
      </c>
      <c r="AX72" s="4">
        <f t="shared" si="6"/>
        <v>0.2953180193</v>
      </c>
      <c r="AY72" s="4">
        <f t="shared" si="7"/>
        <v>0.02368162208</v>
      </c>
      <c r="AZ72" s="4">
        <f t="shared" si="8"/>
        <v>0.005198957435</v>
      </c>
      <c r="BA72" s="4">
        <f t="shared" si="9"/>
        <v>0.136455653</v>
      </c>
      <c r="BB72" s="4">
        <f t="shared" si="10"/>
        <v>0.1456929563</v>
      </c>
      <c r="BC72" s="4">
        <f t="shared" si="11"/>
        <v>-0.1139272616</v>
      </c>
      <c r="BD72" s="4">
        <f t="shared" ref="BD72:BE72" si="143">((R72-R$36)/R$37)</f>
        <v>0.3665140226</v>
      </c>
      <c r="BE72" s="4">
        <f t="shared" si="143"/>
        <v>1.027329206</v>
      </c>
      <c r="BF72" s="4"/>
    </row>
    <row r="73">
      <c r="A73" s="3" t="s">
        <v>77</v>
      </c>
      <c r="B73" s="4">
        <f t="shared" si="3"/>
        <v>-0.2403272287</v>
      </c>
      <c r="C73" s="3" t="s">
        <v>59</v>
      </c>
      <c r="D73" s="3" t="s">
        <v>58</v>
      </c>
      <c r="E73" s="5" t="s">
        <v>60</v>
      </c>
      <c r="F73" s="3" t="s">
        <v>61</v>
      </c>
      <c r="G73" s="5" t="s">
        <v>62</v>
      </c>
      <c r="H73" s="5" t="s">
        <v>63</v>
      </c>
      <c r="I73" s="6">
        <v>20.0</v>
      </c>
      <c r="J73" s="5" t="s">
        <v>85</v>
      </c>
      <c r="K73" s="3" t="s">
        <v>72</v>
      </c>
      <c r="L73" s="5" t="s">
        <v>73</v>
      </c>
      <c r="M73" s="3" t="s">
        <v>79</v>
      </c>
      <c r="N73" s="3" t="s">
        <v>68</v>
      </c>
      <c r="O73" s="3" t="s">
        <v>69</v>
      </c>
      <c r="P73" s="5" t="s">
        <v>87</v>
      </c>
      <c r="Q73" s="3" t="s">
        <v>93</v>
      </c>
      <c r="R73" s="11">
        <v>149.871419429779</v>
      </c>
      <c r="S73" s="11">
        <v>136.624994993209</v>
      </c>
      <c r="T73" s="7">
        <v>3.28867545825084</v>
      </c>
      <c r="U73" s="7">
        <v>16.4688933464144</v>
      </c>
      <c r="V73" s="7">
        <v>4.05818843160522</v>
      </c>
      <c r="W73" s="7">
        <v>0.514379826929327</v>
      </c>
      <c r="X73" s="7">
        <v>0.104816414912405</v>
      </c>
      <c r="Y73" s="7">
        <v>0.0162985847785591</v>
      </c>
      <c r="Z73" s="7">
        <v>0.127665910792815</v>
      </c>
      <c r="AA73" s="7">
        <v>0.651868216443715</v>
      </c>
      <c r="AB73" s="7">
        <v>0.10526049596882</v>
      </c>
      <c r="AC73" s="7">
        <v>0.127963145292661</v>
      </c>
      <c r="AD73" s="7">
        <v>0.653027252283118</v>
      </c>
      <c r="AE73" s="7">
        <v>0.126444897803815</v>
      </c>
      <c r="AF73" s="7">
        <v>0.158319218885068</v>
      </c>
      <c r="AG73" s="7">
        <v>0.473088779172446</v>
      </c>
      <c r="AH73" s="7">
        <v>10.0</v>
      </c>
      <c r="AI73" s="7">
        <v>2.86691905213041</v>
      </c>
      <c r="AJ73" s="7">
        <v>12.5156452200174</v>
      </c>
      <c r="AK73" s="7">
        <v>3.53774578227682</v>
      </c>
      <c r="AL73" s="7">
        <v>0.514261893670243</v>
      </c>
      <c r="AM73" s="7">
        <v>2.45461628793957</v>
      </c>
      <c r="AN73" s="7">
        <v>8.90443180375641</v>
      </c>
      <c r="AO73" s="7">
        <v>2.98402945758858</v>
      </c>
      <c r="AP73" s="7">
        <v>0.653027252283118</v>
      </c>
      <c r="AQ73" s="7">
        <v>2.94862476961951</v>
      </c>
      <c r="AR73" s="7">
        <v>13.6302454440077</v>
      </c>
      <c r="AS73" s="7">
        <v>3.6919162292782</v>
      </c>
      <c r="AT73" s="7">
        <v>0.473088779172446</v>
      </c>
      <c r="AU73" s="4">
        <f t="shared" si="141"/>
        <v>0.6824545748</v>
      </c>
      <c r="AV73" s="4">
        <f t="shared" si="142"/>
        <v>0.5625854473</v>
      </c>
      <c r="AW73" s="4">
        <f t="shared" si="5"/>
        <v>0.3605225634</v>
      </c>
      <c r="AX73" s="4">
        <f t="shared" si="6"/>
        <v>0.3094101218</v>
      </c>
      <c r="AY73" s="4">
        <f t="shared" si="7"/>
        <v>0.1171568285</v>
      </c>
      <c r="AZ73" s="4">
        <f t="shared" si="8"/>
        <v>0.07696048842</v>
      </c>
      <c r="BA73" s="4">
        <f t="shared" si="9"/>
        <v>0.2014559964</v>
      </c>
      <c r="BB73" s="4">
        <f t="shared" si="10"/>
        <v>0.3159149539</v>
      </c>
      <c r="BC73" s="4">
        <f t="shared" si="11"/>
        <v>0.07578509676</v>
      </c>
      <c r="BD73" s="4">
        <f t="shared" ref="BD73:BE73" si="144">((R73-R$36)/R$37)</f>
        <v>0.1442749402</v>
      </c>
      <c r="BE73" s="4">
        <f t="shared" si="144"/>
        <v>-0.2029214957</v>
      </c>
      <c r="BF73" s="4"/>
    </row>
    <row r="74">
      <c r="A74" s="3" t="s">
        <v>77</v>
      </c>
      <c r="B74" s="4">
        <f t="shared" si="3"/>
        <v>-0.148284843</v>
      </c>
      <c r="C74" s="3" t="s">
        <v>58</v>
      </c>
      <c r="D74" s="3" t="s">
        <v>59</v>
      </c>
      <c r="E74" s="5" t="s">
        <v>82</v>
      </c>
      <c r="F74" s="3" t="s">
        <v>78</v>
      </c>
      <c r="G74" s="5" t="s">
        <v>88</v>
      </c>
      <c r="H74" s="5" t="s">
        <v>71</v>
      </c>
      <c r="I74" s="6">
        <v>20.0</v>
      </c>
      <c r="J74" s="5" t="s">
        <v>85</v>
      </c>
      <c r="K74" s="3" t="s">
        <v>65</v>
      </c>
      <c r="L74" s="5" t="s">
        <v>66</v>
      </c>
      <c r="M74" s="3" t="s">
        <v>67</v>
      </c>
      <c r="N74" s="3" t="s">
        <v>80</v>
      </c>
      <c r="O74" s="3" t="s">
        <v>69</v>
      </c>
      <c r="P74" s="5" t="s">
        <v>70</v>
      </c>
      <c r="Q74" s="3"/>
      <c r="R74" s="7">
        <v>996.917415142059</v>
      </c>
      <c r="S74" s="7">
        <v>426.296114683151</v>
      </c>
      <c r="T74" s="7">
        <v>1.717597214069</v>
      </c>
      <c r="U74" s="7">
        <v>5.037100292262</v>
      </c>
      <c r="V74" s="7">
        <v>2.24434852290414</v>
      </c>
      <c r="W74" s="7">
        <v>0.813319472917432</v>
      </c>
      <c r="X74" s="7">
        <v>0.0523137069651024</v>
      </c>
      <c r="Y74" s="7">
        <v>0.00458872594780253</v>
      </c>
      <c r="Z74" s="7">
        <v>0.0677401354279907</v>
      </c>
      <c r="AA74" s="7">
        <v>0.895844997194656</v>
      </c>
      <c r="AB74" s="7">
        <v>0.0518929680846147</v>
      </c>
      <c r="AC74" s="7">
        <v>0.0672369523429711</v>
      </c>
      <c r="AD74" s="7">
        <v>0.898418591415632</v>
      </c>
      <c r="AE74" s="7">
        <v>0.0752196162253762</v>
      </c>
      <c r="AF74" s="7">
        <v>0.0988646935005107</v>
      </c>
      <c r="AG74" s="7">
        <v>0.785060202036385</v>
      </c>
      <c r="AH74" s="7">
        <v>10.0</v>
      </c>
      <c r="AI74" s="7">
        <v>1.71759721406898</v>
      </c>
      <c r="AJ74" s="7">
        <v>5.037100292262</v>
      </c>
      <c r="AK74" s="7">
        <v>2.24434852290414</v>
      </c>
      <c r="AL74" s="7">
        <v>0.813151399199093</v>
      </c>
      <c r="AM74" s="7">
        <v>1.27137771807307</v>
      </c>
      <c r="AN74" s="7">
        <v>2.71361485816268</v>
      </c>
      <c r="AO74" s="7">
        <v>1.64730533240279</v>
      </c>
      <c r="AP74" s="7">
        <v>0.898418591415632</v>
      </c>
      <c r="AQ74" s="7">
        <v>1.84288059752174</v>
      </c>
      <c r="AR74" s="7">
        <v>5.86698012947518</v>
      </c>
      <c r="AS74" s="7">
        <v>2.42218499076251</v>
      </c>
      <c r="AT74" s="7">
        <v>0.785060202036385</v>
      </c>
      <c r="AU74" s="4">
        <f t="shared" ref="AU74:AV74" si="145">(AB74-AB$36)/AB$37</f>
        <v>-0.2869200717</v>
      </c>
      <c r="AV74" s="4">
        <f t="shared" si="145"/>
        <v>-0.3090707813</v>
      </c>
      <c r="AW74" s="4">
        <f t="shared" si="5"/>
        <v>-0.1250716292</v>
      </c>
      <c r="AX74" s="4">
        <f t="shared" si="6"/>
        <v>-0.1204955434</v>
      </c>
      <c r="AY74" s="4">
        <f t="shared" si="7"/>
        <v>-0.4327693203</v>
      </c>
      <c r="AZ74" s="4">
        <f t="shared" si="8"/>
        <v>-0.4020029179</v>
      </c>
      <c r="BA74" s="4">
        <f t="shared" si="9"/>
        <v>-0.07239653269</v>
      </c>
      <c r="BB74" s="4">
        <f t="shared" si="10"/>
        <v>-0.1054341076</v>
      </c>
      <c r="BC74" s="4">
        <f t="shared" si="11"/>
        <v>-0.306235989</v>
      </c>
      <c r="BD74" s="4">
        <f t="shared" ref="BD74:BE74" si="146">((R74-R$36)/R$37)</f>
        <v>2.024448615</v>
      </c>
      <c r="BE74" s="4">
        <f t="shared" si="146"/>
        <v>1.767081552</v>
      </c>
      <c r="BF74" s="3"/>
    </row>
    <row r="75">
      <c r="A75" s="3" t="s">
        <v>57</v>
      </c>
      <c r="B75" s="4">
        <f t="shared" si="3"/>
        <v>-0.1475719462</v>
      </c>
      <c r="C75" s="3" t="s">
        <v>58</v>
      </c>
      <c r="D75" s="3" t="s">
        <v>59</v>
      </c>
      <c r="E75" s="5" t="s">
        <v>82</v>
      </c>
      <c r="F75" s="3" t="s">
        <v>61</v>
      </c>
      <c r="G75" s="5" t="s">
        <v>83</v>
      </c>
      <c r="H75" s="5" t="s">
        <v>71</v>
      </c>
      <c r="I75" s="6">
        <v>20.0</v>
      </c>
      <c r="J75" s="5" t="s">
        <v>85</v>
      </c>
      <c r="K75" s="3" t="s">
        <v>65</v>
      </c>
      <c r="L75" s="5" t="s">
        <v>66</v>
      </c>
      <c r="M75" s="3" t="s">
        <v>67</v>
      </c>
      <c r="N75" s="3" t="s">
        <v>68</v>
      </c>
      <c r="O75" s="3" t="s">
        <v>69</v>
      </c>
      <c r="P75" s="5" t="s">
        <v>75</v>
      </c>
      <c r="Q75" s="3"/>
      <c r="R75" s="7">
        <v>1154.38261532783</v>
      </c>
      <c r="S75" s="7">
        <v>422.571947574615</v>
      </c>
      <c r="T75" s="7">
        <v>1.66117665159976</v>
      </c>
      <c r="U75" s="7">
        <v>4.4337636226849</v>
      </c>
      <c r="V75" s="7">
        <v>2.10565040371969</v>
      </c>
      <c r="W75" s="7">
        <v>0.835907107525363</v>
      </c>
      <c r="X75" s="7">
        <v>0.0537534542893788</v>
      </c>
      <c r="Y75" s="7">
        <v>0.00438471570356108</v>
      </c>
      <c r="Z75" s="7">
        <v>0.0662171858625922</v>
      </c>
      <c r="AA75" s="7">
        <v>0.901870534769376</v>
      </c>
      <c r="AB75" s="7">
        <v>0.0534913600496273</v>
      </c>
      <c r="AC75" s="7">
        <v>0.0660206702309385</v>
      </c>
      <c r="AD75" s="7">
        <v>0.902918680241469</v>
      </c>
      <c r="AE75" s="7">
        <v>0.0684661049531939</v>
      </c>
      <c r="AF75" s="7">
        <v>0.0872553841553519</v>
      </c>
      <c r="AG75" s="7">
        <v>0.831122603297791</v>
      </c>
      <c r="AH75" s="7">
        <v>10.0</v>
      </c>
      <c r="AI75" s="7">
        <v>1.66117665159977</v>
      </c>
      <c r="AJ75" s="7">
        <v>4.4337636226849</v>
      </c>
      <c r="AK75" s="7">
        <v>2.10565040371969</v>
      </c>
      <c r="AL75" s="7">
        <v>0.835884174928174</v>
      </c>
      <c r="AM75" s="7">
        <v>1.31053832121579</v>
      </c>
      <c r="AN75" s="7">
        <v>2.61632702086983</v>
      </c>
      <c r="AO75" s="7">
        <v>1.61750642065799</v>
      </c>
      <c r="AP75" s="7">
        <v>0.902918680241469</v>
      </c>
      <c r="AQ75" s="7">
        <v>1.67741957135318</v>
      </c>
      <c r="AR75" s="7">
        <v>4.57000461397485</v>
      </c>
      <c r="AS75" s="7">
        <v>2.13775691180612</v>
      </c>
      <c r="AT75" s="7">
        <v>0.831122603297791</v>
      </c>
      <c r="AU75" s="4">
        <f t="shared" ref="AU75:AV75" si="147">(AB75-AB$36)/AB$37</f>
        <v>-0.2578866743</v>
      </c>
      <c r="AV75" s="4">
        <f t="shared" si="147"/>
        <v>-0.3265291436</v>
      </c>
      <c r="AW75" s="4">
        <f t="shared" si="5"/>
        <v>-0.1977348324</v>
      </c>
      <c r="AX75" s="4">
        <f t="shared" si="6"/>
        <v>-0.2167972163</v>
      </c>
      <c r="AY75" s="4">
        <f t="shared" si="7"/>
        <v>-0.459765364</v>
      </c>
      <c r="AZ75" s="4">
        <f t="shared" si="8"/>
        <v>-0.4533648047</v>
      </c>
      <c r="BA75" s="4">
        <f t="shared" si="9"/>
        <v>-0.07741855469</v>
      </c>
      <c r="BB75" s="4">
        <f t="shared" si="10"/>
        <v>-0.1676460543</v>
      </c>
      <c r="BC75" s="4">
        <f t="shared" si="11"/>
        <v>-0.3352915413</v>
      </c>
      <c r="BD75" s="4">
        <f t="shared" ref="BD75:BE75" si="148">((R75-R$36)/R$37)</f>
        <v>2.373971457</v>
      </c>
      <c r="BE75" s="4">
        <f t="shared" si="148"/>
        <v>1.741754137</v>
      </c>
      <c r="BF75" s="3"/>
    </row>
    <row r="76">
      <c r="A76" s="3" t="s">
        <v>77</v>
      </c>
      <c r="B76" s="4">
        <f t="shared" si="3"/>
        <v>-0.2748961851</v>
      </c>
      <c r="C76" s="3" t="s">
        <v>59</v>
      </c>
      <c r="D76" s="3" t="s">
        <v>58</v>
      </c>
      <c r="E76" s="5" t="s">
        <v>60</v>
      </c>
      <c r="F76" s="3" t="s">
        <v>61</v>
      </c>
      <c r="G76" s="5" t="s">
        <v>62</v>
      </c>
      <c r="H76" s="5" t="s">
        <v>71</v>
      </c>
      <c r="I76" s="6">
        <v>20.0</v>
      </c>
      <c r="J76" s="5" t="s">
        <v>85</v>
      </c>
      <c r="K76" s="3" t="s">
        <v>65</v>
      </c>
      <c r="L76" s="5" t="s">
        <v>73</v>
      </c>
      <c r="M76" s="3" t="s">
        <v>79</v>
      </c>
      <c r="N76" s="3" t="s">
        <v>80</v>
      </c>
      <c r="O76" s="3" t="s">
        <v>69</v>
      </c>
      <c r="P76" s="5" t="s">
        <v>70</v>
      </c>
      <c r="Q76" s="3" t="s">
        <v>89</v>
      </c>
      <c r="R76" s="11">
        <v>644.304824590683</v>
      </c>
      <c r="S76" s="11">
        <v>139.724162817001</v>
      </c>
      <c r="T76" s="7">
        <v>2.938514949519</v>
      </c>
      <c r="U76" s="7">
        <v>13.3974793722152</v>
      </c>
      <c r="V76" s="7">
        <v>3.66025673583359</v>
      </c>
      <c r="W76" s="7">
        <v>0.60025148697593</v>
      </c>
      <c r="X76" s="7">
        <v>0.104463172765798</v>
      </c>
      <c r="Y76" s="7">
        <v>0.0165156673005819</v>
      </c>
      <c r="Z76" s="7">
        <v>0.128513296201529</v>
      </c>
      <c r="AA76" s="7">
        <v>0.643228212169468</v>
      </c>
      <c r="AB76" s="7">
        <v>0.104874482149247</v>
      </c>
      <c r="AC76" s="7">
        <v>0.12875408237781</v>
      </c>
      <c r="AD76" s="7">
        <v>0.645025890293548</v>
      </c>
      <c r="AE76" s="7">
        <v>0.113704030737014</v>
      </c>
      <c r="AF76" s="7">
        <v>0.143480719280702</v>
      </c>
      <c r="AG76" s="7">
        <v>0.561626893787225</v>
      </c>
      <c r="AH76" s="7">
        <v>10.0</v>
      </c>
      <c r="AI76" s="7">
        <v>2.56166490147581</v>
      </c>
      <c r="AJ76" s="7">
        <v>10.1815037075125</v>
      </c>
      <c r="AK76" s="7">
        <v>3.19084686368879</v>
      </c>
      <c r="AL76" s="7">
        <v>0.60020018094277</v>
      </c>
      <c r="AM76" s="7">
        <v>2.44561466011926</v>
      </c>
      <c r="AN76" s="7">
        <v>9.01484814507683</v>
      </c>
      <c r="AO76" s="7">
        <v>3.00247367100476</v>
      </c>
      <c r="AP76" s="7">
        <v>0.645025890293548</v>
      </c>
      <c r="AQ76" s="7">
        <v>2.65151482788122</v>
      </c>
      <c r="AR76" s="7">
        <v>11.1949843228301</v>
      </c>
      <c r="AS76" s="7">
        <v>3.34589066211527</v>
      </c>
      <c r="AT76" s="7">
        <v>0.561626893787225</v>
      </c>
      <c r="AU76" s="4">
        <f t="shared" ref="AU76:AU77" si="150">(AB76-$AB$36)/AB$37</f>
        <v>0.6754429701</v>
      </c>
      <c r="AV76" s="4">
        <f t="shared" ref="AV76:AV77" si="151">(AC76-AC$36)/AC$37</f>
        <v>0.5739384599</v>
      </c>
      <c r="AW76" s="4">
        <f t="shared" si="5"/>
        <v>0.2300449485</v>
      </c>
      <c r="AX76" s="4">
        <f t="shared" si="6"/>
        <v>0.1922527683</v>
      </c>
      <c r="AY76" s="4">
        <f t="shared" si="7"/>
        <v>-0.02890081514</v>
      </c>
      <c r="AZ76" s="4">
        <f t="shared" si="8"/>
        <v>-0.05150111647</v>
      </c>
      <c r="BA76" s="4">
        <f t="shared" si="9"/>
        <v>0.2103853792</v>
      </c>
      <c r="BB76" s="4">
        <f t="shared" si="10"/>
        <v>0.1963352464</v>
      </c>
      <c r="BC76" s="4">
        <f t="shared" si="11"/>
        <v>-0.03405562097</v>
      </c>
      <c r="BD76" s="4">
        <f t="shared" ref="BD76:BE76" si="149">((R76-R$36)/R$37)</f>
        <v>1.241760409</v>
      </c>
      <c r="BE76" s="4">
        <f t="shared" si="149"/>
        <v>-0.1818445928</v>
      </c>
      <c r="BF76" s="4"/>
    </row>
    <row r="77">
      <c r="A77" s="3" t="s">
        <v>77</v>
      </c>
      <c r="B77" s="4">
        <f t="shared" si="3"/>
        <v>-0.3988978057</v>
      </c>
      <c r="C77" s="3" t="s">
        <v>59</v>
      </c>
      <c r="D77" s="3" t="s">
        <v>58</v>
      </c>
      <c r="E77" s="5" t="s">
        <v>82</v>
      </c>
      <c r="F77" s="3" t="s">
        <v>78</v>
      </c>
      <c r="G77" s="5" t="s">
        <v>88</v>
      </c>
      <c r="H77" s="5" t="s">
        <v>63</v>
      </c>
      <c r="I77" s="6">
        <v>20.0</v>
      </c>
      <c r="J77" s="5" t="s">
        <v>85</v>
      </c>
      <c r="K77" s="3" t="s">
        <v>72</v>
      </c>
      <c r="L77" s="5" t="s">
        <v>66</v>
      </c>
      <c r="M77" s="3" t="s">
        <v>67</v>
      </c>
      <c r="N77" s="3" t="s">
        <v>68</v>
      </c>
      <c r="O77" s="3" t="s">
        <v>69</v>
      </c>
      <c r="P77" s="5" t="s">
        <v>86</v>
      </c>
      <c r="Q77" s="3"/>
      <c r="R77" s="11">
        <v>204.887410640716</v>
      </c>
      <c r="S77" s="11">
        <v>332.693548679351</v>
      </c>
      <c r="T77" s="7">
        <v>3.24950663555686</v>
      </c>
      <c r="U77" s="7">
        <v>16.8841576647565</v>
      </c>
      <c r="V77" s="7">
        <v>4.10903366556621</v>
      </c>
      <c r="W77" s="7">
        <v>0.485315458476602</v>
      </c>
      <c r="X77" s="7">
        <v>0.104341100926886</v>
      </c>
      <c r="Y77" s="7">
        <v>0.0159024641369269</v>
      </c>
      <c r="Z77" s="7">
        <v>0.126104972689132</v>
      </c>
      <c r="AA77" s="7">
        <v>0.617327780693392</v>
      </c>
      <c r="AB77" s="7">
        <v>0.105570189638516</v>
      </c>
      <c r="AC77" s="7">
        <v>0.126996186723366</v>
      </c>
      <c r="AD77" s="7">
        <v>0.619695078378463</v>
      </c>
      <c r="AE77" s="7">
        <v>0.123069204362283</v>
      </c>
      <c r="AF77" s="7">
        <v>0.159014836575229</v>
      </c>
      <c r="AG77" s="7">
        <v>0.412665885327674</v>
      </c>
      <c r="AH77" s="7">
        <v>10.0</v>
      </c>
      <c r="AI77" s="7">
        <v>2.87757515317384</v>
      </c>
      <c r="AJ77" s="7">
        <v>13.2403020386748</v>
      </c>
      <c r="AK77" s="7">
        <v>3.63872258336285</v>
      </c>
      <c r="AL77" s="7">
        <v>0.485000757740183</v>
      </c>
      <c r="AM77" s="7">
        <v>2.58646964614372</v>
      </c>
      <c r="AN77" s="7">
        <v>9.68085087322619</v>
      </c>
      <c r="AO77" s="7">
        <v>3.11140657472246</v>
      </c>
      <c r="AP77" s="7">
        <v>0.619695078378463</v>
      </c>
      <c r="AQ77" s="7">
        <v>3.01519550687601</v>
      </c>
      <c r="AR77" s="7">
        <v>15.1777523801909</v>
      </c>
      <c r="AS77" s="7">
        <v>3.89586349609312</v>
      </c>
      <c r="AT77" s="7">
        <v>0.412665885327675</v>
      </c>
      <c r="AU77" s="4">
        <f t="shared" si="150"/>
        <v>0.6880798905</v>
      </c>
      <c r="AV77" s="4">
        <f t="shared" si="151"/>
        <v>0.5487058441</v>
      </c>
      <c r="AW77" s="4">
        <f t="shared" si="5"/>
        <v>0.3897575024</v>
      </c>
      <c r="AX77" s="4">
        <f t="shared" si="6"/>
        <v>0.3784625975</v>
      </c>
      <c r="AY77" s="4">
        <f t="shared" si="7"/>
        <v>0.1222555471</v>
      </c>
      <c r="AZ77" s="4">
        <f t="shared" si="8"/>
        <v>0.1143536345</v>
      </c>
      <c r="BA77" s="4">
        <f t="shared" si="9"/>
        <v>0.2386541312</v>
      </c>
      <c r="BB77" s="4">
        <f t="shared" si="10"/>
        <v>0.397522203</v>
      </c>
      <c r="BC77" s="4">
        <f t="shared" si="11"/>
        <v>0.1131847736</v>
      </c>
      <c r="BD77" s="4">
        <f t="shared" ref="BD77:BE77" si="152">((R77-R$36)/R$37)</f>
        <v>0.2663930056</v>
      </c>
      <c r="BE77" s="4">
        <f t="shared" si="152"/>
        <v>1.130506734</v>
      </c>
      <c r="BF77" s="4"/>
    </row>
    <row r="78">
      <c r="A78" s="3" t="s">
        <v>57</v>
      </c>
      <c r="B78" s="4">
        <f t="shared" si="3"/>
        <v>-0.5969916488</v>
      </c>
      <c r="C78" s="3" t="s">
        <v>58</v>
      </c>
      <c r="D78" s="3" t="s">
        <v>59</v>
      </c>
      <c r="E78" s="5" t="s">
        <v>60</v>
      </c>
      <c r="F78" s="3" t="s">
        <v>78</v>
      </c>
      <c r="G78" s="5" t="s">
        <v>60</v>
      </c>
      <c r="H78" s="5" t="s">
        <v>71</v>
      </c>
      <c r="I78" s="6">
        <v>20.0</v>
      </c>
      <c r="J78" s="5" t="s">
        <v>85</v>
      </c>
      <c r="K78" s="3" t="s">
        <v>65</v>
      </c>
      <c r="L78" s="5" t="s">
        <v>73</v>
      </c>
      <c r="M78" s="3" t="s">
        <v>74</v>
      </c>
      <c r="N78" s="3" t="s">
        <v>84</v>
      </c>
      <c r="O78" s="3" t="s">
        <v>69</v>
      </c>
      <c r="P78" s="5" t="s">
        <v>85</v>
      </c>
      <c r="Q78" s="5" t="s">
        <v>75</v>
      </c>
      <c r="R78" s="7">
        <v>514.102283477783</v>
      </c>
      <c r="S78" s="7">
        <v>182.782363653182</v>
      </c>
      <c r="T78" s="7">
        <v>3.55485000301286</v>
      </c>
      <c r="U78" s="7">
        <v>16.6695869099834</v>
      </c>
      <c r="V78" s="7">
        <v>4.08284054427593</v>
      </c>
      <c r="W78" s="7">
        <v>0.361961519479525</v>
      </c>
      <c r="X78" s="7">
        <v>0.142784575323373</v>
      </c>
      <c r="Y78" s="7">
        <v>0.0264017070454975</v>
      </c>
      <c r="Z78" s="7">
        <v>0.162486021077191</v>
      </c>
      <c r="AA78" s="7">
        <v>0.438632049266097</v>
      </c>
      <c r="AB78" s="7">
        <v>0.140185102628701</v>
      </c>
      <c r="AC78" s="7">
        <v>0.160809813489521</v>
      </c>
      <c r="AD78" s="7">
        <v>0.456323905441592</v>
      </c>
      <c r="AE78" s="7">
        <v>0.158536618976094</v>
      </c>
      <c r="AF78" s="7">
        <v>0.183011180512141</v>
      </c>
      <c r="AG78" s="7">
        <v>0.305651486638261</v>
      </c>
      <c r="AH78" s="7">
        <v>10.0</v>
      </c>
      <c r="AI78" s="7">
        <v>3.55485000301286</v>
      </c>
      <c r="AJ78" s="7">
        <v>16.6695869099834</v>
      </c>
      <c r="AK78" s="7">
        <v>4.08284054427593</v>
      </c>
      <c r="AL78" s="7">
        <v>0.361857584663094</v>
      </c>
      <c r="AM78" s="7">
        <v>3.26903871268878</v>
      </c>
      <c r="AN78" s="7">
        <v>14.0624663384478</v>
      </c>
      <c r="AO78" s="7">
        <v>3.74999551179036</v>
      </c>
      <c r="AP78" s="7">
        <v>0.456323905441592</v>
      </c>
      <c r="AQ78" s="7">
        <v>3.6969858786231</v>
      </c>
      <c r="AR78" s="7">
        <v>18.2134259466222</v>
      </c>
      <c r="AS78" s="7">
        <v>4.26771905666507</v>
      </c>
      <c r="AT78" s="7">
        <v>0.305651486638261</v>
      </c>
      <c r="AU78" s="4">
        <f t="shared" ref="AU78:AV78" si="153">(AB78-AB$36)/AB$37</f>
        <v>1.316829626</v>
      </c>
      <c r="AV78" s="4">
        <f t="shared" si="153"/>
        <v>1.034062441</v>
      </c>
      <c r="AW78" s="4">
        <f t="shared" si="5"/>
        <v>0.6891698379</v>
      </c>
      <c r="AX78" s="4">
        <f t="shared" si="6"/>
        <v>0.5043654715</v>
      </c>
      <c r="AY78" s="4">
        <f t="shared" si="7"/>
        <v>0.4463172133</v>
      </c>
      <c r="AZ78" s="4">
        <f t="shared" si="8"/>
        <v>0.2788168339</v>
      </c>
      <c r="BA78" s="4">
        <f t="shared" si="9"/>
        <v>0.4209735604</v>
      </c>
      <c r="BB78" s="4">
        <f t="shared" si="10"/>
        <v>0.5420560069</v>
      </c>
      <c r="BC78" s="4">
        <f t="shared" si="11"/>
        <v>0.2705783515</v>
      </c>
      <c r="BD78" s="4">
        <f t="shared" ref="BD78:BE78" si="154">((R78-R$36)/R$37)</f>
        <v>0.9527520305</v>
      </c>
      <c r="BE78" s="4">
        <f t="shared" si="154"/>
        <v>0.1109867635</v>
      </c>
      <c r="BF78" s="3"/>
    </row>
    <row r="79">
      <c r="A79" s="3" t="s">
        <v>57</v>
      </c>
      <c r="B79" s="4">
        <f t="shared" si="3"/>
        <v>-0.6517498295</v>
      </c>
      <c r="C79" s="3" t="s">
        <v>59</v>
      </c>
      <c r="D79" s="3" t="s">
        <v>58</v>
      </c>
      <c r="E79" s="5" t="s">
        <v>60</v>
      </c>
      <c r="F79" s="3" t="s">
        <v>78</v>
      </c>
      <c r="G79" s="5" t="s">
        <v>60</v>
      </c>
      <c r="H79" s="5" t="s">
        <v>71</v>
      </c>
      <c r="I79" s="6">
        <v>20.0</v>
      </c>
      <c r="J79" s="5" t="s">
        <v>85</v>
      </c>
      <c r="K79" s="3" t="s">
        <v>65</v>
      </c>
      <c r="L79" s="5" t="s">
        <v>73</v>
      </c>
      <c r="M79" s="3" t="s">
        <v>67</v>
      </c>
      <c r="N79" s="3" t="s">
        <v>80</v>
      </c>
      <c r="O79" s="3" t="s">
        <v>69</v>
      </c>
      <c r="P79" s="5" t="s">
        <v>81</v>
      </c>
      <c r="Q79" s="5" t="s">
        <v>75</v>
      </c>
      <c r="R79" s="11">
        <v>782.196872234344</v>
      </c>
      <c r="S79" s="11">
        <v>134.419016361236</v>
      </c>
      <c r="T79" s="7">
        <v>3.59668499344858</v>
      </c>
      <c r="U79" s="7">
        <v>20.4885475500864</v>
      </c>
      <c r="V79" s="7">
        <v>4.5264276808634</v>
      </c>
      <c r="W79" s="7">
        <v>0.373882096335073</v>
      </c>
      <c r="X79" s="7">
        <v>0.135009423575323</v>
      </c>
      <c r="Y79" s="7">
        <v>0.0272996314739839</v>
      </c>
      <c r="Z79" s="7">
        <v>0.165226001204362</v>
      </c>
      <c r="AA79" s="7">
        <v>0.385868480190761</v>
      </c>
      <c r="AB79" s="7">
        <v>0.137012063560603</v>
      </c>
      <c r="AC79" s="7">
        <v>0.166730971668846</v>
      </c>
      <c r="AD79" s="7">
        <v>0.390329356794748</v>
      </c>
      <c r="AE79" s="7">
        <v>0.135139347396213</v>
      </c>
      <c r="AF79" s="7">
        <v>0.174127891750251</v>
      </c>
      <c r="AG79" s="7">
        <v>0.327694607252538</v>
      </c>
      <c r="AH79" s="7">
        <v>10.0</v>
      </c>
      <c r="AI79" s="7">
        <v>3.59668499344859</v>
      </c>
      <c r="AJ79" s="7">
        <v>20.4885475500864</v>
      </c>
      <c r="AK79" s="7">
        <v>4.5264276808634</v>
      </c>
      <c r="AL79" s="7">
        <v>0.373946804896583</v>
      </c>
      <c r="AM79" s="7">
        <v>3.66507270024614</v>
      </c>
      <c r="AN79" s="7">
        <v>19.8920771527649</v>
      </c>
      <c r="AO79" s="7">
        <v>4.46005349214164</v>
      </c>
      <c r="AP79" s="7">
        <v>0.390329356794748</v>
      </c>
      <c r="AQ79" s="7">
        <v>3.6149775428487</v>
      </c>
      <c r="AR79" s="7">
        <v>21.6962290140625</v>
      </c>
      <c r="AS79" s="7">
        <v>4.65792110431923</v>
      </c>
      <c r="AT79" s="7">
        <v>0.327694607252538</v>
      </c>
      <c r="AU79" s="4">
        <f t="shared" ref="AU79:AU81" si="156">(AB79-$AB$36)/AB$37</f>
        <v>1.259194136</v>
      </c>
      <c r="AV79" s="4">
        <f t="shared" ref="AV79:AV81" si="157">(AC79-AC$36)/AC$37</f>
        <v>1.11905401</v>
      </c>
      <c r="AW79" s="4">
        <f t="shared" si="5"/>
        <v>0.6531553848</v>
      </c>
      <c r="AX79" s="4">
        <f t="shared" si="6"/>
        <v>0.6364801</v>
      </c>
      <c r="AY79" s="4">
        <f t="shared" si="7"/>
        <v>0.4663343699</v>
      </c>
      <c r="AZ79" s="4">
        <f t="shared" si="8"/>
        <v>0.4430834615</v>
      </c>
      <c r="BA79" s="4">
        <f t="shared" si="9"/>
        <v>0.4946223457</v>
      </c>
      <c r="BB79" s="4">
        <f t="shared" si="10"/>
        <v>0.5122845359</v>
      </c>
      <c r="BC79" s="4">
        <f t="shared" si="11"/>
        <v>0.2551266981</v>
      </c>
      <c r="BD79" s="4">
        <f t="shared" ref="BD79:BE79" si="155">((R79-R$36)/R$37)</f>
        <v>1.547837056</v>
      </c>
      <c r="BE79" s="4">
        <f t="shared" si="155"/>
        <v>-0.2179239737</v>
      </c>
      <c r="BF79" s="4"/>
    </row>
    <row r="80">
      <c r="A80" s="3" t="s">
        <v>57</v>
      </c>
      <c r="B80" s="4">
        <f t="shared" si="3"/>
        <v>-0.6858498643</v>
      </c>
      <c r="C80" s="3" t="s">
        <v>59</v>
      </c>
      <c r="D80" s="3" t="s">
        <v>58</v>
      </c>
      <c r="E80" s="5" t="s">
        <v>82</v>
      </c>
      <c r="F80" s="3" t="s">
        <v>61</v>
      </c>
      <c r="G80" s="5" t="s">
        <v>83</v>
      </c>
      <c r="H80" s="5" t="s">
        <v>71</v>
      </c>
      <c r="I80" s="6">
        <v>20.0</v>
      </c>
      <c r="J80" s="5" t="s">
        <v>85</v>
      </c>
      <c r="K80" s="3" t="s">
        <v>65</v>
      </c>
      <c r="L80" s="5" t="s">
        <v>73</v>
      </c>
      <c r="M80" s="3" t="s">
        <v>79</v>
      </c>
      <c r="N80" s="3" t="s">
        <v>80</v>
      </c>
      <c r="O80" s="3" t="s">
        <v>69</v>
      </c>
      <c r="P80" s="5" t="s">
        <v>81</v>
      </c>
      <c r="Q80" s="5" t="s">
        <v>75</v>
      </c>
      <c r="R80" s="11">
        <v>1808.0409450531</v>
      </c>
      <c r="S80" s="11">
        <v>354.730869531631</v>
      </c>
      <c r="T80" s="7">
        <v>2.97912529499041</v>
      </c>
      <c r="U80" s="7">
        <v>13.813213899196</v>
      </c>
      <c r="V80" s="7">
        <v>3.71661322970201</v>
      </c>
      <c r="W80" s="7">
        <v>0.583277083944528</v>
      </c>
      <c r="X80" s="7">
        <v>0.0982396892534644</v>
      </c>
      <c r="Y80" s="7">
        <v>0.0140379253994591</v>
      </c>
      <c r="Z80" s="7">
        <v>0.118481751335212</v>
      </c>
      <c r="AA80" s="7">
        <v>0.671627772174445</v>
      </c>
      <c r="AB80" s="7">
        <v>0.0985819882569352</v>
      </c>
      <c r="AC80" s="7">
        <v>0.118686890555556</v>
      </c>
      <c r="AD80" s="7">
        <v>0.673094456264151</v>
      </c>
      <c r="AE80" s="7">
        <v>0.109226762512342</v>
      </c>
      <c r="AF80" s="7">
        <v>0.139507917767301</v>
      </c>
      <c r="AG80" s="7">
        <v>0.552421598617254</v>
      </c>
      <c r="AH80" s="7">
        <v>10.0</v>
      </c>
      <c r="AI80" s="7">
        <v>2.9791252949904</v>
      </c>
      <c r="AJ80" s="7">
        <v>13.813213899196</v>
      </c>
      <c r="AK80" s="7">
        <v>3.71661322970201</v>
      </c>
      <c r="AL80" s="7">
        <v>0.583188978059855</v>
      </c>
      <c r="AM80" s="7">
        <v>2.72743500844188</v>
      </c>
      <c r="AN80" s="7">
        <v>10.782492863485</v>
      </c>
      <c r="AO80" s="7">
        <v>3.28367063870373</v>
      </c>
      <c r="AP80" s="7">
        <v>0.673094456264151</v>
      </c>
      <c r="AQ80" s="7">
        <v>3.02194042950814</v>
      </c>
      <c r="AR80" s="7">
        <v>14.8974312084537</v>
      </c>
      <c r="AS80" s="7">
        <v>3.85971905822868</v>
      </c>
      <c r="AT80" s="7">
        <v>0.552421598617253</v>
      </c>
      <c r="AU80" s="4">
        <f t="shared" si="156"/>
        <v>0.561145301</v>
      </c>
      <c r="AV80" s="4">
        <f t="shared" si="157"/>
        <v>0.4294352393</v>
      </c>
      <c r="AW80" s="4">
        <f t="shared" si="5"/>
        <v>0.3927195756</v>
      </c>
      <c r="AX80" s="4">
        <f t="shared" si="6"/>
        <v>0.3662248119</v>
      </c>
      <c r="AY80" s="4">
        <f t="shared" si="7"/>
        <v>0.1708451384</v>
      </c>
      <c r="AZ80" s="4">
        <f t="shared" si="8"/>
        <v>0.143197649</v>
      </c>
      <c r="BA80" s="4">
        <f t="shared" si="9"/>
        <v>0.1790613406</v>
      </c>
      <c r="BB80" s="4">
        <f t="shared" si="10"/>
        <v>0.2087679316</v>
      </c>
      <c r="BC80" s="4">
        <f t="shared" si="11"/>
        <v>-0.01231301016</v>
      </c>
      <c r="BD80" s="4">
        <f t="shared" ref="BD80:BE80" si="158">((R80-R$36)/R$37)</f>
        <v>3.824885799</v>
      </c>
      <c r="BE80" s="4">
        <f t="shared" si="158"/>
        <v>1.280378731</v>
      </c>
      <c r="BF80" s="4"/>
    </row>
    <row r="81">
      <c r="A81" s="3" t="s">
        <v>77</v>
      </c>
      <c r="B81" s="4">
        <f t="shared" si="3"/>
        <v>-0.9124253579</v>
      </c>
      <c r="C81" s="3" t="s">
        <v>59</v>
      </c>
      <c r="D81" s="3" t="s">
        <v>58</v>
      </c>
      <c r="E81" s="5" t="s">
        <v>82</v>
      </c>
      <c r="F81" s="3" t="s">
        <v>78</v>
      </c>
      <c r="G81" s="5" t="s">
        <v>88</v>
      </c>
      <c r="H81" s="5" t="s">
        <v>71</v>
      </c>
      <c r="I81" s="6">
        <v>20.0</v>
      </c>
      <c r="J81" s="5" t="s">
        <v>85</v>
      </c>
      <c r="K81" s="3" t="s">
        <v>65</v>
      </c>
      <c r="L81" s="5" t="s">
        <v>73</v>
      </c>
      <c r="M81" s="3" t="s">
        <v>79</v>
      </c>
      <c r="N81" s="3" t="s">
        <v>80</v>
      </c>
      <c r="O81" s="3" t="s">
        <v>69</v>
      </c>
      <c r="P81" s="5" t="s">
        <v>70</v>
      </c>
      <c r="Q81" s="3" t="s">
        <v>89</v>
      </c>
      <c r="R81" s="11">
        <v>1485.25092840194</v>
      </c>
      <c r="S81" s="11">
        <v>367.637141227722</v>
      </c>
      <c r="T81" s="7">
        <v>3.8207623633897</v>
      </c>
      <c r="U81" s="7">
        <v>23.0880796969104</v>
      </c>
      <c r="V81" s="7">
        <v>4.80500569166264</v>
      </c>
      <c r="W81" s="7">
        <v>0.293712404859201</v>
      </c>
      <c r="X81" s="7">
        <v>0.134229278666123</v>
      </c>
      <c r="Y81" s="7">
        <v>0.0265722213012676</v>
      </c>
      <c r="Z81" s="7">
        <v>0.163009880992741</v>
      </c>
      <c r="AA81" s="7">
        <v>0.356348451528351</v>
      </c>
      <c r="AB81" s="7">
        <v>0.136060817006472</v>
      </c>
      <c r="AC81" s="7">
        <v>0.164326245388287</v>
      </c>
      <c r="AD81" s="7">
        <v>0.359744912448149</v>
      </c>
      <c r="AE81" s="7">
        <v>0.137097442049429</v>
      </c>
      <c r="AF81" s="7">
        <v>0.176102764897162</v>
      </c>
      <c r="AG81" s="7">
        <v>0.278102274528531</v>
      </c>
      <c r="AH81" s="7">
        <v>10.0</v>
      </c>
      <c r="AI81" s="7">
        <v>3.38344618926681</v>
      </c>
      <c r="AJ81" s="7">
        <v>18.1053242187014</v>
      </c>
      <c r="AK81" s="7">
        <v>4.25503516068921</v>
      </c>
      <c r="AL81" s="7">
        <v>0.293559394178143</v>
      </c>
      <c r="AM81" s="7">
        <v>3.33349001665882</v>
      </c>
      <c r="AN81" s="7">
        <v>16.2086197327778</v>
      </c>
      <c r="AO81" s="7">
        <v>4.02599301201304</v>
      </c>
      <c r="AP81" s="7">
        <v>0.359744912448148</v>
      </c>
      <c r="AQ81" s="7">
        <v>3.35888733021119</v>
      </c>
      <c r="AR81" s="7">
        <v>18.6150633286062</v>
      </c>
      <c r="AS81" s="7">
        <v>4.31451773998047</v>
      </c>
      <c r="AT81" s="7">
        <v>0.278102274528531</v>
      </c>
      <c r="AU81" s="4">
        <f t="shared" si="156"/>
        <v>1.241915571</v>
      </c>
      <c r="AV81" s="4">
        <f t="shared" si="157"/>
        <v>1.084536868</v>
      </c>
      <c r="AW81" s="4">
        <f t="shared" si="5"/>
        <v>0.5406918303</v>
      </c>
      <c r="AX81" s="4">
        <f t="shared" si="6"/>
        <v>0.520210572</v>
      </c>
      <c r="AY81" s="4">
        <f t="shared" si="7"/>
        <v>0.36430412</v>
      </c>
      <c r="AZ81" s="4">
        <f t="shared" si="8"/>
        <v>0.3425829501</v>
      </c>
      <c r="BA81" s="4">
        <f t="shared" si="9"/>
        <v>0.5287540615</v>
      </c>
      <c r="BB81" s="4">
        <f t="shared" si="10"/>
        <v>0.5792640132</v>
      </c>
      <c r="BC81" s="4">
        <f t="shared" si="11"/>
        <v>0.3578726473</v>
      </c>
      <c r="BD81" s="4">
        <f t="shared" ref="BD81:BE81" si="159">((R81-R$36)/R$37)</f>
        <v>3.108394257</v>
      </c>
      <c r="BE81" s="4">
        <f t="shared" si="159"/>
        <v>1.368152046</v>
      </c>
      <c r="BF81" s="4"/>
    </row>
    <row r="82">
      <c r="A82" s="3" t="s">
        <v>57</v>
      </c>
      <c r="B82" s="4">
        <f t="shared" si="3"/>
        <v>0.07936703806</v>
      </c>
      <c r="C82" s="3" t="s">
        <v>58</v>
      </c>
      <c r="D82" s="3" t="s">
        <v>59</v>
      </c>
      <c r="E82" s="5" t="s">
        <v>60</v>
      </c>
      <c r="F82" s="3" t="s">
        <v>61</v>
      </c>
      <c r="G82" s="5" t="s">
        <v>62</v>
      </c>
      <c r="H82" s="5" t="s">
        <v>63</v>
      </c>
      <c r="I82" s="6">
        <v>150.0</v>
      </c>
      <c r="J82" s="5" t="s">
        <v>85</v>
      </c>
      <c r="K82" s="3" t="s">
        <v>65</v>
      </c>
      <c r="L82" s="5" t="s">
        <v>66</v>
      </c>
      <c r="M82" s="3" t="s">
        <v>74</v>
      </c>
      <c r="N82" s="3" t="s">
        <v>84</v>
      </c>
      <c r="O82" s="3" t="s">
        <v>69</v>
      </c>
      <c r="P82" s="5" t="s">
        <v>81</v>
      </c>
      <c r="Q82" s="3"/>
      <c r="R82" s="7">
        <v>465.670427322387</v>
      </c>
      <c r="S82" s="7">
        <v>172.765131711959</v>
      </c>
      <c r="T82" s="7">
        <v>1.82454360663543</v>
      </c>
      <c r="U82" s="7">
        <v>5.57813053221568</v>
      </c>
      <c r="V82" s="7">
        <v>2.36180662464472</v>
      </c>
      <c r="W82" s="7">
        <v>0.785849951634208</v>
      </c>
      <c r="X82" s="7">
        <v>0.0483173003267251</v>
      </c>
      <c r="Y82" s="7">
        <v>0.00365614784422037</v>
      </c>
      <c r="Z82" s="7">
        <v>0.0604660883820044</v>
      </c>
      <c r="AA82" s="7">
        <v>0.923094821081039</v>
      </c>
      <c r="AB82" s="7">
        <v>0.0480921394122614</v>
      </c>
      <c r="AC82" s="7">
        <v>0.0602888029334747</v>
      </c>
      <c r="AD82" s="7">
        <v>0.923916984454426</v>
      </c>
      <c r="AE82" s="7">
        <v>0.0966828361748651</v>
      </c>
      <c r="AF82" s="7">
        <v>0.122955885505641</v>
      </c>
      <c r="AG82" s="7">
        <v>0.684878764445308</v>
      </c>
      <c r="AH82" s="7">
        <v>10.0</v>
      </c>
      <c r="AI82" s="7">
        <v>1.82454360663543</v>
      </c>
      <c r="AJ82" s="7">
        <v>5.57813053221568</v>
      </c>
      <c r="AK82" s="7">
        <v>2.36180662464472</v>
      </c>
      <c r="AL82" s="7">
        <v>0.785764205586936</v>
      </c>
      <c r="AM82" s="7">
        <v>1.1214819732387</v>
      </c>
      <c r="AN82" s="7">
        <v>1.97655872017318</v>
      </c>
      <c r="AO82" s="7">
        <v>1.40590139062922</v>
      </c>
      <c r="AP82" s="7">
        <v>0.923916984454426</v>
      </c>
      <c r="AQ82" s="7">
        <v>2.25459002691109</v>
      </c>
      <c r="AR82" s="7">
        <v>8.22119677378545</v>
      </c>
      <c r="AS82" s="7">
        <v>2.86726294116627</v>
      </c>
      <c r="AT82" s="7">
        <v>0.684878764445308</v>
      </c>
      <c r="AU82" s="4">
        <f t="shared" ref="AU82:AV82" si="160">(AB82-AB$36)/AB$37</f>
        <v>-0.355958813</v>
      </c>
      <c r="AV82" s="4">
        <f t="shared" si="160"/>
        <v>-0.4088036547</v>
      </c>
      <c r="AW82" s="4">
        <f t="shared" si="5"/>
        <v>0.05573303878</v>
      </c>
      <c r="AX82" s="4">
        <f t="shared" si="6"/>
        <v>0.03019897097</v>
      </c>
      <c r="AY82" s="4">
        <f t="shared" si="7"/>
        <v>-0.3815977373</v>
      </c>
      <c r="AZ82" s="4">
        <f t="shared" si="8"/>
        <v>-0.3585065117</v>
      </c>
      <c r="BA82" s="4">
        <f t="shared" si="9"/>
        <v>-0.1008523023</v>
      </c>
      <c r="BB82" s="4">
        <f t="shared" si="10"/>
        <v>0.02987108905</v>
      </c>
      <c r="BC82" s="4">
        <f t="shared" si="11"/>
        <v>-0.2712314631</v>
      </c>
      <c r="BD82" s="4">
        <f t="shared" ref="BD82:BE82" si="161">((R82-R$36)/R$37)</f>
        <v>0.8452486583</v>
      </c>
      <c r="BE82" s="4">
        <f t="shared" si="161"/>
        <v>0.04286130638</v>
      </c>
      <c r="BF82" s="3"/>
    </row>
    <row r="83">
      <c r="A83" s="3" t="s">
        <v>77</v>
      </c>
      <c r="B83" s="4">
        <f t="shared" si="3"/>
        <v>-0.1565894934</v>
      </c>
      <c r="C83" s="3" t="s">
        <v>58</v>
      </c>
      <c r="D83" s="3" t="s">
        <v>59</v>
      </c>
      <c r="E83" s="5" t="s">
        <v>82</v>
      </c>
      <c r="F83" s="3" t="s">
        <v>61</v>
      </c>
      <c r="G83" s="5" t="s">
        <v>83</v>
      </c>
      <c r="H83" s="5" t="s">
        <v>71</v>
      </c>
      <c r="I83" s="6">
        <v>150.0</v>
      </c>
      <c r="J83" s="5" t="s">
        <v>85</v>
      </c>
      <c r="K83" s="3" t="s">
        <v>72</v>
      </c>
      <c r="L83" s="5" t="s">
        <v>66</v>
      </c>
      <c r="M83" s="3" t="s">
        <v>79</v>
      </c>
      <c r="N83" s="3" t="s">
        <v>68</v>
      </c>
      <c r="O83" s="3" t="s">
        <v>69</v>
      </c>
      <c r="P83" s="5" t="s">
        <v>86</v>
      </c>
      <c r="Q83" s="3"/>
      <c r="R83" s="7">
        <v>485.000253200531</v>
      </c>
      <c r="S83" s="7">
        <v>431.422343730926</v>
      </c>
      <c r="T83" s="7">
        <v>1.98113404481468</v>
      </c>
      <c r="U83" s="7">
        <v>6.3341949627075</v>
      </c>
      <c r="V83" s="7">
        <v>2.51678266099945</v>
      </c>
      <c r="W83" s="7">
        <v>0.76556942044884</v>
      </c>
      <c r="X83" s="7">
        <v>0.0683691281840303</v>
      </c>
      <c r="Y83" s="7">
        <v>0.00722539048551046</v>
      </c>
      <c r="Z83" s="7">
        <v>0.085002296942556</v>
      </c>
      <c r="AA83" s="7">
        <v>0.838296539077837</v>
      </c>
      <c r="AB83" s="7">
        <v>0.0685663080321903</v>
      </c>
      <c r="AC83" s="7">
        <v>0.0851094244641138</v>
      </c>
      <c r="AD83" s="7">
        <v>0.83866406094221</v>
      </c>
      <c r="AE83" s="7">
        <v>0.0863292323468714</v>
      </c>
      <c r="AF83" s="7">
        <v>0.109648250744429</v>
      </c>
      <c r="AG83" s="7">
        <v>0.733319984929179</v>
      </c>
      <c r="AH83" s="7">
        <v>10.0</v>
      </c>
      <c r="AI83" s="7">
        <v>1.9811340448146</v>
      </c>
      <c r="AJ83" s="7">
        <v>6.3341949627075</v>
      </c>
      <c r="AK83" s="7">
        <v>2.51678266099945</v>
      </c>
      <c r="AL83" s="7">
        <v>0.765539681197294</v>
      </c>
      <c r="AM83" s="7">
        <v>1.67987454678869</v>
      </c>
      <c r="AN83" s="7">
        <v>4.34797938310077</v>
      </c>
      <c r="AO83" s="7">
        <v>2.08518089937078</v>
      </c>
      <c r="AP83" s="7">
        <v>0.83866406094221</v>
      </c>
      <c r="AQ83" s="7">
        <v>2.11506619249841</v>
      </c>
      <c r="AR83" s="7">
        <v>7.2166490195108</v>
      </c>
      <c r="AS83" s="7">
        <v>2.68638214323852</v>
      </c>
      <c r="AT83" s="7">
        <v>0.733319984929179</v>
      </c>
      <c r="AU83" s="4">
        <f t="shared" ref="AU83:AV83" si="162">(AB83-AB$36)/AB$37</f>
        <v>0.0159366215</v>
      </c>
      <c r="AV83" s="4">
        <f t="shared" si="162"/>
        <v>-0.05253153709</v>
      </c>
      <c r="AW83" s="4">
        <f t="shared" si="5"/>
        <v>-0.005539690872</v>
      </c>
      <c r="AX83" s="4">
        <f t="shared" si="6"/>
        <v>-0.03104365849</v>
      </c>
      <c r="AY83" s="4">
        <f t="shared" si="7"/>
        <v>-0.3066725303</v>
      </c>
      <c r="AZ83" s="4">
        <f t="shared" si="8"/>
        <v>-0.3011166806</v>
      </c>
      <c r="BA83" s="4">
        <f t="shared" si="9"/>
        <v>-0.005711500727</v>
      </c>
      <c r="BB83" s="4">
        <f t="shared" si="10"/>
        <v>-0.03555369441</v>
      </c>
      <c r="BC83" s="4">
        <f t="shared" si="11"/>
        <v>-0.2453817941</v>
      </c>
      <c r="BD83" s="4">
        <f t="shared" ref="BD83:BE83" si="163">((R83-R$36)/R$37)</f>
        <v>0.888154746</v>
      </c>
      <c r="BE83" s="4">
        <f t="shared" si="163"/>
        <v>1.801944146</v>
      </c>
      <c r="BF83" s="3"/>
    </row>
    <row r="84">
      <c r="A84" s="3" t="s">
        <v>57</v>
      </c>
      <c r="B84" s="4">
        <f t="shared" si="3"/>
        <v>-0.05886068792</v>
      </c>
      <c r="C84" s="3" t="s">
        <v>58</v>
      </c>
      <c r="D84" s="3" t="s">
        <v>59</v>
      </c>
      <c r="E84" s="5" t="s">
        <v>60</v>
      </c>
      <c r="F84" s="3" t="s">
        <v>61</v>
      </c>
      <c r="G84" s="5" t="s">
        <v>62</v>
      </c>
      <c r="H84" s="5" t="s">
        <v>71</v>
      </c>
      <c r="I84" s="6">
        <v>150.0</v>
      </c>
      <c r="J84" s="5" t="s">
        <v>85</v>
      </c>
      <c r="K84" s="3" t="s">
        <v>72</v>
      </c>
      <c r="L84" s="5" t="s">
        <v>73</v>
      </c>
      <c r="M84" s="3" t="s">
        <v>67</v>
      </c>
      <c r="N84" s="3" t="s">
        <v>80</v>
      </c>
      <c r="O84" s="3" t="s">
        <v>69</v>
      </c>
      <c r="P84" s="5" t="s">
        <v>75</v>
      </c>
      <c r="Q84" s="5" t="s">
        <v>75</v>
      </c>
      <c r="R84" s="7">
        <v>708.620740175247</v>
      </c>
      <c r="S84" s="7">
        <v>178.238870382308</v>
      </c>
      <c r="T84" s="7">
        <v>2.06211516164134</v>
      </c>
      <c r="U84" s="7">
        <v>6.83384858578939</v>
      </c>
      <c r="V84" s="7">
        <v>2.61416307559214</v>
      </c>
      <c r="W84" s="7">
        <v>0.739427814756824</v>
      </c>
      <c r="X84" s="7">
        <v>0.0662777910260171</v>
      </c>
      <c r="Y84" s="7">
        <v>0.0067950112416392</v>
      </c>
      <c r="Z84" s="7">
        <v>0.0824318581716996</v>
      </c>
      <c r="AA84" s="7">
        <v>0.857772829132559</v>
      </c>
      <c r="AB84" s="7">
        <v>0.0659600512880123</v>
      </c>
      <c r="AC84" s="7">
        <v>0.0821841088511626</v>
      </c>
      <c r="AD84" s="7">
        <v>0.859337551451631</v>
      </c>
      <c r="AE84" s="7">
        <v>0.0957801842351639</v>
      </c>
      <c r="AF84" s="7">
        <v>0.121553495401564</v>
      </c>
      <c r="AG84" s="7">
        <v>0.694553794188387</v>
      </c>
      <c r="AH84" s="7">
        <v>10.0</v>
      </c>
      <c r="AI84" s="7">
        <v>2.06211516164134</v>
      </c>
      <c r="AJ84" s="7">
        <v>6.83384858578939</v>
      </c>
      <c r="AK84" s="7">
        <v>2.61416307559214</v>
      </c>
      <c r="AL84" s="7">
        <v>0.739322526152619</v>
      </c>
      <c r="AM84" s="7">
        <v>1.53815175156353</v>
      </c>
      <c r="AN84" s="7">
        <v>3.67292533641791</v>
      </c>
      <c r="AO84" s="7">
        <v>1.91648776057086</v>
      </c>
      <c r="AP84" s="7">
        <v>0.85933755145163</v>
      </c>
      <c r="AQ84" s="7">
        <v>2.23354068515056</v>
      </c>
      <c r="AR84" s="7">
        <v>8.03473029747904</v>
      </c>
      <c r="AS84" s="7">
        <v>2.83455998304481</v>
      </c>
      <c r="AT84" s="7">
        <v>0.694553794188387</v>
      </c>
      <c r="AU84" s="4">
        <f t="shared" ref="AU84:AV84" si="164">(AB84-AB$36)/AB$37</f>
        <v>-0.03140376151</v>
      </c>
      <c r="AV84" s="4">
        <f t="shared" si="164"/>
        <v>-0.09452115394</v>
      </c>
      <c r="AW84" s="4">
        <f t="shared" si="5"/>
        <v>0.04648909396</v>
      </c>
      <c r="AX84" s="4">
        <f t="shared" si="6"/>
        <v>0.0191264018</v>
      </c>
      <c r="AY84" s="4">
        <f t="shared" si="7"/>
        <v>-0.2679247817</v>
      </c>
      <c r="AZ84" s="4">
        <f t="shared" si="8"/>
        <v>-0.2650553277</v>
      </c>
      <c r="BA84" s="4">
        <f t="shared" si="9"/>
        <v>-0.02878276184</v>
      </c>
      <c r="BB84" s="4">
        <f t="shared" si="10"/>
        <v>0.01680397969</v>
      </c>
      <c r="BC84" s="4">
        <f t="shared" si="11"/>
        <v>-0.2118727353</v>
      </c>
      <c r="BD84" s="4">
        <f t="shared" ref="BD84:BE84" si="165">((R84-R$36)/R$37)</f>
        <v>1.38452136</v>
      </c>
      <c r="BE84" s="4">
        <f t="shared" si="165"/>
        <v>0.08008725376</v>
      </c>
      <c r="BF84" s="3"/>
    </row>
    <row r="85">
      <c r="A85" s="3" t="s">
        <v>77</v>
      </c>
      <c r="B85" s="4">
        <f t="shared" si="3"/>
        <v>-0.1992276601</v>
      </c>
      <c r="C85" s="3" t="s">
        <v>58</v>
      </c>
      <c r="D85" s="3" t="s">
        <v>59</v>
      </c>
      <c r="E85" s="5" t="s">
        <v>60</v>
      </c>
      <c r="F85" s="3" t="s">
        <v>78</v>
      </c>
      <c r="G85" s="5" t="s">
        <v>60</v>
      </c>
      <c r="H85" s="5" t="s">
        <v>63</v>
      </c>
      <c r="I85" s="6">
        <v>150.0</v>
      </c>
      <c r="J85" s="5" t="s">
        <v>85</v>
      </c>
      <c r="K85" s="3" t="s">
        <v>65</v>
      </c>
      <c r="L85" s="5" t="s">
        <v>73</v>
      </c>
      <c r="M85" s="3" t="s">
        <v>74</v>
      </c>
      <c r="N85" s="3" t="s">
        <v>84</v>
      </c>
      <c r="O85" s="3" t="s">
        <v>69</v>
      </c>
      <c r="P85" s="5" t="s">
        <v>75</v>
      </c>
      <c r="Q85" s="5" t="s">
        <v>75</v>
      </c>
      <c r="R85" s="7">
        <v>379.280157804489</v>
      </c>
      <c r="S85" s="7">
        <v>172.466758728027</v>
      </c>
      <c r="T85" s="7">
        <v>2.58240190251149</v>
      </c>
      <c r="U85" s="7">
        <v>11.558954290386</v>
      </c>
      <c r="V85" s="7">
        <v>3.39984621569652</v>
      </c>
      <c r="W85" s="7">
        <v>0.555937163999436</v>
      </c>
      <c r="X85" s="7">
        <v>0.0828455707035777</v>
      </c>
      <c r="Y85" s="7">
        <v>0.0110845634089508</v>
      </c>
      <c r="Z85" s="7">
        <v>0.105283253221729</v>
      </c>
      <c r="AA85" s="7">
        <v>0.763321516551302</v>
      </c>
      <c r="AB85" s="7">
        <v>0.0824835595486272</v>
      </c>
      <c r="AC85" s="7">
        <v>0.104630782157014</v>
      </c>
      <c r="AD85" s="7">
        <v>0.768746419021721</v>
      </c>
      <c r="AE85" s="7">
        <v>0.117401072004671</v>
      </c>
      <c r="AF85" s="7">
        <v>0.1593889781349</v>
      </c>
      <c r="AG85" s="7">
        <v>0.475505788238531</v>
      </c>
      <c r="AH85" s="7">
        <v>10.0</v>
      </c>
      <c r="AI85" s="7">
        <v>2.58240190251149</v>
      </c>
      <c r="AJ85" s="7">
        <v>11.5589542903859</v>
      </c>
      <c r="AK85" s="7">
        <v>3.39984621569652</v>
      </c>
      <c r="AL85" s="7">
        <v>0.55545747251738</v>
      </c>
      <c r="AM85" s="7">
        <v>1.92347078447425</v>
      </c>
      <c r="AN85" s="7">
        <v>5.95326675770689</v>
      </c>
      <c r="AO85" s="7">
        <v>2.43993171168926</v>
      </c>
      <c r="AP85" s="7">
        <v>0.768746419021721</v>
      </c>
      <c r="AQ85" s="7">
        <v>2.73772777633116</v>
      </c>
      <c r="AR85" s="7">
        <v>13.8150662542153</v>
      </c>
      <c r="AS85" s="7">
        <v>3.71686242067357</v>
      </c>
      <c r="AT85" s="7">
        <v>0.475505788238531</v>
      </c>
      <c r="AU85" s="4">
        <f t="shared" ref="AU85:AV85" si="166">(AB85-AB$36)/AB$37</f>
        <v>0.2687313696</v>
      </c>
      <c r="AV85" s="4">
        <f t="shared" si="166"/>
        <v>0.2276756058</v>
      </c>
      <c r="AW85" s="4">
        <f t="shared" si="5"/>
        <v>0.2679058824</v>
      </c>
      <c r="AX85" s="4">
        <f t="shared" si="6"/>
        <v>0.3178564046</v>
      </c>
      <c r="AY85" s="4">
        <f t="shared" si="7"/>
        <v>-0.0189785995</v>
      </c>
      <c r="AZ85" s="4">
        <f t="shared" si="8"/>
        <v>0.02589431702</v>
      </c>
      <c r="BA85" s="4">
        <f t="shared" si="9"/>
        <v>0.07231538943</v>
      </c>
      <c r="BB85" s="4">
        <f t="shared" si="10"/>
        <v>0.3126505379</v>
      </c>
      <c r="BC85" s="4">
        <f t="shared" si="11"/>
        <v>0.02313159282</v>
      </c>
      <c r="BD85" s="4">
        <f t="shared" ref="BD85:BE85" si="167">((R85-R$36)/R$37)</f>
        <v>0.6534896378</v>
      </c>
      <c r="BE85" s="4">
        <f t="shared" si="167"/>
        <v>0.04083212346</v>
      </c>
      <c r="BF85" s="3"/>
    </row>
    <row r="86">
      <c r="A86" s="3" t="s">
        <v>77</v>
      </c>
      <c r="B86" s="4">
        <f t="shared" si="3"/>
        <v>-0.3026878089</v>
      </c>
      <c r="C86" s="3" t="s">
        <v>58</v>
      </c>
      <c r="D86" s="3" t="s">
        <v>59</v>
      </c>
      <c r="E86" s="5" t="s">
        <v>60</v>
      </c>
      <c r="F86" s="3" t="s">
        <v>78</v>
      </c>
      <c r="G86" s="5" t="s">
        <v>60</v>
      </c>
      <c r="H86" s="5" t="s">
        <v>71</v>
      </c>
      <c r="I86" s="6">
        <v>150.0</v>
      </c>
      <c r="J86" s="5" t="s">
        <v>85</v>
      </c>
      <c r="K86" s="3" t="s">
        <v>72</v>
      </c>
      <c r="L86" s="5" t="s">
        <v>66</v>
      </c>
      <c r="M86" s="3" t="s">
        <v>67</v>
      </c>
      <c r="N86" s="3" t="s">
        <v>68</v>
      </c>
      <c r="O86" s="3" t="s">
        <v>69</v>
      </c>
      <c r="P86" s="5" t="s">
        <v>87</v>
      </c>
      <c r="Q86" s="3"/>
      <c r="R86" s="7">
        <v>471.750284433364</v>
      </c>
      <c r="S86" s="7">
        <v>165.204228639602</v>
      </c>
      <c r="T86" s="7">
        <v>2.75289642440597</v>
      </c>
      <c r="U86" s="7">
        <v>12.9259249654595</v>
      </c>
      <c r="V86" s="7">
        <v>3.59526424139583</v>
      </c>
      <c r="W86" s="7">
        <v>0.505329130963248</v>
      </c>
      <c r="X86" s="7">
        <v>0.102940263471472</v>
      </c>
      <c r="Y86" s="7">
        <v>0.0164541789752556</v>
      </c>
      <c r="Z86" s="7">
        <v>0.128273843690971</v>
      </c>
      <c r="AA86" s="7">
        <v>0.65014198830286</v>
      </c>
      <c r="AB86" s="7">
        <v>0.102719177833784</v>
      </c>
      <c r="AC86" s="7">
        <v>0.127651563668076</v>
      </c>
      <c r="AD86" s="7">
        <v>0.657415729207322</v>
      </c>
      <c r="AE86" s="7">
        <v>0.116516218532733</v>
      </c>
      <c r="AF86" s="7">
        <v>0.156273274985553</v>
      </c>
      <c r="AG86" s="7">
        <v>0.493718926335934</v>
      </c>
      <c r="AH86" s="7">
        <v>10.0</v>
      </c>
      <c r="AI86" s="7">
        <v>2.75289642440597</v>
      </c>
      <c r="AJ86" s="7">
        <v>12.9259249654595</v>
      </c>
      <c r="AK86" s="7">
        <v>3.59526424139583</v>
      </c>
      <c r="AL86" s="7">
        <v>0.505171842441885</v>
      </c>
      <c r="AM86" s="7">
        <v>2.39535416087395</v>
      </c>
      <c r="AN86" s="7">
        <v>8.86112121596359</v>
      </c>
      <c r="AO86" s="7">
        <v>2.97676354720417</v>
      </c>
      <c r="AP86" s="7">
        <v>0.657415729207322</v>
      </c>
      <c r="AQ86" s="7">
        <v>2.71709348495081</v>
      </c>
      <c r="AR86" s="7">
        <v>13.280237036459</v>
      </c>
      <c r="AS86" s="7">
        <v>3.64420595417699</v>
      </c>
      <c r="AT86" s="7">
        <v>0.493718926335934</v>
      </c>
      <c r="AU86" s="4">
        <f t="shared" ref="AU86:AV86" si="168">(AB86-AB$36)/AB$37</f>
        <v>0.6362937451</v>
      </c>
      <c r="AV86" s="4">
        <f t="shared" si="168"/>
        <v>0.5581130433</v>
      </c>
      <c r="AW86" s="4">
        <f t="shared" si="5"/>
        <v>0.2588442095</v>
      </c>
      <c r="AX86" s="4">
        <f t="shared" si="6"/>
        <v>0.2932563745</v>
      </c>
      <c r="AY86" s="4">
        <f t="shared" si="7"/>
        <v>0.06259941696</v>
      </c>
      <c r="AZ86" s="4">
        <f t="shared" si="8"/>
        <v>0.09826039215</v>
      </c>
      <c r="BA86" s="4">
        <f t="shared" si="9"/>
        <v>0.1965585313</v>
      </c>
      <c r="BB86" s="4">
        <f t="shared" si="10"/>
        <v>0.2880518469</v>
      </c>
      <c r="BC86" s="4">
        <f t="shared" si="11"/>
        <v>0.0874034078</v>
      </c>
      <c r="BD86" s="4">
        <f t="shared" ref="BD86:BE86" si="169">((R86-R$36)/R$37)</f>
        <v>0.8587440143</v>
      </c>
      <c r="BE86" s="4">
        <f t="shared" si="169"/>
        <v>-0.008559084129</v>
      </c>
      <c r="BF86" s="3"/>
    </row>
    <row r="87">
      <c r="A87" s="3" t="s">
        <v>57</v>
      </c>
      <c r="B87" s="4">
        <f t="shared" si="3"/>
        <v>-0.449422954</v>
      </c>
      <c r="C87" s="3" t="s">
        <v>59</v>
      </c>
      <c r="D87" s="3" t="s">
        <v>58</v>
      </c>
      <c r="E87" s="5" t="s">
        <v>60</v>
      </c>
      <c r="F87" s="3" t="s">
        <v>61</v>
      </c>
      <c r="G87" s="5" t="s">
        <v>62</v>
      </c>
      <c r="H87" s="5" t="s">
        <v>71</v>
      </c>
      <c r="I87" s="6">
        <v>150.0</v>
      </c>
      <c r="J87" s="5" t="s">
        <v>85</v>
      </c>
      <c r="K87" s="3" t="s">
        <v>72</v>
      </c>
      <c r="L87" s="5" t="s">
        <v>66</v>
      </c>
      <c r="M87" s="3" t="s">
        <v>74</v>
      </c>
      <c r="N87" s="3" t="s">
        <v>84</v>
      </c>
      <c r="O87" s="3" t="s">
        <v>69</v>
      </c>
      <c r="P87" s="5" t="s">
        <v>87</v>
      </c>
      <c r="Q87" s="3"/>
      <c r="R87" s="11">
        <v>320.327401399612</v>
      </c>
      <c r="S87" s="11">
        <v>129.177507400512</v>
      </c>
      <c r="T87" s="7">
        <v>3.42359850811273</v>
      </c>
      <c r="U87" s="7">
        <v>18.0283293344335</v>
      </c>
      <c r="V87" s="7">
        <v>4.2459780185999</v>
      </c>
      <c r="W87" s="7">
        <v>0.462075022199831</v>
      </c>
      <c r="X87" s="7">
        <v>0.120612365876635</v>
      </c>
      <c r="Y87" s="7">
        <v>0.0216147788651011</v>
      </c>
      <c r="Z87" s="7">
        <v>0.147019654689776</v>
      </c>
      <c r="AA87" s="7">
        <v>0.533077098314277</v>
      </c>
      <c r="AB87" s="7">
        <v>0.121241868034622</v>
      </c>
      <c r="AC87" s="7">
        <v>0.147504171281421</v>
      </c>
      <c r="AD87" s="7">
        <v>0.534110131147697</v>
      </c>
      <c r="AE87" s="7">
        <v>0.13516352077187</v>
      </c>
      <c r="AF87" s="7">
        <v>0.168474578117464</v>
      </c>
      <c r="AG87" s="7">
        <v>0.395598452779493</v>
      </c>
      <c r="AH87" s="7">
        <v>10.0</v>
      </c>
      <c r="AI87" s="7">
        <v>3.42359850811273</v>
      </c>
      <c r="AJ87" s="7">
        <v>18.0283293344336</v>
      </c>
      <c r="AK87" s="7">
        <v>4.2459780185999</v>
      </c>
      <c r="AL87" s="7">
        <v>0.46200903874809</v>
      </c>
      <c r="AM87" s="7">
        <v>3.24321996992614</v>
      </c>
      <c r="AN87" s="7">
        <v>15.5688371727813</v>
      </c>
      <c r="AO87" s="7">
        <v>3.94573658177803</v>
      </c>
      <c r="AP87" s="7">
        <v>0.534110131147697</v>
      </c>
      <c r="AQ87" s="7">
        <v>3.61562418064754</v>
      </c>
      <c r="AR87" s="7">
        <v>20.3102995043311</v>
      </c>
      <c r="AS87" s="7">
        <v>4.50669496464217</v>
      </c>
      <c r="AT87" s="7">
        <v>0.395598452779493</v>
      </c>
      <c r="AU87" s="4">
        <f t="shared" ref="AU87:AU89" si="171">(AB87-$AB$36)/AB$37</f>
        <v>0.9727422743</v>
      </c>
      <c r="AV87" s="4">
        <f t="shared" ref="AV87:AV89" si="172">(AC87-AC$36)/AC$37</f>
        <v>0.8430749064</v>
      </c>
      <c r="AW87" s="4">
        <f t="shared" si="5"/>
        <v>0.6534393597</v>
      </c>
      <c r="AX87" s="4">
        <f t="shared" si="6"/>
        <v>0.5852779462</v>
      </c>
      <c r="AY87" s="4">
        <f t="shared" si="7"/>
        <v>0.3835161538</v>
      </c>
      <c r="AZ87" s="4">
        <f t="shared" si="8"/>
        <v>0.3392289616</v>
      </c>
      <c r="BA87" s="4">
        <f t="shared" si="9"/>
        <v>0.3341654656</v>
      </c>
      <c r="BB87" s="4">
        <f t="shared" si="10"/>
        <v>0.4205735025</v>
      </c>
      <c r="BC87" s="4">
        <f t="shared" si="11"/>
        <v>0.1425712903</v>
      </c>
      <c r="BD87" s="4">
        <f t="shared" ref="BD87:BE87" si="170">((R87-R$36)/R$37)</f>
        <v>0.5226332012</v>
      </c>
      <c r="BE87" s="4">
        <f t="shared" si="170"/>
        <v>-0.2535705672</v>
      </c>
      <c r="BF87" s="4"/>
    </row>
    <row r="88">
      <c r="A88" s="3" t="s">
        <v>77</v>
      </c>
      <c r="B88" s="4">
        <f t="shared" si="3"/>
        <v>-0.4269639889</v>
      </c>
      <c r="C88" s="3" t="s">
        <v>59</v>
      </c>
      <c r="D88" s="3" t="s">
        <v>58</v>
      </c>
      <c r="E88" s="5" t="s">
        <v>82</v>
      </c>
      <c r="F88" s="3" t="s">
        <v>61</v>
      </c>
      <c r="G88" s="5" t="s">
        <v>83</v>
      </c>
      <c r="H88" s="5" t="s">
        <v>71</v>
      </c>
      <c r="I88" s="6">
        <v>150.0</v>
      </c>
      <c r="J88" s="5" t="s">
        <v>85</v>
      </c>
      <c r="K88" s="3" t="s">
        <v>72</v>
      </c>
      <c r="L88" s="5" t="s">
        <v>66</v>
      </c>
      <c r="M88" s="3" t="s">
        <v>74</v>
      </c>
      <c r="N88" s="3" t="s">
        <v>80</v>
      </c>
      <c r="O88" s="3" t="s">
        <v>69</v>
      </c>
      <c r="P88" s="5" t="s">
        <v>86</v>
      </c>
      <c r="Q88" s="3"/>
      <c r="R88" s="11">
        <v>614.188953638076</v>
      </c>
      <c r="S88" s="11">
        <v>332.19306063652</v>
      </c>
      <c r="T88" s="7">
        <v>3.1961275508693</v>
      </c>
      <c r="U88" s="7">
        <v>15.2882156129621</v>
      </c>
      <c r="V88" s="7">
        <v>3.9100147842383</v>
      </c>
      <c r="W88" s="7">
        <v>0.538832761687484</v>
      </c>
      <c r="X88" s="7">
        <v>0.0974499640645335</v>
      </c>
      <c r="Y88" s="7">
        <v>0.0134940187222994</v>
      </c>
      <c r="Z88" s="7">
        <v>0.116163758213564</v>
      </c>
      <c r="AA88" s="7">
        <v>0.684350723908824</v>
      </c>
      <c r="AB88" s="7">
        <v>0.0977563871968326</v>
      </c>
      <c r="AC88" s="7">
        <v>0.116339056492831</v>
      </c>
      <c r="AD88" s="7">
        <v>0.685900058033807</v>
      </c>
      <c r="AE88" s="7">
        <v>0.12515008491693</v>
      </c>
      <c r="AF88" s="7">
        <v>0.154265265961075</v>
      </c>
      <c r="AG88" s="7">
        <v>0.452722350812909</v>
      </c>
      <c r="AH88" s="7">
        <v>10.0</v>
      </c>
      <c r="AI88" s="7">
        <v>2.83030572275776</v>
      </c>
      <c r="AJ88" s="7">
        <v>11.9887883285127</v>
      </c>
      <c r="AK88" s="7">
        <v>3.46248297158452</v>
      </c>
      <c r="AL88" s="7">
        <v>0.538681090455647</v>
      </c>
      <c r="AM88" s="7">
        <v>2.39503148632242</v>
      </c>
      <c r="AN88" s="7">
        <v>8.12424933340169</v>
      </c>
      <c r="AO88" s="7">
        <v>2.85030688407436</v>
      </c>
      <c r="AP88" s="7">
        <v>0.685900058033807</v>
      </c>
      <c r="AQ88" s="7">
        <v>3.06617708046498</v>
      </c>
      <c r="AR88" s="7">
        <v>14.2846128122952</v>
      </c>
      <c r="AS88" s="7">
        <v>3.77949901604633</v>
      </c>
      <c r="AT88" s="7">
        <v>0.452722350812909</v>
      </c>
      <c r="AU88" s="4">
        <f t="shared" si="171"/>
        <v>0.5461489771</v>
      </c>
      <c r="AV88" s="4">
        <f t="shared" si="172"/>
        <v>0.3957347209</v>
      </c>
      <c r="AW88" s="4">
        <f t="shared" si="5"/>
        <v>0.4121463665</v>
      </c>
      <c r="AX88" s="4">
        <f t="shared" si="6"/>
        <v>0.3390639061</v>
      </c>
      <c r="AY88" s="4">
        <f t="shared" si="7"/>
        <v>0.09963812615</v>
      </c>
      <c r="AZ88" s="4">
        <f t="shared" si="8"/>
        <v>0.04908959886</v>
      </c>
      <c r="BA88" s="4">
        <f t="shared" si="9"/>
        <v>0.1647705085</v>
      </c>
      <c r="BB88" s="4">
        <f t="shared" si="10"/>
        <v>0.343421882</v>
      </c>
      <c r="BC88" s="4">
        <f t="shared" si="11"/>
        <v>0.04457407096</v>
      </c>
      <c r="BD88" s="4">
        <f t="shared" ref="BD88:BE88" si="173">((R88-R$36)/R$37)</f>
        <v>1.17491272</v>
      </c>
      <c r="BE88" s="4">
        <f t="shared" si="173"/>
        <v>1.127103001</v>
      </c>
      <c r="BF88" s="4"/>
    </row>
    <row r="89">
      <c r="A89" s="3" t="s">
        <v>57</v>
      </c>
      <c r="B89" s="4">
        <f t="shared" si="3"/>
        <v>-0.4236666498</v>
      </c>
      <c r="C89" s="3" t="s">
        <v>59</v>
      </c>
      <c r="D89" s="3" t="s">
        <v>58</v>
      </c>
      <c r="E89" s="5" t="s">
        <v>60</v>
      </c>
      <c r="F89" s="3" t="s">
        <v>61</v>
      </c>
      <c r="G89" s="5" t="s">
        <v>62</v>
      </c>
      <c r="H89" s="5" t="s">
        <v>63</v>
      </c>
      <c r="I89" s="6">
        <v>150.0</v>
      </c>
      <c r="J89" s="5" t="s">
        <v>85</v>
      </c>
      <c r="K89" s="3" t="s">
        <v>65</v>
      </c>
      <c r="L89" s="5" t="s">
        <v>73</v>
      </c>
      <c r="M89" s="3" t="s">
        <v>67</v>
      </c>
      <c r="N89" s="3" t="s">
        <v>68</v>
      </c>
      <c r="O89" s="3" t="s">
        <v>69</v>
      </c>
      <c r="P89" s="5" t="s">
        <v>81</v>
      </c>
      <c r="Q89" s="5" t="s">
        <v>75</v>
      </c>
      <c r="R89" s="11">
        <v>692.986011266708</v>
      </c>
      <c r="S89" s="11">
        <v>134.139004945755</v>
      </c>
      <c r="T89" s="7">
        <v>3.29322391852486</v>
      </c>
      <c r="U89" s="7">
        <v>15.9899613291495</v>
      </c>
      <c r="V89" s="7">
        <v>3.99874496925591</v>
      </c>
      <c r="W89" s="7">
        <v>0.528543654843664</v>
      </c>
      <c r="X89" s="7">
        <v>0.103942916107838</v>
      </c>
      <c r="Y89" s="7">
        <v>0.0152458684113612</v>
      </c>
      <c r="Z89" s="7">
        <v>0.123474160905677</v>
      </c>
      <c r="AA89" s="7">
        <v>0.674353851329856</v>
      </c>
      <c r="AB89" s="7">
        <v>0.104171658133199</v>
      </c>
      <c r="AC89" s="7">
        <v>0.123554716824717</v>
      </c>
      <c r="AD89" s="7">
        <v>0.676522400212253</v>
      </c>
      <c r="AE89" s="7">
        <v>0.13459447753968</v>
      </c>
      <c r="AF89" s="7">
        <v>0.164390422105394</v>
      </c>
      <c r="AG89" s="7">
        <v>0.431902090154442</v>
      </c>
      <c r="AH89" s="7">
        <v>10.0</v>
      </c>
      <c r="AI89" s="7">
        <v>3.29322391852487</v>
      </c>
      <c r="AJ89" s="7">
        <v>15.9899613291495</v>
      </c>
      <c r="AK89" s="7">
        <v>3.99874496925591</v>
      </c>
      <c r="AL89" s="7">
        <v>0.528387647370482</v>
      </c>
      <c r="AM89" s="7">
        <v>2.78659185506309</v>
      </c>
      <c r="AN89" s="7">
        <v>10.9236111500177</v>
      </c>
      <c r="AO89" s="7">
        <v>3.30508867506119</v>
      </c>
      <c r="AP89" s="7">
        <v>0.676522400212253</v>
      </c>
      <c r="AQ89" s="7">
        <v>3.60040227418646</v>
      </c>
      <c r="AR89" s="7">
        <v>19.3375118978127</v>
      </c>
      <c r="AS89" s="7">
        <v>4.39744379131931</v>
      </c>
      <c r="AT89" s="7">
        <v>0.431902090154442</v>
      </c>
      <c r="AU89" s="4">
        <f t="shared" si="171"/>
        <v>0.6626767842</v>
      </c>
      <c r="AV89" s="4">
        <f t="shared" si="172"/>
        <v>0.4993074128</v>
      </c>
      <c r="AW89" s="4">
        <f t="shared" si="5"/>
        <v>0.6467545681</v>
      </c>
      <c r="AX89" s="4">
        <f t="shared" si="6"/>
        <v>0.5482876785</v>
      </c>
      <c r="AY89" s="4">
        <f t="shared" si="7"/>
        <v>0.321134675</v>
      </c>
      <c r="AZ89" s="4">
        <f t="shared" si="8"/>
        <v>0.247675046</v>
      </c>
      <c r="BA89" s="4">
        <f t="shared" si="9"/>
        <v>0.1752358139</v>
      </c>
      <c r="BB89" s="4">
        <f t="shared" si="10"/>
        <v>0.3715417566</v>
      </c>
      <c r="BC89" s="4">
        <f t="shared" si="11"/>
        <v>0.05773047903</v>
      </c>
      <c r="BD89" s="4">
        <f t="shared" ref="BD89:BE89" si="174">((R89-R$36)/R$37)</f>
        <v>1.349817216</v>
      </c>
      <c r="BE89" s="4">
        <f t="shared" si="174"/>
        <v>-0.2198282828</v>
      </c>
      <c r="BF89" s="4"/>
    </row>
    <row r="90">
      <c r="A90" s="3" t="s">
        <v>77</v>
      </c>
      <c r="B90" s="4">
        <f t="shared" si="3"/>
        <v>-0.2901067841</v>
      </c>
      <c r="C90" s="3" t="s">
        <v>59</v>
      </c>
      <c r="D90" s="3" t="s">
        <v>58</v>
      </c>
      <c r="E90" s="5" t="s">
        <v>82</v>
      </c>
      <c r="F90" s="3" t="s">
        <v>61</v>
      </c>
      <c r="G90" s="5" t="s">
        <v>83</v>
      </c>
      <c r="H90" s="5" t="s">
        <v>63</v>
      </c>
      <c r="I90" s="6">
        <v>150.0</v>
      </c>
      <c r="J90" s="5" t="s">
        <v>85</v>
      </c>
      <c r="K90" s="3" t="s">
        <v>65</v>
      </c>
      <c r="L90" s="5" t="s">
        <v>66</v>
      </c>
      <c r="M90" s="3" t="s">
        <v>67</v>
      </c>
      <c r="N90" s="3" t="s">
        <v>68</v>
      </c>
      <c r="O90" s="3" t="s">
        <v>69</v>
      </c>
      <c r="P90" s="5" t="s">
        <v>70</v>
      </c>
      <c r="Q90" s="3"/>
      <c r="R90" s="11">
        <v>889.605242013931</v>
      </c>
      <c r="S90" s="11">
        <v>327.217785358428</v>
      </c>
      <c r="T90" s="7">
        <v>2.9823070089586</v>
      </c>
      <c r="U90" s="7">
        <v>13.727410672591</v>
      </c>
      <c r="V90" s="7">
        <v>3.70505204721756</v>
      </c>
      <c r="W90" s="7">
        <v>0.586031071466254</v>
      </c>
      <c r="X90" s="7">
        <v>0.0424576020119962</v>
      </c>
      <c r="Y90" s="7">
        <v>0.0028031033843867</v>
      </c>
      <c r="Z90" s="7">
        <v>0.0529443423265104</v>
      </c>
      <c r="AA90" s="7">
        <v>0.934757221686552</v>
      </c>
      <c r="AB90" s="7">
        <v>0.0422597663396237</v>
      </c>
      <c r="AC90" s="7">
        <v>0.0527677831335708</v>
      </c>
      <c r="AD90" s="7">
        <v>0.935683123259614</v>
      </c>
      <c r="AE90" s="7">
        <v>0.136307309738527</v>
      </c>
      <c r="AF90" s="7">
        <v>0.165959622623289</v>
      </c>
      <c r="AG90" s="7">
        <v>0.365730600762664</v>
      </c>
      <c r="AH90" s="7">
        <v>10.0</v>
      </c>
      <c r="AI90" s="7">
        <v>2.64095861636696</v>
      </c>
      <c r="AJ90" s="7">
        <v>10.7648286117005</v>
      </c>
      <c r="AK90" s="7">
        <v>3.28097982494567</v>
      </c>
      <c r="AL90" s="7">
        <v>0.585910337597837</v>
      </c>
      <c r="AM90" s="7">
        <v>1.03536427532077</v>
      </c>
      <c r="AN90" s="7">
        <v>1.67135947183315</v>
      </c>
      <c r="AO90" s="7">
        <v>1.29281068677248</v>
      </c>
      <c r="AP90" s="7">
        <v>0.935683123259614</v>
      </c>
      <c r="AQ90" s="7">
        <v>3.33952908859417</v>
      </c>
      <c r="AR90" s="7">
        <v>16.532443453844</v>
      </c>
      <c r="AS90" s="7">
        <v>4.06601075427058</v>
      </c>
      <c r="AT90" s="7">
        <v>0.365730600762663</v>
      </c>
      <c r="AU90" s="4">
        <f t="shared" ref="AU90:AV90" si="175">(AB90-AB$36)/AB$37</f>
        <v>-0.4618987883</v>
      </c>
      <c r="AV90" s="4">
        <f t="shared" si="175"/>
        <v>-0.5167594384</v>
      </c>
      <c r="AW90" s="4">
        <f t="shared" si="5"/>
        <v>0.5321905422</v>
      </c>
      <c r="AX90" s="4">
        <f t="shared" si="6"/>
        <v>0.4360710645</v>
      </c>
      <c r="AY90" s="4">
        <f t="shared" si="7"/>
        <v>0.009039547441</v>
      </c>
      <c r="AZ90" s="4">
        <f t="shared" si="8"/>
        <v>-0.01812359859</v>
      </c>
      <c r="BA90" s="4">
        <f t="shared" si="9"/>
        <v>-0.1139831116</v>
      </c>
      <c r="BB90" s="4">
        <f t="shared" si="10"/>
        <v>0.4609130672</v>
      </c>
      <c r="BC90" s="4">
        <f t="shared" si="11"/>
        <v>-0.01579127455</v>
      </c>
      <c r="BD90" s="4">
        <f t="shared" ref="BD90:BE90" si="176">((R90-R$36)/R$37)</f>
        <v>1.786249598</v>
      </c>
      <c r="BE90" s="4">
        <f t="shared" si="176"/>
        <v>1.093267017</v>
      </c>
      <c r="BF90" s="4"/>
    </row>
    <row r="91">
      <c r="A91" s="3" t="s">
        <v>57</v>
      </c>
      <c r="B91" s="4">
        <f t="shared" si="3"/>
        <v>-0.5143889119</v>
      </c>
      <c r="C91" s="3" t="s">
        <v>58</v>
      </c>
      <c r="D91" s="3" t="s">
        <v>59</v>
      </c>
      <c r="E91" s="5" t="s">
        <v>82</v>
      </c>
      <c r="F91" s="3" t="s">
        <v>78</v>
      </c>
      <c r="G91" s="5" t="s">
        <v>88</v>
      </c>
      <c r="H91" s="5" t="s">
        <v>71</v>
      </c>
      <c r="I91" s="6">
        <v>150.0</v>
      </c>
      <c r="J91" s="5" t="s">
        <v>85</v>
      </c>
      <c r="K91" s="3" t="s">
        <v>72</v>
      </c>
      <c r="L91" s="5" t="s">
        <v>66</v>
      </c>
      <c r="M91" s="3" t="s">
        <v>67</v>
      </c>
      <c r="N91" s="3" t="s">
        <v>80</v>
      </c>
      <c r="O91" s="3" t="s">
        <v>69</v>
      </c>
      <c r="P91" s="5" t="s">
        <v>75</v>
      </c>
      <c r="Q91" s="3"/>
      <c r="R91" s="7">
        <v>745.64835190773</v>
      </c>
      <c r="S91" s="7">
        <v>407.181503057479</v>
      </c>
      <c r="T91" s="7">
        <v>3.08015964598958</v>
      </c>
      <c r="U91" s="7">
        <v>14.6725169083724</v>
      </c>
      <c r="V91" s="7">
        <v>3.83047215214684</v>
      </c>
      <c r="W91" s="7">
        <v>0.456640265024554</v>
      </c>
      <c r="X91" s="7">
        <v>0.0768554553765838</v>
      </c>
      <c r="Y91" s="7">
        <v>0.00894872752005794</v>
      </c>
      <c r="Z91" s="7">
        <v>0.0945977141375939</v>
      </c>
      <c r="AA91" s="7">
        <v>0.79688158531188</v>
      </c>
      <c r="AB91" s="7">
        <v>0.0763342175886605</v>
      </c>
      <c r="AC91" s="7">
        <v>0.0939302194352662</v>
      </c>
      <c r="AD91" s="7">
        <v>0.801751977151923</v>
      </c>
      <c r="AE91" s="7">
        <v>0.143965159556305</v>
      </c>
      <c r="AF91" s="7">
        <v>0.179950321990017</v>
      </c>
      <c r="AG91" s="7">
        <v>0.28790220024759</v>
      </c>
      <c r="AH91" s="7">
        <v>10.0</v>
      </c>
      <c r="AI91" s="7">
        <v>3.08015964598942</v>
      </c>
      <c r="AJ91" s="7">
        <v>14.6725169083724</v>
      </c>
      <c r="AK91" s="7">
        <v>3.83047215214684</v>
      </c>
      <c r="AL91" s="7">
        <v>0.455730659409622</v>
      </c>
      <c r="AM91" s="7">
        <v>1.87018833092223</v>
      </c>
      <c r="AN91" s="7">
        <v>5.29593739542515</v>
      </c>
      <c r="AO91" s="7">
        <v>2.30129037616402</v>
      </c>
      <c r="AP91" s="7">
        <v>0.801751977151923</v>
      </c>
      <c r="AQ91" s="7">
        <v>3.52714640912923</v>
      </c>
      <c r="AR91" s="7">
        <v>19.4373665601827</v>
      </c>
      <c r="AS91" s="7">
        <v>4.40878288875543</v>
      </c>
      <c r="AT91" s="7">
        <v>0.28790220024759</v>
      </c>
      <c r="AU91" s="4">
        <f t="shared" ref="AU91:AV91" si="177">(AB91-AB$36)/AB$37</f>
        <v>0.1570339306</v>
      </c>
      <c r="AV91" s="4">
        <f t="shared" si="177"/>
        <v>0.07408105797</v>
      </c>
      <c r="AW91" s="4">
        <f t="shared" si="5"/>
        <v>0.6145838151</v>
      </c>
      <c r="AX91" s="4">
        <f t="shared" si="6"/>
        <v>0.5521268707</v>
      </c>
      <c r="AY91" s="4">
        <f t="shared" si="7"/>
        <v>0.2191879348</v>
      </c>
      <c r="AZ91" s="4">
        <f t="shared" si="8"/>
        <v>0.1853612278</v>
      </c>
      <c r="BA91" s="4">
        <f t="shared" si="9"/>
        <v>0.0354817522</v>
      </c>
      <c r="BB91" s="4">
        <f t="shared" si="10"/>
        <v>0.5660282192</v>
      </c>
      <c r="BC91" s="4">
        <f t="shared" si="11"/>
        <v>0.1505959056</v>
      </c>
      <c r="BD91" s="4">
        <f t="shared" ref="BD91:BE91" si="178">((R91-R$36)/R$37)</f>
        <v>1.466710923</v>
      </c>
      <c r="BE91" s="4">
        <f t="shared" si="178"/>
        <v>1.637086393</v>
      </c>
      <c r="BF91" s="3"/>
    </row>
    <row r="92">
      <c r="A92" s="3" t="s">
        <v>77</v>
      </c>
      <c r="B92" s="4">
        <f t="shared" si="3"/>
        <v>-0.3587875786</v>
      </c>
      <c r="C92" s="3" t="s">
        <v>58</v>
      </c>
      <c r="D92" s="3" t="s">
        <v>59</v>
      </c>
      <c r="E92" s="5" t="s">
        <v>82</v>
      </c>
      <c r="F92" s="3" t="s">
        <v>61</v>
      </c>
      <c r="G92" s="5" t="s">
        <v>83</v>
      </c>
      <c r="H92" s="5" t="s">
        <v>63</v>
      </c>
      <c r="I92" s="6">
        <v>150.0</v>
      </c>
      <c r="J92" s="5" t="s">
        <v>85</v>
      </c>
      <c r="K92" s="3" t="s">
        <v>65</v>
      </c>
      <c r="L92" s="5" t="s">
        <v>73</v>
      </c>
      <c r="M92" s="3" t="s">
        <v>67</v>
      </c>
      <c r="N92" s="3" t="s">
        <v>68</v>
      </c>
      <c r="O92" s="3" t="s">
        <v>69</v>
      </c>
      <c r="P92" s="5" t="s">
        <v>81</v>
      </c>
      <c r="Q92" s="5" t="s">
        <v>81</v>
      </c>
      <c r="R92" s="7">
        <v>1720.75284075737</v>
      </c>
      <c r="S92" s="7">
        <v>459.114831686019</v>
      </c>
      <c r="T92" s="7">
        <v>2.03847461919589</v>
      </c>
      <c r="U92" s="7">
        <v>6.59439301725976</v>
      </c>
      <c r="V92" s="7">
        <v>2.56795502633121</v>
      </c>
      <c r="W92" s="7">
        <v>0.755804814212143</v>
      </c>
      <c r="X92" s="7">
        <v>0.0360607673063208</v>
      </c>
      <c r="Y92" s="7">
        <v>0.00213883977285734</v>
      </c>
      <c r="Z92" s="7">
        <v>0.0462475920763162</v>
      </c>
      <c r="AA92" s="7">
        <v>0.952081256989278</v>
      </c>
      <c r="AB92" s="7">
        <v>0.035885035615434</v>
      </c>
      <c r="AC92" s="7">
        <v>0.0461116696016872</v>
      </c>
      <c r="AD92" s="7">
        <v>0.952586326402196</v>
      </c>
      <c r="AE92" s="7">
        <v>0.105142559851324</v>
      </c>
      <c r="AF92" s="7">
        <v>0.129803299806026</v>
      </c>
      <c r="AG92" s="7">
        <v>0.626109111587594</v>
      </c>
      <c r="AH92" s="7">
        <v>10.0</v>
      </c>
      <c r="AI92" s="7">
        <v>2.03847461919594</v>
      </c>
      <c r="AJ92" s="7">
        <v>6.59439301725976</v>
      </c>
      <c r="AK92" s="7">
        <v>2.56795502633121</v>
      </c>
      <c r="AL92" s="7">
        <v>0.755677840511373</v>
      </c>
      <c r="AM92" s="7">
        <v>0.879183372578123</v>
      </c>
      <c r="AN92" s="7">
        <v>1.27630321559146</v>
      </c>
      <c r="AO92" s="7">
        <v>1.12973590524133</v>
      </c>
      <c r="AP92" s="7">
        <v>0.952586326402196</v>
      </c>
      <c r="AQ92" s="7">
        <v>2.57599271635757</v>
      </c>
      <c r="AR92" s="7">
        <v>10.11355020848</v>
      </c>
      <c r="AS92" s="7">
        <v>3.18018084524764</v>
      </c>
      <c r="AT92" s="7">
        <v>0.626109111587594</v>
      </c>
      <c r="AU92" s="4">
        <f t="shared" ref="AU92:AV92" si="179">(AB92-AB$36)/AB$37</f>
        <v>-0.5776902178</v>
      </c>
      <c r="AV92" s="4">
        <f t="shared" si="179"/>
        <v>-0.612300465</v>
      </c>
      <c r="AW92" s="4">
        <f t="shared" si="5"/>
        <v>0.1968789597</v>
      </c>
      <c r="AX92" s="4">
        <f t="shared" si="6"/>
        <v>0.1361467303</v>
      </c>
      <c r="AY92" s="4">
        <f t="shared" si="7"/>
        <v>-0.2792362804</v>
      </c>
      <c r="AZ92" s="4">
        <f t="shared" si="8"/>
        <v>-0.2821668257</v>
      </c>
      <c r="BA92" s="4">
        <f t="shared" si="9"/>
        <v>-0.1328467966</v>
      </c>
      <c r="BB92" s="4">
        <f t="shared" si="10"/>
        <v>0.1092454684</v>
      </c>
      <c r="BC92" s="4">
        <f t="shared" si="11"/>
        <v>-0.2327770321</v>
      </c>
      <c r="BD92" s="4">
        <f t="shared" ref="BD92:BE92" si="180">((R92-R$36)/R$37)</f>
        <v>3.63113387</v>
      </c>
      <c r="BE92" s="4">
        <f t="shared" si="180"/>
        <v>1.990275954</v>
      </c>
      <c r="BF92" s="3"/>
    </row>
    <row r="93">
      <c r="A93" s="3" t="s">
        <v>77</v>
      </c>
      <c r="B93" s="4">
        <f t="shared" si="3"/>
        <v>-0.6702181971</v>
      </c>
      <c r="C93" s="3" t="s">
        <v>59</v>
      </c>
      <c r="D93" s="3" t="s">
        <v>58</v>
      </c>
      <c r="E93" s="5" t="s">
        <v>60</v>
      </c>
      <c r="F93" s="3" t="s">
        <v>78</v>
      </c>
      <c r="G93" s="5" t="s">
        <v>60</v>
      </c>
      <c r="H93" s="5" t="s">
        <v>63</v>
      </c>
      <c r="I93" s="6">
        <v>150.0</v>
      </c>
      <c r="J93" s="5" t="s">
        <v>85</v>
      </c>
      <c r="K93" s="3" t="s">
        <v>65</v>
      </c>
      <c r="L93" s="5" t="s">
        <v>66</v>
      </c>
      <c r="M93" s="3" t="s">
        <v>79</v>
      </c>
      <c r="N93" s="3" t="s">
        <v>68</v>
      </c>
      <c r="O93" s="3" t="s">
        <v>69</v>
      </c>
      <c r="P93" s="5" t="s">
        <v>70</v>
      </c>
      <c r="Q93" s="3"/>
      <c r="R93" s="11">
        <v>518.463577270507</v>
      </c>
      <c r="S93" s="11">
        <v>136.761530160903</v>
      </c>
      <c r="T93" s="7">
        <v>3.8632912766075</v>
      </c>
      <c r="U93" s="7">
        <v>24.6134171929491</v>
      </c>
      <c r="V93" s="7">
        <v>4.96119110627167</v>
      </c>
      <c r="W93" s="7">
        <v>0.262421905772219</v>
      </c>
      <c r="X93" s="7">
        <v>0.132465916350079</v>
      </c>
      <c r="Y93" s="7">
        <v>0.0262538833758178</v>
      </c>
      <c r="Z93" s="7">
        <v>0.16203050137495</v>
      </c>
      <c r="AA93" s="7">
        <v>0.418396634255637</v>
      </c>
      <c r="AB93" s="7">
        <v>0.134255769453807</v>
      </c>
      <c r="AC93" s="7">
        <v>0.163256280751707</v>
      </c>
      <c r="AD93" s="7">
        <v>0.422768900101908</v>
      </c>
      <c r="AE93" s="7">
        <v>0.145044665858107</v>
      </c>
      <c r="AF93" s="7">
        <v>0.194231675535424</v>
      </c>
      <c r="AG93" s="7">
        <v>0.195195335200693</v>
      </c>
      <c r="AH93" s="7">
        <v>10.0</v>
      </c>
      <c r="AI93" s="7">
        <v>3.8632912766075</v>
      </c>
      <c r="AJ93" s="7">
        <v>24.6134171929491</v>
      </c>
      <c r="AK93" s="7">
        <v>4.96119110627167</v>
      </c>
      <c r="AL93" s="7">
        <v>0.262215422606067</v>
      </c>
      <c r="AM93" s="7">
        <v>3.59134183288935</v>
      </c>
      <c r="AN93" s="7">
        <v>19.0716105364172</v>
      </c>
      <c r="AO93" s="7">
        <v>4.36710551010818</v>
      </c>
      <c r="AP93" s="7">
        <v>0.422768900101908</v>
      </c>
      <c r="AQ93" s="7">
        <v>3.87994481170437</v>
      </c>
      <c r="AR93" s="7">
        <v>26.9952706470054</v>
      </c>
      <c r="AS93" s="7">
        <v>5.19569732057261</v>
      </c>
      <c r="AT93" s="7">
        <v>0.195195335200693</v>
      </c>
      <c r="AU93" s="4">
        <f>(AB93-$AB$36)/AB$37</f>
        <v>1.209128455</v>
      </c>
      <c r="AV93" s="4">
        <f>(AC93-AC$36)/AC$37</f>
        <v>1.069178729</v>
      </c>
      <c r="AW93" s="4">
        <f t="shared" si="5"/>
        <v>0.7695173519</v>
      </c>
      <c r="AX93" s="4">
        <f t="shared" si="6"/>
        <v>0.8185603977</v>
      </c>
      <c r="AY93" s="4">
        <f t="shared" si="7"/>
        <v>0.5938998278</v>
      </c>
      <c r="AZ93" s="4">
        <f t="shared" si="8"/>
        <v>0.6040825433</v>
      </c>
      <c r="BA93" s="4">
        <f t="shared" si="9"/>
        <v>0.4584203713</v>
      </c>
      <c r="BB93" s="4">
        <f t="shared" si="10"/>
        <v>0.6912382471</v>
      </c>
      <c r="BC93" s="4">
        <f t="shared" si="11"/>
        <v>0.3979344689</v>
      </c>
      <c r="BD93" s="4">
        <f t="shared" ref="BD93:BE93" si="181">((R93-R$36)/R$37)</f>
        <v>0.9624327206</v>
      </c>
      <c r="BE93" s="4">
        <f t="shared" si="181"/>
        <v>-0.2019929437</v>
      </c>
      <c r="BF93" s="4"/>
    </row>
    <row r="94">
      <c r="A94" s="3" t="s">
        <v>57</v>
      </c>
      <c r="B94" s="4">
        <f t="shared" si="3"/>
        <v>-0.5410306302</v>
      </c>
      <c r="C94" s="3" t="s">
        <v>58</v>
      </c>
      <c r="D94" s="3" t="s">
        <v>59</v>
      </c>
      <c r="E94" s="5" t="s">
        <v>82</v>
      </c>
      <c r="F94" s="3" t="s">
        <v>78</v>
      </c>
      <c r="G94" s="5" t="s">
        <v>88</v>
      </c>
      <c r="H94" s="5" t="s">
        <v>63</v>
      </c>
      <c r="I94" s="6">
        <v>150.0</v>
      </c>
      <c r="J94" s="5" t="s">
        <v>85</v>
      </c>
      <c r="K94" s="3" t="s">
        <v>65</v>
      </c>
      <c r="L94" s="5" t="s">
        <v>73</v>
      </c>
      <c r="M94" s="3" t="s">
        <v>67</v>
      </c>
      <c r="N94" s="3" t="s">
        <v>68</v>
      </c>
      <c r="O94" s="3" t="s">
        <v>69</v>
      </c>
      <c r="P94" s="5" t="s">
        <v>81</v>
      </c>
      <c r="Q94" s="5" t="s">
        <v>70</v>
      </c>
      <c r="R94" s="7">
        <v>1306.28808426857</v>
      </c>
      <c r="S94" s="7">
        <v>430.070690631866</v>
      </c>
      <c r="T94" s="7">
        <v>2.45549909996353</v>
      </c>
      <c r="U94" s="7">
        <v>10.8347212593642</v>
      </c>
      <c r="V94" s="7">
        <v>3.29161377736882</v>
      </c>
      <c r="W94" s="7">
        <v>0.597854397639163</v>
      </c>
      <c r="X94" s="7">
        <v>0.0800382891130895</v>
      </c>
      <c r="Y94" s="7">
        <v>0.0104234357713041</v>
      </c>
      <c r="Z94" s="7">
        <v>0.102095228935068</v>
      </c>
      <c r="AA94" s="7">
        <v>0.763238853397863</v>
      </c>
      <c r="AB94" s="7">
        <v>0.0787115682423386</v>
      </c>
      <c r="AC94" s="7">
        <v>0.101116016355569</v>
      </c>
      <c r="AD94" s="7">
        <v>0.770033716580557</v>
      </c>
      <c r="AE94" s="7">
        <v>0.120991411481429</v>
      </c>
      <c r="AF94" s="7">
        <v>0.160125937847713</v>
      </c>
      <c r="AG94" s="7">
        <v>0.434315096892003</v>
      </c>
      <c r="AH94" s="7">
        <v>10.0</v>
      </c>
      <c r="AI94" s="7">
        <v>2.45549909996342</v>
      </c>
      <c r="AJ94" s="7">
        <v>10.8347212593642</v>
      </c>
      <c r="AK94" s="7">
        <v>3.29161377736882</v>
      </c>
      <c r="AL94" s="7">
        <v>0.597315065802218</v>
      </c>
      <c r="AM94" s="7">
        <v>1.92843342193724</v>
      </c>
      <c r="AN94" s="7">
        <v>6.13722537036283</v>
      </c>
      <c r="AO94" s="7">
        <v>2.47734240071146</v>
      </c>
      <c r="AP94" s="7">
        <v>0.770033716580557</v>
      </c>
      <c r="AQ94" s="7">
        <v>2.96428958129487</v>
      </c>
      <c r="AR94" s="7">
        <v>15.3905996619587</v>
      </c>
      <c r="AS94" s="7">
        <v>3.92308547726898</v>
      </c>
      <c r="AT94" s="7">
        <v>0.434315096892003</v>
      </c>
      <c r="AU94" s="4">
        <f t="shared" ref="AU94:AV94" si="182">(AB94-AB$36)/AB$37</f>
        <v>0.200216434</v>
      </c>
      <c r="AV94" s="4">
        <f t="shared" si="182"/>
        <v>0.1772250942</v>
      </c>
      <c r="AW94" s="4">
        <f t="shared" si="5"/>
        <v>0.3674018595</v>
      </c>
      <c r="AX94" s="4">
        <f t="shared" si="6"/>
        <v>0.3876794172</v>
      </c>
      <c r="AY94" s="4">
        <f t="shared" si="7"/>
        <v>-0.07969890182</v>
      </c>
      <c r="AZ94" s="4">
        <f t="shared" si="8"/>
        <v>-0.01418569472</v>
      </c>
      <c r="BA94" s="4">
        <f t="shared" si="9"/>
        <v>0.07087878742</v>
      </c>
      <c r="BB94" s="4">
        <f t="shared" si="10"/>
        <v>0.3682827461</v>
      </c>
      <c r="BC94" s="4">
        <f t="shared" si="11"/>
        <v>-0.03036805484</v>
      </c>
      <c r="BD94" s="4">
        <f t="shared" ref="BD94:BE94" si="183">((R94-R$36)/R$37)</f>
        <v>2.711153458</v>
      </c>
      <c r="BE94" s="4">
        <f t="shared" si="183"/>
        <v>1.792751788</v>
      </c>
      <c r="BF94" s="3"/>
    </row>
    <row r="95">
      <c r="A95" s="3" t="s">
        <v>77</v>
      </c>
      <c r="B95" s="4">
        <f t="shared" si="3"/>
        <v>-0.969543907</v>
      </c>
      <c r="C95" s="3" t="s">
        <v>59</v>
      </c>
      <c r="D95" s="3" t="s">
        <v>58</v>
      </c>
      <c r="E95" s="5" t="s">
        <v>60</v>
      </c>
      <c r="F95" s="3" t="s">
        <v>78</v>
      </c>
      <c r="G95" s="5" t="s">
        <v>60</v>
      </c>
      <c r="H95" s="5" t="s">
        <v>71</v>
      </c>
      <c r="I95" s="6">
        <v>150.0</v>
      </c>
      <c r="J95" s="5" t="s">
        <v>85</v>
      </c>
      <c r="K95" s="3" t="s">
        <v>72</v>
      </c>
      <c r="L95" s="5" t="s">
        <v>73</v>
      </c>
      <c r="M95" s="3" t="s">
        <v>79</v>
      </c>
      <c r="N95" s="3" t="s">
        <v>68</v>
      </c>
      <c r="O95" s="3" t="s">
        <v>69</v>
      </c>
      <c r="P95" s="5" t="s">
        <v>87</v>
      </c>
      <c r="Q95" s="5" t="s">
        <v>86</v>
      </c>
      <c r="R95" s="11">
        <v>637.232214927673</v>
      </c>
      <c r="S95" s="11">
        <v>134.924242258071</v>
      </c>
      <c r="T95" s="7">
        <v>4.45197472937108</v>
      </c>
      <c r="U95" s="7">
        <v>32.7992140073073</v>
      </c>
      <c r="V95" s="7">
        <v>5.72705980476084</v>
      </c>
      <c r="W95" s="7">
        <v>-0.00228579980383286</v>
      </c>
      <c r="X95" s="7">
        <v>0.160286582280926</v>
      </c>
      <c r="Y95" s="7">
        <v>0.0396198863093224</v>
      </c>
      <c r="Z95" s="7">
        <v>0.199047447382081</v>
      </c>
      <c r="AA95" s="7">
        <v>0.108712474122546</v>
      </c>
      <c r="AB95" s="7">
        <v>0.163695148575434</v>
      </c>
      <c r="AC95" s="7">
        <v>0.202013087666329</v>
      </c>
      <c r="AD95" s="7">
        <v>0.105002680826831</v>
      </c>
      <c r="AE95" s="7">
        <v>0.162164646915586</v>
      </c>
      <c r="AF95" s="7">
        <v>0.215271155935826</v>
      </c>
      <c r="AG95" s="7">
        <v>-0.0275467663192752</v>
      </c>
      <c r="AH95" s="7">
        <v>10.0</v>
      </c>
      <c r="AI95" s="7">
        <v>4.45197472937109</v>
      </c>
      <c r="AJ95" s="7">
        <v>32.7992140073073</v>
      </c>
      <c r="AK95" s="7">
        <v>5.72705980476084</v>
      </c>
      <c r="AL95" s="7">
        <v>-0.00222100546452996</v>
      </c>
      <c r="AM95" s="7">
        <v>4.37884522439287</v>
      </c>
      <c r="AN95" s="7">
        <v>29.2015958500346</v>
      </c>
      <c r="AO95" s="7">
        <v>5.40385009507431</v>
      </c>
      <c r="AP95" s="7">
        <v>0.105002680826831</v>
      </c>
      <c r="AQ95" s="7">
        <v>4.33790430499195</v>
      </c>
      <c r="AR95" s="7">
        <v>33.160361652932</v>
      </c>
      <c r="AS95" s="7">
        <v>5.75850342128335</v>
      </c>
      <c r="AT95" s="7">
        <v>-0.0275467663192754</v>
      </c>
      <c r="AU95" s="4">
        <f t="shared" ref="AU95:AU97" si="185">(AB95-$AB$36)/AB$37</f>
        <v>1.743869127</v>
      </c>
      <c r="AV95" s="4">
        <f t="shared" ref="AV95:AV97" si="186">(AC95-AC$36)/AC$37</f>
        <v>1.62548912</v>
      </c>
      <c r="AW95" s="4">
        <f t="shared" si="5"/>
        <v>0.9706330132</v>
      </c>
      <c r="AX95" s="4">
        <f t="shared" si="6"/>
        <v>1.009115315</v>
      </c>
      <c r="AY95" s="4">
        <f t="shared" si="7"/>
        <v>0.8755723875</v>
      </c>
      <c r="AZ95" s="4">
        <f t="shared" si="8"/>
        <v>0.8876946183</v>
      </c>
      <c r="BA95" s="4">
        <f t="shared" si="9"/>
        <v>0.8130420263</v>
      </c>
      <c r="BB95" s="4">
        <f t="shared" si="10"/>
        <v>0.9920740563</v>
      </c>
      <c r="BC95" s="4">
        <f t="shared" si="11"/>
        <v>0.7359198765</v>
      </c>
      <c r="BD95" s="4">
        <f t="shared" ref="BD95:BE95" si="184">((R95-R$36)/R$37)</f>
        <v>1.226061457</v>
      </c>
      <c r="BE95" s="4">
        <f t="shared" si="184"/>
        <v>-0.21448802</v>
      </c>
      <c r="BF95" s="4"/>
    </row>
    <row r="96">
      <c r="A96" s="3" t="s">
        <v>57</v>
      </c>
      <c r="B96" s="4">
        <f t="shared" si="3"/>
        <v>-1.341822943</v>
      </c>
      <c r="C96" s="3" t="s">
        <v>59</v>
      </c>
      <c r="D96" s="3" t="s">
        <v>58</v>
      </c>
      <c r="E96" s="5" t="s">
        <v>82</v>
      </c>
      <c r="F96" s="3" t="s">
        <v>78</v>
      </c>
      <c r="G96" s="5" t="s">
        <v>88</v>
      </c>
      <c r="H96" s="5" t="s">
        <v>71</v>
      </c>
      <c r="I96" s="6">
        <v>150.0</v>
      </c>
      <c r="J96" s="5" t="s">
        <v>85</v>
      </c>
      <c r="K96" s="3" t="s">
        <v>72</v>
      </c>
      <c r="L96" s="5" t="s">
        <v>73</v>
      </c>
      <c r="M96" s="3" t="s">
        <v>67</v>
      </c>
      <c r="N96" s="3" t="s">
        <v>80</v>
      </c>
      <c r="O96" s="3" t="s">
        <v>69</v>
      </c>
      <c r="P96" s="5" t="s">
        <v>87</v>
      </c>
      <c r="Q96" s="5" t="s">
        <v>86</v>
      </c>
      <c r="R96" s="11">
        <v>658.823311805725</v>
      </c>
      <c r="S96" s="11">
        <v>326.405558347702</v>
      </c>
      <c r="T96" s="7">
        <v>5.07400347333312</v>
      </c>
      <c r="U96" s="7">
        <v>40.8092695168962</v>
      </c>
      <c r="V96" s="7">
        <v>6.38821332744111</v>
      </c>
      <c r="W96" s="7">
        <v>-0.248276477186462</v>
      </c>
      <c r="X96" s="7">
        <v>0.174733362617384</v>
      </c>
      <c r="Y96" s="7">
        <v>0.0443754907400408</v>
      </c>
      <c r="Z96" s="7">
        <v>0.210654909128747</v>
      </c>
      <c r="AA96" s="7">
        <v>-0.0748952074869995</v>
      </c>
      <c r="AB96" s="7">
        <v>0.177234727596576</v>
      </c>
      <c r="AC96" s="7">
        <v>0.212591829224502</v>
      </c>
      <c r="AD96" s="7">
        <v>-0.0715990278465434</v>
      </c>
      <c r="AE96" s="7">
        <v>0.188801353527601</v>
      </c>
      <c r="AF96" s="7">
        <v>0.247376760159367</v>
      </c>
      <c r="AG96" s="7">
        <v>-0.424495622146931</v>
      </c>
      <c r="AH96" s="7">
        <v>10.0</v>
      </c>
      <c r="AI96" s="7">
        <v>5.07400347333316</v>
      </c>
      <c r="AJ96" s="7">
        <v>40.8092695168962</v>
      </c>
      <c r="AK96" s="7">
        <v>6.38821332744111</v>
      </c>
      <c r="AL96" s="7">
        <v>-0.248667080983849</v>
      </c>
      <c r="AM96" s="7">
        <v>4.90349413017224</v>
      </c>
      <c r="AN96" s="7">
        <v>34.5944804712729</v>
      </c>
      <c r="AO96" s="7">
        <v>5.88170727521125</v>
      </c>
      <c r="AP96" s="7">
        <v>-0.0715990278465432</v>
      </c>
      <c r="AQ96" s="7">
        <v>5.22350411426403</v>
      </c>
      <c r="AR96" s="7">
        <v>46.8415729161984</v>
      </c>
      <c r="AS96" s="7">
        <v>6.84409036440917</v>
      </c>
      <c r="AT96" s="7">
        <v>-0.42449562214693</v>
      </c>
      <c r="AU96" s="4">
        <f t="shared" si="185"/>
        <v>1.989803783</v>
      </c>
      <c r="AV96" s="4">
        <f t="shared" si="186"/>
        <v>1.777335062</v>
      </c>
      <c r="AW96" s="4">
        <f t="shared" si="5"/>
        <v>1.359549487</v>
      </c>
      <c r="AX96" s="4">
        <f t="shared" si="6"/>
        <v>1.376673396</v>
      </c>
      <c r="AY96" s="4">
        <f t="shared" si="7"/>
        <v>1.173199963</v>
      </c>
      <c r="AZ96" s="4">
        <f t="shared" si="8"/>
        <v>1.132529174</v>
      </c>
      <c r="BA96" s="4">
        <f t="shared" si="9"/>
        <v>1.010126507</v>
      </c>
      <c r="BB96" s="4">
        <f t="shared" si="10"/>
        <v>1.528193763</v>
      </c>
      <c r="BC96" s="4">
        <f t="shared" si="11"/>
        <v>1.050911188</v>
      </c>
      <c r="BD96" s="4">
        <f t="shared" ref="BD96:BE96" si="187">((R96-R$36)/R$37)</f>
        <v>1.27398685</v>
      </c>
      <c r="BE96" s="4">
        <f t="shared" si="187"/>
        <v>1.087743202</v>
      </c>
      <c r="BF96" s="4"/>
    </row>
    <row r="97">
      <c r="A97" s="3" t="s">
        <v>57</v>
      </c>
      <c r="B97" s="4">
        <f t="shared" si="3"/>
        <v>-1.200066137</v>
      </c>
      <c r="C97" s="3" t="s">
        <v>59</v>
      </c>
      <c r="D97" s="3" t="s">
        <v>58</v>
      </c>
      <c r="E97" s="5" t="s">
        <v>82</v>
      </c>
      <c r="F97" s="3" t="s">
        <v>78</v>
      </c>
      <c r="G97" s="5" t="s">
        <v>88</v>
      </c>
      <c r="H97" s="5" t="s">
        <v>63</v>
      </c>
      <c r="I97" s="6">
        <v>150.0</v>
      </c>
      <c r="J97" s="5" t="s">
        <v>85</v>
      </c>
      <c r="K97" s="3" t="s">
        <v>65</v>
      </c>
      <c r="L97" s="5" t="s">
        <v>66</v>
      </c>
      <c r="M97" s="3" t="s">
        <v>74</v>
      </c>
      <c r="N97" s="3" t="s">
        <v>68</v>
      </c>
      <c r="O97" s="3" t="s">
        <v>69</v>
      </c>
      <c r="P97" s="5" t="s">
        <v>81</v>
      </c>
      <c r="Q97" s="3"/>
      <c r="R97" s="11">
        <v>2395.49100732803</v>
      </c>
      <c r="S97" s="11">
        <v>316.036942243576</v>
      </c>
      <c r="T97" s="7">
        <v>4.32116304233828</v>
      </c>
      <c r="U97" s="7">
        <v>28.971010405598</v>
      </c>
      <c r="V97" s="7">
        <v>5.38247251786742</v>
      </c>
      <c r="W97" s="7">
        <v>0.11675134297523</v>
      </c>
      <c r="X97" s="7">
        <v>0.115922751831048</v>
      </c>
      <c r="Y97" s="7">
        <v>0.0191140888054317</v>
      </c>
      <c r="Z97" s="7">
        <v>0.138253711723887</v>
      </c>
      <c r="AA97" s="7">
        <v>0.540044189364754</v>
      </c>
      <c r="AB97" s="7">
        <v>0.116905432831995</v>
      </c>
      <c r="AC97" s="7">
        <v>0.138769409076238</v>
      </c>
      <c r="AD97" s="7">
        <v>0.545914052404058</v>
      </c>
      <c r="AE97" s="7">
        <v>0.160684336040808</v>
      </c>
      <c r="AF97" s="7">
        <v>0.206983883931095</v>
      </c>
      <c r="AG97" s="7">
        <v>0.00486271901587087</v>
      </c>
      <c r="AH97" s="7">
        <v>10.0</v>
      </c>
      <c r="AI97" s="7">
        <v>4.3211630423383</v>
      </c>
      <c r="AJ97" s="7">
        <v>28.971010405598</v>
      </c>
      <c r="AK97" s="7">
        <v>5.38247251786742</v>
      </c>
      <c r="AL97" s="7">
        <v>0.116328531003478</v>
      </c>
      <c r="AM97" s="7">
        <v>3.23438364168537</v>
      </c>
      <c r="AN97" s="7">
        <v>14.7401245489104</v>
      </c>
      <c r="AO97" s="7">
        <v>3.8392869844426</v>
      </c>
      <c r="AP97" s="7">
        <v>0.545914052404058</v>
      </c>
      <c r="AQ97" s="7">
        <v>4.44559996379605</v>
      </c>
      <c r="AR97" s="7">
        <v>32.7934221132676</v>
      </c>
      <c r="AS97" s="7">
        <v>5.72655412209363</v>
      </c>
      <c r="AT97" s="7">
        <v>0.00486271901587065</v>
      </c>
      <c r="AU97" s="4">
        <f t="shared" si="185"/>
        <v>0.8939747071</v>
      </c>
      <c r="AV97" s="4">
        <f t="shared" si="186"/>
        <v>0.717697215</v>
      </c>
      <c r="AW97" s="4">
        <f t="shared" si="5"/>
        <v>1.017928208</v>
      </c>
      <c r="AX97" s="4">
        <f t="shared" si="6"/>
        <v>0.9982979197</v>
      </c>
      <c r="AY97" s="4">
        <f t="shared" si="7"/>
        <v>0.8129817667</v>
      </c>
      <c r="AZ97" s="4">
        <f t="shared" si="8"/>
        <v>0.7600890436</v>
      </c>
      <c r="BA97" s="4">
        <f t="shared" si="9"/>
        <v>0.3209924918</v>
      </c>
      <c r="BB97" s="4">
        <f t="shared" si="10"/>
        <v>0.9483017578</v>
      </c>
      <c r="BC97" s="4">
        <f t="shared" si="11"/>
        <v>0.5843975855</v>
      </c>
      <c r="BD97" s="4">
        <f t="shared" ref="BD97:BE97" si="188">((R97-R$36)/R$37)</f>
        <v>5.128838769</v>
      </c>
      <c r="BE97" s="4">
        <f t="shared" si="188"/>
        <v>1.017228042</v>
      </c>
      <c r="BF97" s="4"/>
    </row>
    <row r="98">
      <c r="A98" s="3" t="s">
        <v>77</v>
      </c>
      <c r="B98" s="4">
        <f t="shared" si="3"/>
        <v>0.1677241593</v>
      </c>
      <c r="C98" s="3" t="s">
        <v>58</v>
      </c>
      <c r="D98" s="3" t="s">
        <v>59</v>
      </c>
      <c r="E98" s="5" t="s">
        <v>60</v>
      </c>
      <c r="F98" s="3" t="s">
        <v>61</v>
      </c>
      <c r="G98" s="12" t="s">
        <v>62</v>
      </c>
      <c r="H98" s="5" t="s">
        <v>63</v>
      </c>
      <c r="I98" s="6">
        <v>20.0</v>
      </c>
      <c r="J98" s="12" t="s">
        <v>94</v>
      </c>
      <c r="K98" s="3" t="s">
        <v>72</v>
      </c>
      <c r="L98" s="5" t="s">
        <v>73</v>
      </c>
      <c r="M98" s="3" t="s">
        <v>67</v>
      </c>
      <c r="N98" s="3" t="s">
        <v>84</v>
      </c>
      <c r="O98" s="3" t="s">
        <v>69</v>
      </c>
      <c r="P98" s="5" t="s">
        <v>76</v>
      </c>
      <c r="Q98" s="5" t="s">
        <v>76</v>
      </c>
      <c r="R98" s="13">
        <v>289.119108200073</v>
      </c>
      <c r="S98" s="13">
        <v>173.625436782836</v>
      </c>
      <c r="T98" s="13">
        <v>1.65388732338094</v>
      </c>
      <c r="U98" s="13">
        <v>4.48354017375445</v>
      </c>
      <c r="V98" s="13">
        <v>2.11743717114687</v>
      </c>
      <c r="W98" s="13">
        <v>0.827823896599458</v>
      </c>
      <c r="X98" s="13">
        <v>0.0568612305835158</v>
      </c>
      <c r="Y98" s="13">
        <v>0.0051764388451172</v>
      </c>
      <c r="Z98" s="13">
        <v>0.0719474728195313</v>
      </c>
      <c r="AA98" s="13">
        <v>0.891116286181888</v>
      </c>
      <c r="AB98" s="13">
        <v>0.0567024086625389</v>
      </c>
      <c r="AC98" s="13">
        <v>0.0717768191589245</v>
      </c>
      <c r="AD98" s="13">
        <v>0.892159271598228</v>
      </c>
      <c r="AE98" s="13">
        <v>0.0706261231159658</v>
      </c>
      <c r="AF98" s="13">
        <v>0.0906065672229984</v>
      </c>
      <c r="AG98" s="13">
        <v>0.828880942148651</v>
      </c>
      <c r="AH98" s="13">
        <v>10.0</v>
      </c>
      <c r="AI98" s="13">
        <v>1.65388732338094</v>
      </c>
      <c r="AJ98" s="13">
        <v>4.48354017375445</v>
      </c>
      <c r="AK98" s="13">
        <v>2.11743717114687</v>
      </c>
      <c r="AL98" s="13">
        <v>0.827803457563471</v>
      </c>
      <c r="AM98" s="13">
        <v>1.32226866867227</v>
      </c>
      <c r="AN98" s="13">
        <v>2.80159153240541</v>
      </c>
      <c r="AO98" s="13">
        <v>1.67379554677547</v>
      </c>
      <c r="AP98" s="13">
        <v>0.892159271598228</v>
      </c>
      <c r="AQ98" s="13">
        <v>1.64696195432927</v>
      </c>
      <c r="AR98" s="13">
        <v>4.46432448090776</v>
      </c>
      <c r="AS98" s="13">
        <v>2.11289481065853</v>
      </c>
      <c r="AT98" s="13">
        <v>0.828880942148651</v>
      </c>
      <c r="AU98" s="4">
        <f t="shared" ref="AU98:AV98" si="189">(AB98-AB$36)/AB$37</f>
        <v>-0.1995607739</v>
      </c>
      <c r="AV98" s="4">
        <f t="shared" si="189"/>
        <v>-0.2439060971</v>
      </c>
      <c r="AW98" s="4">
        <f t="shared" si="5"/>
        <v>-0.2111104778</v>
      </c>
      <c r="AX98" s="4">
        <f t="shared" si="6"/>
        <v>-0.2252150278</v>
      </c>
      <c r="AY98" s="4">
        <f t="shared" si="7"/>
        <v>-0.4632531532</v>
      </c>
      <c r="AZ98" s="4">
        <f t="shared" si="8"/>
        <v>-0.448999997</v>
      </c>
      <c r="BA98" s="4">
        <f t="shared" si="9"/>
        <v>-0.06541123904</v>
      </c>
      <c r="BB98" s="4">
        <f t="shared" si="10"/>
        <v>-0.1646184634</v>
      </c>
      <c r="BC98" s="4">
        <f t="shared" si="11"/>
        <v>-0.324963295</v>
      </c>
      <c r="BD98" s="4">
        <f t="shared" ref="BD98:BE98" si="190">((R98-R$36)/R$37)</f>
        <v>0.4533606805</v>
      </c>
      <c r="BE98" s="4">
        <f t="shared" si="190"/>
        <v>0.04871209196</v>
      </c>
      <c r="BF98" s="3"/>
    </row>
    <row r="99">
      <c r="A99" s="3" t="s">
        <v>77</v>
      </c>
      <c r="B99" s="4">
        <f t="shared" si="3"/>
        <v>-0.012595676</v>
      </c>
      <c r="C99" s="3" t="s">
        <v>58</v>
      </c>
      <c r="D99" s="3" t="s">
        <v>59</v>
      </c>
      <c r="E99" s="5" t="s">
        <v>60</v>
      </c>
      <c r="F99" s="3" t="s">
        <v>78</v>
      </c>
      <c r="G99" s="12" t="s">
        <v>60</v>
      </c>
      <c r="H99" s="5" t="s">
        <v>63</v>
      </c>
      <c r="I99" s="6">
        <v>20.0</v>
      </c>
      <c r="J99" s="12" t="s">
        <v>94</v>
      </c>
      <c r="K99" s="3" t="s">
        <v>65</v>
      </c>
      <c r="L99" s="5" t="s">
        <v>73</v>
      </c>
      <c r="M99" s="3" t="s">
        <v>67</v>
      </c>
      <c r="N99" s="3" t="s">
        <v>80</v>
      </c>
      <c r="O99" s="3" t="s">
        <v>69</v>
      </c>
      <c r="P99" s="5" t="s">
        <v>85</v>
      </c>
      <c r="Q99" s="5" t="s">
        <v>85</v>
      </c>
      <c r="R99" s="13">
        <v>316.086546182632</v>
      </c>
      <c r="S99" s="13">
        <v>178.094048738479</v>
      </c>
      <c r="T99" s="13">
        <v>2.11800895264799</v>
      </c>
      <c r="U99" s="13">
        <v>6.70092700832292</v>
      </c>
      <c r="V99" s="13">
        <v>2.58861488219528</v>
      </c>
      <c r="W99" s="13">
        <v>0.742430093447829</v>
      </c>
      <c r="X99" s="13">
        <v>0.0802251087343368</v>
      </c>
      <c r="Y99" s="13">
        <v>0.00841744106176859</v>
      </c>
      <c r="Z99" s="13">
        <v>0.0917466133531292</v>
      </c>
      <c r="AA99" s="13">
        <v>0.820270125983541</v>
      </c>
      <c r="AB99" s="13">
        <v>0.0795706255344642</v>
      </c>
      <c r="AC99" s="13">
        <v>0.0910842005107815</v>
      </c>
      <c r="AD99" s="13">
        <v>0.824750969459178</v>
      </c>
      <c r="AE99" s="13">
        <v>0.0951560175773541</v>
      </c>
      <c r="AF99" s="13">
        <v>0.117657165869405</v>
      </c>
      <c r="AG99" s="13">
        <v>0.714200876289371</v>
      </c>
      <c r="AH99" s="13">
        <v>10.0</v>
      </c>
      <c r="AI99" s="13">
        <v>2.11800895264799</v>
      </c>
      <c r="AJ99" s="13">
        <v>6.70092700832291</v>
      </c>
      <c r="AK99" s="13">
        <v>2.58861488219528</v>
      </c>
      <c r="AL99" s="13">
        <v>0.742290958686978</v>
      </c>
      <c r="AM99" s="13">
        <v>1.85554278156064</v>
      </c>
      <c r="AN99" s="13">
        <v>4.51151598788445</v>
      </c>
      <c r="AO99" s="13">
        <v>2.1240329535778</v>
      </c>
      <c r="AP99" s="13">
        <v>0.824750969459178</v>
      </c>
      <c r="AQ99" s="13">
        <v>2.2189854654497</v>
      </c>
      <c r="AR99" s="13">
        <v>7.52788827964164</v>
      </c>
      <c r="AS99" s="13">
        <v>2.74369974298239</v>
      </c>
      <c r="AT99" s="13">
        <v>0.714200876289371</v>
      </c>
      <c r="AU99" s="4">
        <f t="shared" ref="AU99:AV99" si="191">(AB99-AB$36)/AB$37</f>
        <v>0.2158204612</v>
      </c>
      <c r="AV99" s="4">
        <f t="shared" si="191"/>
        <v>0.03322965594</v>
      </c>
      <c r="AW99" s="4">
        <f t="shared" si="5"/>
        <v>0.04009708183</v>
      </c>
      <c r="AX99" s="4">
        <f t="shared" si="6"/>
        <v>-0.01163706275</v>
      </c>
      <c r="AY99" s="4">
        <f t="shared" si="7"/>
        <v>-0.2411807869</v>
      </c>
      <c r="AZ99" s="4">
        <f t="shared" si="8"/>
        <v>-0.2745161872</v>
      </c>
      <c r="BA99" s="4">
        <f t="shared" si="9"/>
        <v>0.00981527093</v>
      </c>
      <c r="BB99" s="4">
        <f t="shared" si="10"/>
        <v>-0.009731398227</v>
      </c>
      <c r="BC99" s="4">
        <f t="shared" si="11"/>
        <v>-0.2156667923</v>
      </c>
      <c r="BD99" s="4">
        <f t="shared" ref="BD99:BE99" si="192">((R99-R$36)/R$37)</f>
        <v>0.5132198466</v>
      </c>
      <c r="BE99" s="4">
        <f t="shared" si="192"/>
        <v>0.07910234688</v>
      </c>
      <c r="BF99" s="3"/>
    </row>
    <row r="100">
      <c r="A100" s="3" t="s">
        <v>77</v>
      </c>
      <c r="B100" s="4">
        <f t="shared" si="3"/>
        <v>-0.01714613394</v>
      </c>
      <c r="C100" s="3" t="s">
        <v>59</v>
      </c>
      <c r="D100" s="3" t="s">
        <v>58</v>
      </c>
      <c r="E100" s="5" t="s">
        <v>60</v>
      </c>
      <c r="F100" s="3" t="s">
        <v>61</v>
      </c>
      <c r="G100" s="5" t="s">
        <v>62</v>
      </c>
      <c r="H100" s="5" t="s">
        <v>63</v>
      </c>
      <c r="I100" s="6">
        <v>20.0</v>
      </c>
      <c r="J100" s="5" t="s">
        <v>94</v>
      </c>
      <c r="K100" s="3" t="s">
        <v>72</v>
      </c>
      <c r="L100" s="5" t="s">
        <v>66</v>
      </c>
      <c r="M100" s="3" t="s">
        <v>74</v>
      </c>
      <c r="N100" s="3" t="s">
        <v>80</v>
      </c>
      <c r="O100" s="3" t="s">
        <v>69</v>
      </c>
      <c r="P100" s="5" t="s">
        <v>75</v>
      </c>
      <c r="Q100" s="3"/>
      <c r="R100" s="7">
        <v>302.252524375915</v>
      </c>
      <c r="S100" s="7">
        <v>126.373441934585</v>
      </c>
      <c r="T100" s="7">
        <v>2.37866845145131</v>
      </c>
      <c r="U100" s="7">
        <v>9.10997751760927</v>
      </c>
      <c r="V100" s="7">
        <v>3.01827393018083</v>
      </c>
      <c r="W100" s="7">
        <v>0.731411841463608</v>
      </c>
      <c r="X100" s="7">
        <v>0.0728085745838342</v>
      </c>
      <c r="Y100" s="7">
        <v>0.0080194449412105</v>
      </c>
      <c r="Z100" s="7">
        <v>0.0895513536537025</v>
      </c>
      <c r="AA100" s="7">
        <v>0.828707602012925</v>
      </c>
      <c r="AB100" s="7">
        <v>0.0731118468709225</v>
      </c>
      <c r="AC100" s="7">
        <v>0.0897484315123917</v>
      </c>
      <c r="AD100" s="7">
        <v>0.829321315315395</v>
      </c>
      <c r="AE100" s="7">
        <v>0.0923238239471736</v>
      </c>
      <c r="AF100" s="7">
        <v>0.119079745019712</v>
      </c>
      <c r="AG100" s="7">
        <v>0.701910991636717</v>
      </c>
      <c r="AH100" s="14">
        <v>10.0</v>
      </c>
      <c r="AI100" s="7">
        <v>2.37866845145131</v>
      </c>
      <c r="AJ100" s="7">
        <v>9.10997751760927</v>
      </c>
      <c r="AK100" s="7">
        <v>3.01827393018083</v>
      </c>
      <c r="AL100" s="7">
        <v>0.731307797370999</v>
      </c>
      <c r="AM100" s="7">
        <v>1.95574190379717</v>
      </c>
      <c r="AN100" s="7">
        <v>5.76369919992752</v>
      </c>
      <c r="AO100" s="7">
        <v>2.40077054295647</v>
      </c>
      <c r="AP100" s="7">
        <v>0.829321315315395</v>
      </c>
      <c r="AQ100" s="7">
        <v>2.46966229058689</v>
      </c>
      <c r="AR100" s="7">
        <v>10.1466659988227</v>
      </c>
      <c r="AS100" s="7">
        <v>3.18538317927729</v>
      </c>
      <c r="AT100" s="7">
        <v>0.701910991636717</v>
      </c>
      <c r="AU100" s="4">
        <f t="shared" ref="AU100:AV100" si="193">(AB100-AB$36)/AB$37</f>
        <v>0.09850237411</v>
      </c>
      <c r="AV100" s="4">
        <f t="shared" si="193"/>
        <v>0.0140561937</v>
      </c>
      <c r="AW100" s="4">
        <f t="shared" si="5"/>
        <v>0.1501833148</v>
      </c>
      <c r="AX100" s="4">
        <f t="shared" si="6"/>
        <v>0.1379081368</v>
      </c>
      <c r="AY100" s="4">
        <f t="shared" si="7"/>
        <v>-0.1164607393</v>
      </c>
      <c r="AZ100" s="4">
        <f t="shared" si="8"/>
        <v>-0.1154073289</v>
      </c>
      <c r="BA100" s="4">
        <f t="shared" si="9"/>
        <v>0.00471484328</v>
      </c>
      <c r="BB100" s="4">
        <f t="shared" si="10"/>
        <v>0.006867338018</v>
      </c>
      <c r="BC100" s="4">
        <f t="shared" si="11"/>
        <v>-0.2016288313</v>
      </c>
      <c r="BD100" s="4">
        <f t="shared" ref="BD100:BE100" si="194">((R100-R$36)/R$37)</f>
        <v>0.4825127023</v>
      </c>
      <c r="BE100" s="4">
        <f t="shared" si="194"/>
        <v>-0.2726405301</v>
      </c>
      <c r="BF100" s="3"/>
    </row>
    <row r="101">
      <c r="A101" s="3" t="s">
        <v>77</v>
      </c>
      <c r="B101" s="4">
        <f t="shared" si="3"/>
        <v>-0.03809023458</v>
      </c>
      <c r="C101" s="3" t="s">
        <v>59</v>
      </c>
      <c r="D101" s="3" t="s">
        <v>58</v>
      </c>
      <c r="E101" s="5" t="s">
        <v>60</v>
      </c>
      <c r="F101" s="3" t="s">
        <v>78</v>
      </c>
      <c r="G101" s="5" t="s">
        <v>60</v>
      </c>
      <c r="H101" s="5" t="s">
        <v>63</v>
      </c>
      <c r="I101" s="6">
        <v>20.0</v>
      </c>
      <c r="J101" s="5" t="s">
        <v>94</v>
      </c>
      <c r="K101" s="3" t="s">
        <v>65</v>
      </c>
      <c r="L101" s="5" t="s">
        <v>73</v>
      </c>
      <c r="M101" s="3" t="s">
        <v>67</v>
      </c>
      <c r="N101" s="3" t="s">
        <v>80</v>
      </c>
      <c r="O101" s="3" t="s">
        <v>69</v>
      </c>
      <c r="P101" s="5" t="s">
        <v>75</v>
      </c>
      <c r="Q101" s="5" t="s">
        <v>85</v>
      </c>
      <c r="R101" s="7">
        <v>331.392376422882</v>
      </c>
      <c r="S101" s="7">
        <v>134.002805233001</v>
      </c>
      <c r="T101" s="7">
        <v>2.28239537949479</v>
      </c>
      <c r="U101" s="7">
        <v>9.08155704641395</v>
      </c>
      <c r="V101" s="7">
        <v>3.01356218558933</v>
      </c>
      <c r="W101" s="7">
        <v>0.728010598090174</v>
      </c>
      <c r="X101" s="7">
        <v>0.0676396794777131</v>
      </c>
      <c r="Y101" s="7">
        <v>0.00750703615269978</v>
      </c>
      <c r="Z101" s="7">
        <v>0.086643154101751</v>
      </c>
      <c r="AA101" s="7">
        <v>0.833696317200967</v>
      </c>
      <c r="AB101" s="7">
        <v>0.0689697043338075</v>
      </c>
      <c r="AC101" s="7">
        <v>0.0878522316317766</v>
      </c>
      <c r="AD101" s="7">
        <v>0.832846482110779</v>
      </c>
      <c r="AE101" s="7">
        <v>0.0990922919562936</v>
      </c>
      <c r="AF101" s="7">
        <v>0.130046238197438</v>
      </c>
      <c r="AG101" s="7">
        <v>0.639217087819502</v>
      </c>
      <c r="AH101" s="14">
        <v>10.0</v>
      </c>
      <c r="AI101" s="7">
        <v>2.28239537949479</v>
      </c>
      <c r="AJ101" s="7">
        <v>9.08155704641395</v>
      </c>
      <c r="AK101" s="7">
        <v>3.01356218558933</v>
      </c>
      <c r="AL101" s="7">
        <v>0.727781287943765</v>
      </c>
      <c r="AM101" s="7">
        <v>1.84493959092935</v>
      </c>
      <c r="AN101" s="7">
        <v>5.52272182413261</v>
      </c>
      <c r="AO101" s="7">
        <v>2.35004719615002</v>
      </c>
      <c r="AP101" s="7">
        <v>0.832846482110779</v>
      </c>
      <c r="AQ101" s="7">
        <v>2.65071880983085</v>
      </c>
      <c r="AR101" s="7">
        <v>12.1016102230918</v>
      </c>
      <c r="AS101" s="7">
        <v>3.47873687178146</v>
      </c>
      <c r="AT101" s="7">
        <v>0.639217087819502</v>
      </c>
      <c r="AU101" s="4">
        <f t="shared" ref="AU101:AV101" si="195">(AB101-AB$36)/AB$37</f>
        <v>0.02326396385</v>
      </c>
      <c r="AV101" s="4">
        <f t="shared" si="195"/>
        <v>-0.01316162379</v>
      </c>
      <c r="AW101" s="4">
        <f t="shared" si="5"/>
        <v>0.2296953724</v>
      </c>
      <c r="AX101" s="4">
        <f t="shared" si="6"/>
        <v>0.2372318445</v>
      </c>
      <c r="AY101" s="4">
        <f t="shared" si="7"/>
        <v>-0.1625253645</v>
      </c>
      <c r="AZ101" s="4">
        <f t="shared" si="8"/>
        <v>-0.117152155</v>
      </c>
      <c r="BA101" s="4">
        <f t="shared" si="9"/>
        <v>0.0007808175489</v>
      </c>
      <c r="BB101" s="4">
        <f t="shared" si="10"/>
        <v>0.09154181651</v>
      </c>
      <c r="BC101" s="4">
        <f t="shared" si="11"/>
        <v>-0.1971214768</v>
      </c>
      <c r="BD101" s="4">
        <f t="shared" ref="BD101:BE101" si="196">((R101-R$36)/R$37)</f>
        <v>0.5471939392</v>
      </c>
      <c r="BE101" s="4">
        <f t="shared" si="196"/>
        <v>-0.2207545534</v>
      </c>
      <c r="BF101" s="3"/>
    </row>
    <row r="102">
      <c r="A102" s="3" t="s">
        <v>57</v>
      </c>
      <c r="B102" s="4">
        <f t="shared" si="3"/>
        <v>-0.04941417577</v>
      </c>
      <c r="C102" s="3" t="s">
        <v>58</v>
      </c>
      <c r="D102" s="3" t="s">
        <v>59</v>
      </c>
      <c r="E102" s="5" t="s">
        <v>60</v>
      </c>
      <c r="F102" s="3" t="s">
        <v>78</v>
      </c>
      <c r="G102" s="12" t="s">
        <v>60</v>
      </c>
      <c r="H102" s="5" t="s">
        <v>71</v>
      </c>
      <c r="I102" s="6">
        <v>20.0</v>
      </c>
      <c r="J102" s="12" t="s">
        <v>94</v>
      </c>
      <c r="K102" s="3" t="s">
        <v>65</v>
      </c>
      <c r="L102" s="5" t="s">
        <v>66</v>
      </c>
      <c r="M102" s="3" t="s">
        <v>67</v>
      </c>
      <c r="N102" s="3" t="s">
        <v>80</v>
      </c>
      <c r="O102" s="3" t="s">
        <v>69</v>
      </c>
      <c r="P102" s="5" t="s">
        <v>81</v>
      </c>
      <c r="Q102" s="3"/>
      <c r="R102" s="13">
        <v>527.464151620864</v>
      </c>
      <c r="S102" s="13">
        <v>164.395395755767</v>
      </c>
      <c r="T102" s="13">
        <v>2.14610252891214</v>
      </c>
      <c r="U102" s="13">
        <v>7.51769401142078</v>
      </c>
      <c r="V102" s="13">
        <v>2.74184135416708</v>
      </c>
      <c r="W102" s="13">
        <v>0.71233506914187</v>
      </c>
      <c r="X102" s="13">
        <v>0.0747221457720526</v>
      </c>
      <c r="Y102" s="13">
        <v>0.0090061499614126</v>
      </c>
      <c r="Z102" s="13">
        <v>0.0949007374123752</v>
      </c>
      <c r="AA102" s="13">
        <v>0.808506172001382</v>
      </c>
      <c r="AB102" s="13">
        <v>0.0747128105189614</v>
      </c>
      <c r="AC102" s="13">
        <v>0.0945830326924617</v>
      </c>
      <c r="AD102" s="13">
        <v>0.81192043524139</v>
      </c>
      <c r="AE102" s="13">
        <v>0.0904249730070992</v>
      </c>
      <c r="AF102" s="13">
        <v>0.117027250998615</v>
      </c>
      <c r="AG102" s="13">
        <v>0.716079813235753</v>
      </c>
      <c r="AH102" s="13">
        <v>10.0</v>
      </c>
      <c r="AI102" s="13">
        <v>2.14610252891214</v>
      </c>
      <c r="AJ102" s="13">
        <v>7.51769401142078</v>
      </c>
      <c r="AK102" s="13">
        <v>2.74184135416708</v>
      </c>
      <c r="AL102" s="13">
        <v>0.712208860356419</v>
      </c>
      <c r="AM102" s="13">
        <v>1.74226123418525</v>
      </c>
      <c r="AN102" s="13">
        <v>4.86477624239872</v>
      </c>
      <c r="AO102" s="13">
        <v>2.20562377625893</v>
      </c>
      <c r="AP102" s="13">
        <v>0.81192043524139</v>
      </c>
      <c r="AQ102" s="13">
        <v>2.10866013442945</v>
      </c>
      <c r="AR102" s="13">
        <v>7.44749818984303</v>
      </c>
      <c r="AS102" s="13">
        <v>2.72901047814826</v>
      </c>
      <c r="AT102" s="13">
        <v>0.716079813235753</v>
      </c>
      <c r="AU102" s="4">
        <f t="shared" ref="AU102:AV102" si="197">(AB102-AB$36)/AB$37</f>
        <v>0.1275824839</v>
      </c>
      <c r="AV102" s="4">
        <f t="shared" si="197"/>
        <v>0.08345145835</v>
      </c>
      <c r="AW102" s="4">
        <f t="shared" si="5"/>
        <v>-0.008352949738</v>
      </c>
      <c r="AX102" s="4">
        <f t="shared" si="6"/>
        <v>-0.01661055476</v>
      </c>
      <c r="AY102" s="4">
        <f t="shared" si="7"/>
        <v>-0.2277386059</v>
      </c>
      <c r="AZ102" s="4">
        <f t="shared" si="8"/>
        <v>-0.2177742446</v>
      </c>
      <c r="BA102" s="4">
        <f t="shared" si="9"/>
        <v>0.02413392723</v>
      </c>
      <c r="BB102" s="4">
        <f t="shared" si="10"/>
        <v>-0.01226909322</v>
      </c>
      <c r="BC102" s="4">
        <f t="shared" si="11"/>
        <v>-0.1772178148</v>
      </c>
      <c r="BD102" s="4">
        <f t="shared" ref="BD102:BE102" si="198">((R102-R$36)/R$37)</f>
        <v>0.9824111433</v>
      </c>
      <c r="BE102" s="4">
        <f t="shared" si="198"/>
        <v>-0.0140598163</v>
      </c>
      <c r="BF102" s="3"/>
    </row>
    <row r="103">
      <c r="A103" s="3" t="s">
        <v>57</v>
      </c>
      <c r="B103" s="4">
        <f t="shared" si="3"/>
        <v>-0.3654902761</v>
      </c>
      <c r="C103" s="3" t="s">
        <v>59</v>
      </c>
      <c r="D103" s="3" t="s">
        <v>58</v>
      </c>
      <c r="E103" s="5" t="s">
        <v>82</v>
      </c>
      <c r="F103" s="3" t="s">
        <v>78</v>
      </c>
      <c r="G103" s="5" t="s">
        <v>88</v>
      </c>
      <c r="H103" s="5" t="s">
        <v>71</v>
      </c>
      <c r="I103" s="6">
        <v>20.0</v>
      </c>
      <c r="J103" s="5" t="s">
        <v>94</v>
      </c>
      <c r="K103" s="3" t="s">
        <v>72</v>
      </c>
      <c r="L103" s="5" t="s">
        <v>73</v>
      </c>
      <c r="M103" s="3" t="s">
        <v>74</v>
      </c>
      <c r="N103" s="3" t="s">
        <v>68</v>
      </c>
      <c r="O103" s="3" t="s">
        <v>69</v>
      </c>
      <c r="P103" s="5" t="s">
        <v>87</v>
      </c>
      <c r="Q103" s="5" t="s">
        <v>75</v>
      </c>
      <c r="R103" s="7">
        <v>284.969317197799</v>
      </c>
      <c r="S103" s="7">
        <v>355.58923125267</v>
      </c>
      <c r="T103" s="7">
        <v>2.84895699404161</v>
      </c>
      <c r="U103" s="7">
        <v>13.7728072081746</v>
      </c>
      <c r="V103" s="7">
        <v>3.71117329266293</v>
      </c>
      <c r="W103" s="7">
        <v>0.578885733880138</v>
      </c>
      <c r="X103" s="7">
        <v>0.0912552518685481</v>
      </c>
      <c r="Y103" s="7">
        <v>0.0127389225279874</v>
      </c>
      <c r="Z103" s="7">
        <v>0.11286683537686</v>
      </c>
      <c r="AA103" s="7">
        <v>0.691428611931351</v>
      </c>
      <c r="AB103" s="7">
        <v>0.0926217392897189</v>
      </c>
      <c r="AC103" s="7">
        <v>0.113967879995049</v>
      </c>
      <c r="AD103" s="7">
        <v>0.692033049419012</v>
      </c>
      <c r="AE103" s="7">
        <v>0.111190242250269</v>
      </c>
      <c r="AF103" s="7">
        <v>0.143626974041001</v>
      </c>
      <c r="AG103" s="7">
        <v>0.51980752978016</v>
      </c>
      <c r="AH103" s="14">
        <v>10.0</v>
      </c>
      <c r="AI103" s="7">
        <v>2.8489569940416</v>
      </c>
      <c r="AJ103" s="7">
        <v>13.7728072081746</v>
      </c>
      <c r="AK103" s="7">
        <v>3.71117329266294</v>
      </c>
      <c r="AL103" s="7">
        <v>0.578584689773374</v>
      </c>
      <c r="AM103" s="7">
        <v>2.56253478701557</v>
      </c>
      <c r="AN103" s="7">
        <v>9.94211116361438</v>
      </c>
      <c r="AO103" s="7">
        <v>3.1531113465297</v>
      </c>
      <c r="AP103" s="7">
        <v>0.692033049419012</v>
      </c>
      <c r="AQ103" s="7">
        <v>3.07626336892414</v>
      </c>
      <c r="AR103" s="7">
        <v>15.7901296837344</v>
      </c>
      <c r="AS103" s="7">
        <v>3.97367961513437</v>
      </c>
      <c r="AT103" s="7">
        <v>0.51980752978016</v>
      </c>
      <c r="AU103" s="4">
        <f t="shared" ref="AU103:AV103" si="199">(AB103-AB$36)/AB$37</f>
        <v>0.4528825715</v>
      </c>
      <c r="AV103" s="4">
        <f t="shared" si="199"/>
        <v>0.361699148</v>
      </c>
      <c r="AW103" s="4">
        <f t="shared" si="5"/>
        <v>0.4165758207</v>
      </c>
      <c r="AX103" s="4">
        <f t="shared" si="6"/>
        <v>0.4048095829</v>
      </c>
      <c r="AY103" s="4">
        <f t="shared" si="7"/>
        <v>0.1085623643</v>
      </c>
      <c r="AZ103" s="4">
        <f t="shared" si="8"/>
        <v>0.1411831629</v>
      </c>
      <c r="BA103" s="4">
        <f t="shared" si="9"/>
        <v>0.1579261952</v>
      </c>
      <c r="BB103" s="4">
        <f t="shared" si="10"/>
        <v>0.2528165408</v>
      </c>
      <c r="BC103" s="4">
        <f t="shared" si="11"/>
        <v>-0.006428108955</v>
      </c>
      <c r="BD103" s="4">
        <f t="shared" ref="BD103:BE103" si="200">((R103-R$36)/R$37)</f>
        <v>0.4441494596</v>
      </c>
      <c r="BE103" s="4">
        <f t="shared" si="200"/>
        <v>1.2862163</v>
      </c>
      <c r="BF103" s="3"/>
    </row>
    <row r="104">
      <c r="A104" s="3" t="s">
        <v>77</v>
      </c>
      <c r="B104" s="4">
        <f t="shared" si="3"/>
        <v>-0.3667084294</v>
      </c>
      <c r="C104" s="3" t="s">
        <v>58</v>
      </c>
      <c r="D104" s="3" t="s">
        <v>59</v>
      </c>
      <c r="E104" s="5" t="s">
        <v>82</v>
      </c>
      <c r="F104" s="3" t="s">
        <v>78</v>
      </c>
      <c r="G104" s="12" t="s">
        <v>88</v>
      </c>
      <c r="H104" s="5" t="s">
        <v>63</v>
      </c>
      <c r="I104" s="6">
        <v>20.0</v>
      </c>
      <c r="J104" s="12" t="s">
        <v>94</v>
      </c>
      <c r="K104" s="3" t="s">
        <v>72</v>
      </c>
      <c r="L104" s="5" t="s">
        <v>73</v>
      </c>
      <c r="M104" s="3" t="s">
        <v>79</v>
      </c>
      <c r="N104" s="3" t="s">
        <v>80</v>
      </c>
      <c r="O104" s="3" t="s">
        <v>69</v>
      </c>
      <c r="P104" s="5" t="s">
        <v>87</v>
      </c>
      <c r="Q104" s="5" t="s">
        <v>86</v>
      </c>
      <c r="R104" s="13">
        <v>654.597395181655</v>
      </c>
      <c r="S104" s="13">
        <v>425.265865325927</v>
      </c>
      <c r="T104" s="13">
        <v>2.28537888337103</v>
      </c>
      <c r="U104" s="13">
        <v>8.36411113236668</v>
      </c>
      <c r="V104" s="13">
        <v>2.89207730400946</v>
      </c>
      <c r="W104" s="13">
        <v>0.689321126972496</v>
      </c>
      <c r="X104" s="13">
        <v>0.0932026332554662</v>
      </c>
      <c r="Y104" s="13">
        <v>0.0130261495194609</v>
      </c>
      <c r="Z104" s="13">
        <v>0.114132158130217</v>
      </c>
      <c r="AA104" s="13">
        <v>0.704120007672616</v>
      </c>
      <c r="AB104" s="13">
        <v>0.09385967472483</v>
      </c>
      <c r="AC104" s="13">
        <v>0.114463270292108</v>
      </c>
      <c r="AD104" s="13">
        <v>0.705315995318954</v>
      </c>
      <c r="AE104" s="13">
        <v>0.105208360165683</v>
      </c>
      <c r="AF104" s="13">
        <v>0.133073514140144</v>
      </c>
      <c r="AG104" s="13">
        <v>0.609308046259827</v>
      </c>
      <c r="AH104" s="13">
        <v>10.0</v>
      </c>
      <c r="AI104" s="13">
        <v>2.28537888337094</v>
      </c>
      <c r="AJ104" s="13">
        <v>8.36411113236668</v>
      </c>
      <c r="AK104" s="13">
        <v>2.89207730400946</v>
      </c>
      <c r="AL104" s="13">
        <v>0.689138145750724</v>
      </c>
      <c r="AM104" s="13">
        <v>2.29956203075825</v>
      </c>
      <c r="AN104" s="13">
        <v>7.86437960764002</v>
      </c>
      <c r="AO104" s="13">
        <v>2.80435012215665</v>
      </c>
      <c r="AP104" s="13">
        <v>0.705315995318954</v>
      </c>
      <c r="AQ104" s="13">
        <v>2.57760482405913</v>
      </c>
      <c r="AR104" s="13">
        <v>10.6295632394056</v>
      </c>
      <c r="AS104" s="13">
        <v>3.26030109643352</v>
      </c>
      <c r="AT104" s="13">
        <v>0.609308046259827</v>
      </c>
      <c r="AU104" s="4">
        <f t="shared" ref="AU104:AV104" si="201">(AB104-AB$36)/AB$37</f>
        <v>0.4753685901</v>
      </c>
      <c r="AV104" s="4">
        <f t="shared" si="201"/>
        <v>0.3688099188</v>
      </c>
      <c r="AW104" s="4">
        <f t="shared" si="5"/>
        <v>0.1975869265</v>
      </c>
      <c r="AX104" s="4">
        <f t="shared" si="6"/>
        <v>0.1632738489</v>
      </c>
      <c r="AY104" s="4">
        <f t="shared" si="7"/>
        <v>-0.1610978211</v>
      </c>
      <c r="AZ104" s="4">
        <f t="shared" si="8"/>
        <v>-0.162139735</v>
      </c>
      <c r="BA104" s="4">
        <f t="shared" si="9"/>
        <v>0.1431026552</v>
      </c>
      <c r="BB104" s="4">
        <f t="shared" si="10"/>
        <v>0.1319370119</v>
      </c>
      <c r="BC104" s="4">
        <f t="shared" si="11"/>
        <v>-0.147730331</v>
      </c>
      <c r="BD104" s="4">
        <f t="shared" ref="BD104:BE104" si="202">((R104-R$36)/R$37)</f>
        <v>1.264606654</v>
      </c>
      <c r="BE104" s="4">
        <f t="shared" si="202"/>
        <v>1.760075004</v>
      </c>
      <c r="BF104" s="3"/>
    </row>
    <row r="105">
      <c r="A105" s="3" t="s">
        <v>77</v>
      </c>
      <c r="B105" s="4">
        <f t="shared" si="3"/>
        <v>-0.4726389527</v>
      </c>
      <c r="C105" s="3" t="s">
        <v>58</v>
      </c>
      <c r="D105" s="3" t="s">
        <v>59</v>
      </c>
      <c r="E105" s="5" t="s">
        <v>82</v>
      </c>
      <c r="F105" s="3" t="s">
        <v>61</v>
      </c>
      <c r="G105" s="12" t="s">
        <v>83</v>
      </c>
      <c r="H105" s="5" t="s">
        <v>63</v>
      </c>
      <c r="I105" s="6">
        <v>20.0</v>
      </c>
      <c r="J105" s="12" t="s">
        <v>94</v>
      </c>
      <c r="K105" s="3" t="s">
        <v>65</v>
      </c>
      <c r="L105" s="5" t="s">
        <v>73</v>
      </c>
      <c r="M105" s="3" t="s">
        <v>67</v>
      </c>
      <c r="N105" s="3" t="s">
        <v>80</v>
      </c>
      <c r="O105" s="3" t="s">
        <v>69</v>
      </c>
      <c r="P105" s="5" t="s">
        <v>85</v>
      </c>
      <c r="Q105" s="5" t="s">
        <v>81</v>
      </c>
      <c r="R105" s="13">
        <v>783.675652742385</v>
      </c>
      <c r="S105" s="13">
        <v>463.602841138839</v>
      </c>
      <c r="T105" s="13">
        <v>2.34054302181419</v>
      </c>
      <c r="U105" s="13">
        <v>8.88192327028723</v>
      </c>
      <c r="V105" s="13">
        <v>2.98025557130378</v>
      </c>
      <c r="W105" s="13">
        <v>0.670962374027632</v>
      </c>
      <c r="X105" s="13">
        <v>0.105243194756094</v>
      </c>
      <c r="Y105" s="13">
        <v>0.016057914735992</v>
      </c>
      <c r="Z105" s="13">
        <v>0.126719827714498</v>
      </c>
      <c r="AA105" s="13">
        <v>0.640237151334567</v>
      </c>
      <c r="AB105" s="13">
        <v>0.105803473200268</v>
      </c>
      <c r="AC105" s="13">
        <v>0.127264964726494</v>
      </c>
      <c r="AD105" s="13">
        <v>0.638840008711316</v>
      </c>
      <c r="AE105" s="13">
        <v>0.105929331758227</v>
      </c>
      <c r="AF105" s="13">
        <v>0.13612624487881</v>
      </c>
      <c r="AG105" s="13">
        <v>0.588796176321303</v>
      </c>
      <c r="AH105" s="13">
        <v>10.0</v>
      </c>
      <c r="AI105" s="13">
        <v>2.34054302181411</v>
      </c>
      <c r="AJ105" s="13">
        <v>8.88192327028724</v>
      </c>
      <c r="AK105" s="13">
        <v>2.98025557130378</v>
      </c>
      <c r="AL105" s="13">
        <v>0.67092487995042</v>
      </c>
      <c r="AM105" s="13">
        <v>2.59218509340645</v>
      </c>
      <c r="AN105" s="13">
        <v>9.72187184091314</v>
      </c>
      <c r="AO105" s="13">
        <v>3.1179916357991</v>
      </c>
      <c r="AP105" s="13">
        <v>0.638840008711316</v>
      </c>
      <c r="AQ105" s="13">
        <v>2.59526862807645</v>
      </c>
      <c r="AR105" s="13">
        <v>11.1228453155197</v>
      </c>
      <c r="AS105" s="13">
        <v>3.33509299953086</v>
      </c>
      <c r="AT105" s="13">
        <v>0.588796176321303</v>
      </c>
      <c r="AU105" s="4">
        <f t="shared" ref="AU105:AV105" si="203">(AB105-AB$36)/AB$37</f>
        <v>0.6923172832</v>
      </c>
      <c r="AV105" s="4">
        <f t="shared" si="203"/>
        <v>0.5525638502</v>
      </c>
      <c r="AW105" s="4">
        <f t="shared" si="5"/>
        <v>0.2053440921</v>
      </c>
      <c r="AX105" s="4">
        <f t="shared" si="6"/>
        <v>0.1885968952</v>
      </c>
      <c r="AY105" s="4">
        <f t="shared" si="7"/>
        <v>-0.1347029496</v>
      </c>
      <c r="AZ105" s="4">
        <f t="shared" si="8"/>
        <v>-0.1294860681</v>
      </c>
      <c r="BA105" s="4">
        <f t="shared" si="9"/>
        <v>0.2172887171</v>
      </c>
      <c r="BB105" s="4">
        <f t="shared" si="10"/>
        <v>0.1596403736</v>
      </c>
      <c r="BC105" s="4">
        <f t="shared" si="11"/>
        <v>-0.1244513217</v>
      </c>
      <c r="BD105" s="4">
        <f t="shared" ref="BD105:BE105" si="204">((R105-R$36)/R$37)</f>
        <v>1.55111948</v>
      </c>
      <c r="BE105" s="4">
        <f t="shared" si="204"/>
        <v>2.020798128</v>
      </c>
      <c r="BF105" s="3"/>
    </row>
    <row r="106">
      <c r="A106" s="3" t="s">
        <v>77</v>
      </c>
      <c r="B106" s="4">
        <f t="shared" si="3"/>
        <v>-0.4289516945</v>
      </c>
      <c r="C106" s="3" t="s">
        <v>59</v>
      </c>
      <c r="D106" s="3" t="s">
        <v>58</v>
      </c>
      <c r="E106" s="5" t="s">
        <v>82</v>
      </c>
      <c r="F106" s="3" t="s">
        <v>61</v>
      </c>
      <c r="G106" s="5" t="s">
        <v>83</v>
      </c>
      <c r="H106" s="5" t="s">
        <v>63</v>
      </c>
      <c r="I106" s="6">
        <v>20.0</v>
      </c>
      <c r="J106" s="5" t="s">
        <v>94</v>
      </c>
      <c r="K106" s="3" t="s">
        <v>65</v>
      </c>
      <c r="L106" s="5" t="s">
        <v>73</v>
      </c>
      <c r="M106" s="3" t="s">
        <v>79</v>
      </c>
      <c r="N106" s="3" t="s">
        <v>80</v>
      </c>
      <c r="O106" s="3" t="s">
        <v>69</v>
      </c>
      <c r="P106" s="5" t="s">
        <v>75</v>
      </c>
      <c r="Q106" s="5" t="s">
        <v>81</v>
      </c>
      <c r="R106" s="7">
        <v>1023.5369246006</v>
      </c>
      <c r="S106" s="7">
        <v>343.584377765655</v>
      </c>
      <c r="T106" s="7">
        <v>2.71844648206529</v>
      </c>
      <c r="U106" s="7">
        <v>10.962515471578</v>
      </c>
      <c r="V106" s="7">
        <v>3.31096896264191</v>
      </c>
      <c r="W106" s="7">
        <v>0.669332774470137</v>
      </c>
      <c r="X106" s="7">
        <v>0.0915359681939942</v>
      </c>
      <c r="Y106" s="7">
        <v>0.0120455409793384</v>
      </c>
      <c r="Z106" s="7">
        <v>0.109752179838663</v>
      </c>
      <c r="AA106" s="7">
        <v>0.71963768294887</v>
      </c>
      <c r="AB106" s="7">
        <v>0.0916059846747048</v>
      </c>
      <c r="AC106" s="7">
        <v>0.109689887582921</v>
      </c>
      <c r="AD106" s="7">
        <v>0.722079596720616</v>
      </c>
      <c r="AE106" s="7">
        <v>0.102613680313223</v>
      </c>
      <c r="AF106" s="7">
        <v>0.126256786346971</v>
      </c>
      <c r="AG106" s="7">
        <v>0.632905106178058</v>
      </c>
      <c r="AH106" s="14">
        <v>10.0</v>
      </c>
      <c r="AI106" s="7">
        <v>2.71844648206529</v>
      </c>
      <c r="AJ106" s="7">
        <v>10.962515471578</v>
      </c>
      <c r="AK106" s="7">
        <v>3.31096896264191</v>
      </c>
      <c r="AL106" s="7">
        <v>0.669313868509229</v>
      </c>
      <c r="AM106" s="7">
        <v>2.53443224266685</v>
      </c>
      <c r="AN106" s="7">
        <v>9.20972914845164</v>
      </c>
      <c r="AO106" s="7">
        <v>3.03475355646082</v>
      </c>
      <c r="AP106" s="7">
        <v>0.722079596720616</v>
      </c>
      <c r="AQ106" s="7">
        <v>2.83897848866584</v>
      </c>
      <c r="AR106" s="7">
        <v>12.2017785048558</v>
      </c>
      <c r="AS106" s="7">
        <v>3.49310442226622</v>
      </c>
      <c r="AT106" s="7">
        <v>0.632905106178057</v>
      </c>
      <c r="AU106" s="4">
        <f t="shared" ref="AU106:AV106" si="205">(AB106-AB$36)/AB$37</f>
        <v>0.4344322739</v>
      </c>
      <c r="AV106" s="4">
        <f t="shared" si="205"/>
        <v>0.3002933765</v>
      </c>
      <c r="AW106" s="4">
        <f t="shared" si="5"/>
        <v>0.3123707407</v>
      </c>
      <c r="AX106" s="4">
        <f t="shared" si="6"/>
        <v>0.2420964104</v>
      </c>
      <c r="AY106" s="4">
        <f t="shared" si="7"/>
        <v>0.04611584944</v>
      </c>
      <c r="AZ106" s="4">
        <f t="shared" si="8"/>
        <v>-0.007018194245</v>
      </c>
      <c r="BA106" s="4">
        <f t="shared" si="9"/>
        <v>0.1243947634</v>
      </c>
      <c r="BB106" s="4">
        <f t="shared" si="10"/>
        <v>0.1000667882</v>
      </c>
      <c r="BC106" s="4">
        <f t="shared" si="11"/>
        <v>-0.1223922319</v>
      </c>
      <c r="BD106" s="4">
        <f t="shared" ref="BD106:BE106" si="206">((R106-R$36)/R$37)</f>
        <v>2.08353549</v>
      </c>
      <c r="BE106" s="4">
        <f t="shared" si="206"/>
        <v>1.204573374</v>
      </c>
      <c r="BF106" s="3"/>
    </row>
    <row r="107">
      <c r="A107" s="3" t="s">
        <v>77</v>
      </c>
      <c r="B107" s="4">
        <f t="shared" si="3"/>
        <v>-0.5573598296</v>
      </c>
      <c r="C107" s="3" t="s">
        <v>59</v>
      </c>
      <c r="D107" s="3" t="s">
        <v>58</v>
      </c>
      <c r="E107" s="5" t="s">
        <v>82</v>
      </c>
      <c r="F107" s="3" t="s">
        <v>61</v>
      </c>
      <c r="G107" s="5" t="s">
        <v>83</v>
      </c>
      <c r="H107" s="5" t="s">
        <v>71</v>
      </c>
      <c r="I107" s="6">
        <v>20.0</v>
      </c>
      <c r="J107" s="5" t="s">
        <v>94</v>
      </c>
      <c r="K107" s="3" t="s">
        <v>72</v>
      </c>
      <c r="L107" s="5" t="s">
        <v>73</v>
      </c>
      <c r="M107" s="3" t="s">
        <v>67</v>
      </c>
      <c r="N107" s="3" t="s">
        <v>80</v>
      </c>
      <c r="O107" s="3" t="s">
        <v>69</v>
      </c>
      <c r="P107" s="5" t="s">
        <v>87</v>
      </c>
      <c r="Q107" s="5" t="s">
        <v>75</v>
      </c>
      <c r="R107" s="7">
        <v>325.372703552246</v>
      </c>
      <c r="S107" s="7">
        <v>350.295860290527</v>
      </c>
      <c r="T107" s="7">
        <v>3.45058565312745</v>
      </c>
      <c r="U107" s="7">
        <v>19.9072952786505</v>
      </c>
      <c r="V107" s="7">
        <v>4.46175921343258</v>
      </c>
      <c r="W107" s="7">
        <v>0.399337683625263</v>
      </c>
      <c r="X107" s="7">
        <v>0.09959763536</v>
      </c>
      <c r="Y107" s="7">
        <v>0.0164057284051039</v>
      </c>
      <c r="Z107" s="7">
        <v>0.128084848460322</v>
      </c>
      <c r="AA107" s="7">
        <v>0.616240617314256</v>
      </c>
      <c r="AB107" s="7">
        <v>0.100571272606514</v>
      </c>
      <c r="AC107" s="7">
        <v>0.129093700153899</v>
      </c>
      <c r="AD107" s="7">
        <v>0.613253066064008</v>
      </c>
      <c r="AE107" s="7">
        <v>0.135173269182646</v>
      </c>
      <c r="AF107" s="7">
        <v>0.171250462047982</v>
      </c>
      <c r="AG107" s="7">
        <v>0.325573057800886</v>
      </c>
      <c r="AH107" s="14">
        <v>10.0</v>
      </c>
      <c r="AI107" s="7">
        <v>3.45058565312746</v>
      </c>
      <c r="AJ107" s="7">
        <v>19.9072952786505</v>
      </c>
      <c r="AK107" s="7">
        <v>4.46175921343258</v>
      </c>
      <c r="AL107" s="7">
        <v>0.399301266909254</v>
      </c>
      <c r="AM107" s="7">
        <v>2.78247187544685</v>
      </c>
      <c r="AN107" s="7">
        <v>12.7562720640465</v>
      </c>
      <c r="AO107" s="7">
        <v>3.57159237092455</v>
      </c>
      <c r="AP107" s="7">
        <v>0.613253066064008</v>
      </c>
      <c r="AQ107" s="7">
        <v>3.73979378072012</v>
      </c>
      <c r="AR107" s="7">
        <v>22.4479754731221</v>
      </c>
      <c r="AS107" s="7">
        <v>4.73792944999417</v>
      </c>
      <c r="AT107" s="7">
        <v>0.325573057800886</v>
      </c>
      <c r="AU107" s="4">
        <f t="shared" ref="AU107:AV107" si="207">(AB107-AB$36)/AB$37</f>
        <v>0.597278918</v>
      </c>
      <c r="AV107" s="4">
        <f t="shared" si="207"/>
        <v>0.5788132913</v>
      </c>
      <c r="AW107" s="4">
        <f t="shared" si="5"/>
        <v>0.7079691852</v>
      </c>
      <c r="AX107" s="4">
        <f t="shared" si="6"/>
        <v>0.6635693296</v>
      </c>
      <c r="AY107" s="4">
        <f t="shared" si="7"/>
        <v>0.3964289309</v>
      </c>
      <c r="AZ107" s="4">
        <f t="shared" si="8"/>
        <v>0.4191358079</v>
      </c>
      <c r="BA107" s="4">
        <f t="shared" si="9"/>
        <v>0.2458433065</v>
      </c>
      <c r="BB107" s="4">
        <f t="shared" si="10"/>
        <v>0.5151499037</v>
      </c>
      <c r="BC107" s="4">
        <f t="shared" si="11"/>
        <v>0.2227202773</v>
      </c>
      <c r="BD107" s="4">
        <f t="shared" ref="BD107:BE107" si="208">((R107-R$36)/R$37)</f>
        <v>0.5338321731</v>
      </c>
      <c r="BE107" s="4">
        <f t="shared" si="208"/>
        <v>1.250217002</v>
      </c>
      <c r="BF107" s="3"/>
    </row>
    <row r="108">
      <c r="A108" s="3" t="s">
        <v>77</v>
      </c>
      <c r="B108" s="4">
        <f t="shared" si="3"/>
        <v>-0.5527664354</v>
      </c>
      <c r="C108" s="3" t="s">
        <v>59</v>
      </c>
      <c r="D108" s="3" t="s">
        <v>58</v>
      </c>
      <c r="E108" s="5" t="s">
        <v>82</v>
      </c>
      <c r="F108" s="3" t="s">
        <v>78</v>
      </c>
      <c r="G108" s="5" t="s">
        <v>88</v>
      </c>
      <c r="H108" s="5" t="s">
        <v>63</v>
      </c>
      <c r="I108" s="6">
        <v>20.0</v>
      </c>
      <c r="J108" s="5" t="s">
        <v>94</v>
      </c>
      <c r="K108" s="3" t="s">
        <v>72</v>
      </c>
      <c r="L108" s="5" t="s">
        <v>73</v>
      </c>
      <c r="M108" s="3" t="s">
        <v>79</v>
      </c>
      <c r="N108" s="3" t="s">
        <v>84</v>
      </c>
      <c r="O108" s="3" t="s">
        <v>69</v>
      </c>
      <c r="P108" s="5" t="s">
        <v>76</v>
      </c>
      <c r="Q108" s="5" t="s">
        <v>76</v>
      </c>
      <c r="R108" s="7">
        <v>898.210957050323</v>
      </c>
      <c r="S108" s="7">
        <v>321.223539352417</v>
      </c>
      <c r="T108" s="7">
        <v>3.23279844964099</v>
      </c>
      <c r="U108" s="7">
        <v>16.0681172221601</v>
      </c>
      <c r="V108" s="7">
        <v>4.00850560959569</v>
      </c>
      <c r="W108" s="7">
        <v>0.510023743251409</v>
      </c>
      <c r="X108" s="7">
        <v>0.102999375939643</v>
      </c>
      <c r="Y108" s="7">
        <v>0.0152615989451944</v>
      </c>
      <c r="Z108" s="7">
        <v>0.123537844182236</v>
      </c>
      <c r="AA108" s="7">
        <v>0.63274937215777</v>
      </c>
      <c r="AB108" s="7">
        <v>0.104050770574955</v>
      </c>
      <c r="AC108" s="7">
        <v>0.124240549036901</v>
      </c>
      <c r="AD108" s="7">
        <v>0.636020178069662</v>
      </c>
      <c r="AE108" s="7">
        <v>0.117744039111489</v>
      </c>
      <c r="AF108" s="7">
        <v>0.146614552005571</v>
      </c>
      <c r="AG108" s="7">
        <v>0.500697100533253</v>
      </c>
      <c r="AH108" s="14">
        <v>10.0</v>
      </c>
      <c r="AI108" s="7">
        <v>3.232798449641</v>
      </c>
      <c r="AJ108" s="7">
        <v>16.0681172221601</v>
      </c>
      <c r="AK108" s="7">
        <v>4.00850560959569</v>
      </c>
      <c r="AL108" s="7">
        <v>0.509891558805595</v>
      </c>
      <c r="AM108" s="7">
        <v>2.87873798590721</v>
      </c>
      <c r="AN108" s="7">
        <v>11.8151815464622</v>
      </c>
      <c r="AO108" s="7">
        <v>3.43732185668759</v>
      </c>
      <c r="AP108" s="7">
        <v>0.636020178069662</v>
      </c>
      <c r="AQ108" s="7">
        <v>3.25758508208468</v>
      </c>
      <c r="AR108" s="7">
        <v>16.4538612485693</v>
      </c>
      <c r="AS108" s="7">
        <v>4.05633593882081</v>
      </c>
      <c r="AT108" s="7">
        <v>0.500697100533253</v>
      </c>
      <c r="AU108" s="4">
        <f t="shared" ref="AU108:AV108" si="209">(AB108-AB$36)/AB$37</f>
        <v>0.6604809671</v>
      </c>
      <c r="AV108" s="4">
        <f t="shared" si="209"/>
        <v>0.5091517631</v>
      </c>
      <c r="AW108" s="4">
        <f t="shared" si="5"/>
        <v>0.4962043397</v>
      </c>
      <c r="AX108" s="4">
        <f t="shared" si="6"/>
        <v>0.432795365</v>
      </c>
      <c r="AY108" s="4">
        <f t="shared" si="7"/>
        <v>0.2922223683</v>
      </c>
      <c r="AZ108" s="4">
        <f t="shared" si="8"/>
        <v>0.25128955</v>
      </c>
      <c r="BA108" s="4">
        <f t="shared" si="9"/>
        <v>0.2204355997</v>
      </c>
      <c r="BB108" s="4">
        <f t="shared" si="10"/>
        <v>0.2786271146</v>
      </c>
      <c r="BC108" s="4">
        <f t="shared" si="11"/>
        <v>0.08137097395</v>
      </c>
      <c r="BD108" s="4">
        <f t="shared" ref="BD108:BE108" si="210">((R108-R$36)/R$37)</f>
        <v>1.805351558</v>
      </c>
      <c r="BE108" s="4">
        <f t="shared" si="210"/>
        <v>1.05250119</v>
      </c>
      <c r="BF108" s="3"/>
    </row>
    <row r="109">
      <c r="A109" s="3" t="s">
        <v>57</v>
      </c>
      <c r="B109" s="4">
        <f t="shared" si="3"/>
        <v>-0.6317978475</v>
      </c>
      <c r="C109" s="3" t="s">
        <v>59</v>
      </c>
      <c r="D109" s="3" t="s">
        <v>58</v>
      </c>
      <c r="E109" s="5" t="s">
        <v>60</v>
      </c>
      <c r="F109" s="3" t="s">
        <v>78</v>
      </c>
      <c r="G109" s="5" t="s">
        <v>60</v>
      </c>
      <c r="H109" s="5" t="s">
        <v>71</v>
      </c>
      <c r="I109" s="6">
        <v>20.0</v>
      </c>
      <c r="J109" s="5" t="s">
        <v>94</v>
      </c>
      <c r="K109" s="3" t="s">
        <v>65</v>
      </c>
      <c r="L109" s="5" t="s">
        <v>73</v>
      </c>
      <c r="M109" s="3" t="s">
        <v>74</v>
      </c>
      <c r="N109" s="3" t="s">
        <v>68</v>
      </c>
      <c r="O109" s="3" t="s">
        <v>69</v>
      </c>
      <c r="P109" s="5" t="s">
        <v>85</v>
      </c>
      <c r="Q109" s="5" t="s">
        <v>85</v>
      </c>
      <c r="R109" s="7">
        <v>1684.92640709877</v>
      </c>
      <c r="S109" s="7">
        <v>149.252370357513</v>
      </c>
      <c r="T109" s="7">
        <v>2.96481778129979</v>
      </c>
      <c r="U109" s="7">
        <v>16.4620564015376</v>
      </c>
      <c r="V109" s="7">
        <v>4.05734598001423</v>
      </c>
      <c r="W109" s="7">
        <v>0.496817831666243</v>
      </c>
      <c r="X109" s="7">
        <v>0.0968346701262457</v>
      </c>
      <c r="Y109" s="7">
        <v>0.0170964768444651</v>
      </c>
      <c r="Z109" s="7">
        <v>0.1307534964904</v>
      </c>
      <c r="AA109" s="7">
        <v>0.615398276790634</v>
      </c>
      <c r="AB109" s="7">
        <v>0.0987950327679559</v>
      </c>
      <c r="AC109" s="7">
        <v>0.132107614531533</v>
      </c>
      <c r="AD109" s="7">
        <v>0.617247159592858</v>
      </c>
      <c r="AE109" s="7">
        <v>0.123093756050967</v>
      </c>
      <c r="AF109" s="7">
        <v>0.168697902595864</v>
      </c>
      <c r="AG109" s="7">
        <v>0.368971059701692</v>
      </c>
      <c r="AH109" s="14">
        <v>10.0</v>
      </c>
      <c r="AI109" s="7">
        <v>2.96481778129979</v>
      </c>
      <c r="AJ109" s="7">
        <v>16.4620564015376</v>
      </c>
      <c r="AK109" s="7">
        <v>4.05734598001423</v>
      </c>
      <c r="AL109" s="7">
        <v>0.49698127781089</v>
      </c>
      <c r="AM109" s="7">
        <v>2.64276712654282</v>
      </c>
      <c r="AN109" s="7">
        <v>12.4882985865788</v>
      </c>
      <c r="AO109" s="7">
        <v>3.53387868871851</v>
      </c>
      <c r="AP109" s="7">
        <v>0.617247159592858</v>
      </c>
      <c r="AQ109" s="7">
        <v>3.29275797436336</v>
      </c>
      <c r="AR109" s="7">
        <v>20.3641805508408</v>
      </c>
      <c r="AS109" s="7">
        <v>4.51266889443938</v>
      </c>
      <c r="AT109" s="7">
        <v>0.368971059701692</v>
      </c>
      <c r="AU109" s="4">
        <f t="shared" ref="AU109:AV109" si="211">(AB109-AB$36)/AB$37</f>
        <v>0.565015069</v>
      </c>
      <c r="AV109" s="4">
        <f t="shared" si="211"/>
        <v>0.6220746438</v>
      </c>
      <c r="AW109" s="4">
        <f t="shared" si="5"/>
        <v>0.5116507266</v>
      </c>
      <c r="AX109" s="4">
        <f t="shared" si="6"/>
        <v>0.5873005996</v>
      </c>
      <c r="AY109" s="4">
        <f t="shared" si="7"/>
        <v>0.1639992963</v>
      </c>
      <c r="AZ109" s="4">
        <f t="shared" si="8"/>
        <v>0.269375834</v>
      </c>
      <c r="BA109" s="4">
        <f t="shared" si="9"/>
        <v>0.2413859666</v>
      </c>
      <c r="BB109" s="4">
        <f t="shared" si="10"/>
        <v>0.4565364986</v>
      </c>
      <c r="BC109" s="4">
        <f t="shared" si="11"/>
        <v>0.09787205368</v>
      </c>
      <c r="BD109" s="4">
        <f t="shared" ref="BD109:BE109" si="212">((R109-R$36)/R$37)</f>
        <v>3.551610541</v>
      </c>
      <c r="BE109" s="4">
        <f t="shared" si="212"/>
        <v>-0.1170449058</v>
      </c>
      <c r="BF109" s="3"/>
    </row>
    <row r="110">
      <c r="A110" s="3" t="s">
        <v>57</v>
      </c>
      <c r="B110" s="4">
        <f t="shared" si="3"/>
        <v>-0.7935787958</v>
      </c>
      <c r="C110" s="3" t="s">
        <v>59</v>
      </c>
      <c r="D110" s="3" t="s">
        <v>58</v>
      </c>
      <c r="E110" s="5" t="s">
        <v>82</v>
      </c>
      <c r="F110" s="3" t="s">
        <v>61</v>
      </c>
      <c r="G110" s="5" t="s">
        <v>83</v>
      </c>
      <c r="H110" s="5" t="s">
        <v>71</v>
      </c>
      <c r="I110" s="6">
        <v>20.0</v>
      </c>
      <c r="J110" s="5" t="s">
        <v>94</v>
      </c>
      <c r="K110" s="3" t="s">
        <v>65</v>
      </c>
      <c r="L110" s="5" t="s">
        <v>73</v>
      </c>
      <c r="M110" s="3" t="s">
        <v>79</v>
      </c>
      <c r="N110" s="3" t="s">
        <v>68</v>
      </c>
      <c r="O110" s="3" t="s">
        <v>69</v>
      </c>
      <c r="P110" s="5" t="s">
        <v>75</v>
      </c>
      <c r="Q110" s="5" t="s">
        <v>75</v>
      </c>
      <c r="R110" s="7">
        <v>1482.56218338012</v>
      </c>
      <c r="S110" s="7">
        <v>338.003102064132</v>
      </c>
      <c r="T110" s="7">
        <v>3.44041370614327</v>
      </c>
      <c r="U110" s="7">
        <v>18.8210788838108</v>
      </c>
      <c r="V110" s="7">
        <v>4.33832673778852</v>
      </c>
      <c r="W110" s="7">
        <v>0.432111016864171</v>
      </c>
      <c r="X110" s="7">
        <v>0.115283900239237</v>
      </c>
      <c r="Y110" s="7">
        <v>0.0205282087652813</v>
      </c>
      <c r="Z110" s="7">
        <v>0.14327668604934</v>
      </c>
      <c r="AA110" s="7">
        <v>0.519808415153479</v>
      </c>
      <c r="AB110" s="7">
        <v>0.115898357961242</v>
      </c>
      <c r="AC110" s="7">
        <v>0.143734615643721</v>
      </c>
      <c r="AD110" s="7">
        <v>0.520554192393134</v>
      </c>
      <c r="AE110" s="7">
        <v>0.124011416285708</v>
      </c>
      <c r="AF110" s="7">
        <v>0.158475093707535</v>
      </c>
      <c r="AG110" s="7">
        <v>0.422444875068306</v>
      </c>
      <c r="AH110" s="14">
        <v>10.0</v>
      </c>
      <c r="AI110" s="7">
        <v>3.44041370614327</v>
      </c>
      <c r="AJ110" s="7">
        <v>18.8210788838108</v>
      </c>
      <c r="AK110" s="7">
        <v>4.33832673778852</v>
      </c>
      <c r="AL110" s="7">
        <v>0.432077633718982</v>
      </c>
      <c r="AM110" s="7">
        <v>3.20652123692778</v>
      </c>
      <c r="AN110" s="7">
        <v>15.8138064588041</v>
      </c>
      <c r="AO110" s="7">
        <v>3.9766576994763</v>
      </c>
      <c r="AP110" s="7">
        <v>0.520554192393134</v>
      </c>
      <c r="AQ110" s="7">
        <v>3.43098251723811</v>
      </c>
      <c r="AR110" s="7">
        <v>19.2236437597935</v>
      </c>
      <c r="AS110" s="7">
        <v>4.38447759257514</v>
      </c>
      <c r="AT110" s="7">
        <v>0.422444875068306</v>
      </c>
      <c r="AU110" s="4">
        <f t="shared" ref="AU110:AV110" si="213">(AB110-AB$36)/AB$37</f>
        <v>0.8756820695</v>
      </c>
      <c r="AV110" s="4">
        <f t="shared" si="213"/>
        <v>0.7889671731</v>
      </c>
      <c r="AW110" s="4">
        <f t="shared" si="5"/>
        <v>0.5723528645</v>
      </c>
      <c r="AX110" s="4">
        <f t="shared" si="6"/>
        <v>0.5438975823</v>
      </c>
      <c r="AY110" s="4">
        <f t="shared" si="7"/>
        <v>0.3915618698</v>
      </c>
      <c r="AZ110" s="4">
        <f t="shared" si="8"/>
        <v>0.3734270061</v>
      </c>
      <c r="BA110" s="4">
        <f t="shared" si="9"/>
        <v>0.3492936609</v>
      </c>
      <c r="BB110" s="4">
        <f t="shared" si="10"/>
        <v>0.3843146851</v>
      </c>
      <c r="BC110" s="4">
        <f t="shared" si="11"/>
        <v>0.1808276614</v>
      </c>
      <c r="BD110" s="4">
        <f t="shared" ref="BD110:BE110" si="214">((R110-R$36)/R$37)</f>
        <v>3.102426095</v>
      </c>
      <c r="BE110" s="4">
        <f t="shared" si="214"/>
        <v>1.166616085</v>
      </c>
      <c r="BF110" s="3"/>
    </row>
    <row r="111">
      <c r="A111" s="3" t="s">
        <v>77</v>
      </c>
      <c r="B111" s="4">
        <f t="shared" si="3"/>
        <v>-0.6888165814</v>
      </c>
      <c r="C111" s="3" t="s">
        <v>59</v>
      </c>
      <c r="D111" s="3" t="s">
        <v>58</v>
      </c>
      <c r="E111" s="5" t="s">
        <v>82</v>
      </c>
      <c r="F111" s="3" t="s">
        <v>78</v>
      </c>
      <c r="G111" s="5" t="s">
        <v>88</v>
      </c>
      <c r="H111" s="5" t="s">
        <v>71</v>
      </c>
      <c r="I111" s="6">
        <v>20.0</v>
      </c>
      <c r="J111" s="5" t="s">
        <v>94</v>
      </c>
      <c r="K111" s="3" t="s">
        <v>65</v>
      </c>
      <c r="L111" s="5" t="s">
        <v>66</v>
      </c>
      <c r="M111" s="3" t="s">
        <v>67</v>
      </c>
      <c r="N111" s="3" t="s">
        <v>84</v>
      </c>
      <c r="O111" s="3" t="s">
        <v>69</v>
      </c>
      <c r="P111" s="5" t="s">
        <v>75</v>
      </c>
      <c r="Q111" s="3"/>
      <c r="R111" s="7">
        <v>2591.88483285903</v>
      </c>
      <c r="S111" s="7">
        <v>312.636924028396</v>
      </c>
      <c r="T111" s="7">
        <v>2.87208067028666</v>
      </c>
      <c r="U111" s="7">
        <v>12.874869164228</v>
      </c>
      <c r="V111" s="7">
        <v>3.58815679203515</v>
      </c>
      <c r="W111" s="7">
        <v>0.606208801519693</v>
      </c>
      <c r="X111" s="7">
        <v>0.0609527606123931</v>
      </c>
      <c r="Y111" s="7">
        <v>0.00557947083195875</v>
      </c>
      <c r="Z111" s="7">
        <v>0.0746958555206294</v>
      </c>
      <c r="AA111" s="7">
        <v>0.864850025147452</v>
      </c>
      <c r="AB111" s="7">
        <v>0.061367914404378</v>
      </c>
      <c r="AC111" s="7">
        <v>0.0749296494140639</v>
      </c>
      <c r="AD111" s="7">
        <v>0.866878999021236</v>
      </c>
      <c r="AE111" s="7">
        <v>0.117765293719434</v>
      </c>
      <c r="AF111" s="7">
        <v>0.145845548743004</v>
      </c>
      <c r="AG111" s="7">
        <v>0.50485809658721</v>
      </c>
      <c r="AH111" s="14">
        <v>10.0</v>
      </c>
      <c r="AI111" s="7">
        <v>2.87208067028666</v>
      </c>
      <c r="AJ111" s="7">
        <v>12.874869164228</v>
      </c>
      <c r="AK111" s="7">
        <v>3.58815679203515</v>
      </c>
      <c r="AL111" s="7">
        <v>0.606059469143659</v>
      </c>
      <c r="AM111" s="7">
        <v>1.69784563185444</v>
      </c>
      <c r="AN111" s="7">
        <v>4.2975513685662</v>
      </c>
      <c r="AO111" s="7">
        <v>2.0730536337891</v>
      </c>
      <c r="AP111" s="7">
        <v>0.866878999021236</v>
      </c>
      <c r="AQ111" s="7">
        <v>3.25817312623783</v>
      </c>
      <c r="AR111" s="7">
        <v>16.2817106714724</v>
      </c>
      <c r="AS111" s="7">
        <v>4.03506018188979</v>
      </c>
      <c r="AT111" s="7">
        <v>0.50485809658721</v>
      </c>
      <c r="AU111" s="4">
        <f t="shared" ref="AU111:AV111" si="215">(AB111-AB$36)/AB$37</f>
        <v>-0.114815927</v>
      </c>
      <c r="AV111" s="4">
        <f t="shared" si="215"/>
        <v>-0.1986507634</v>
      </c>
      <c r="AW111" s="4">
        <f t="shared" si="5"/>
        <v>0.4964625829</v>
      </c>
      <c r="AX111" s="4">
        <f t="shared" si="6"/>
        <v>0.4255918182</v>
      </c>
      <c r="AY111" s="4">
        <f t="shared" si="7"/>
        <v>0.1196265535</v>
      </c>
      <c r="AZ111" s="4">
        <f t="shared" si="8"/>
        <v>0.09562840253</v>
      </c>
      <c r="BA111" s="4">
        <f t="shared" si="9"/>
        <v>-0.03719888809</v>
      </c>
      <c r="BB111" s="4">
        <f t="shared" si="10"/>
        <v>0.2730072672</v>
      </c>
      <c r="BC111" s="4">
        <f t="shared" si="11"/>
        <v>-0.04154458127</v>
      </c>
      <c r="BD111" s="4">
        <f t="shared" ref="BD111:BE111" si="216">((R111-R$36)/R$37)</f>
        <v>5.564770823</v>
      </c>
      <c r="BE111" s="4">
        <f t="shared" si="216"/>
        <v>0.9941051079</v>
      </c>
      <c r="BF111" s="3"/>
    </row>
    <row r="112">
      <c r="A112" s="3" t="s">
        <v>57</v>
      </c>
      <c r="B112" s="4">
        <f t="shared" si="3"/>
        <v>-1.293114505</v>
      </c>
      <c r="C112" s="3" t="s">
        <v>58</v>
      </c>
      <c r="D112" s="3" t="s">
        <v>59</v>
      </c>
      <c r="E112" s="5" t="s">
        <v>82</v>
      </c>
      <c r="F112" s="3" t="s">
        <v>78</v>
      </c>
      <c r="G112" s="12" t="s">
        <v>88</v>
      </c>
      <c r="H112" s="5" t="s">
        <v>63</v>
      </c>
      <c r="I112" s="6">
        <v>20.0</v>
      </c>
      <c r="J112" s="12" t="s">
        <v>94</v>
      </c>
      <c r="K112" s="3" t="s">
        <v>65</v>
      </c>
      <c r="L112" s="5" t="s">
        <v>73</v>
      </c>
      <c r="M112" s="3" t="s">
        <v>74</v>
      </c>
      <c r="N112" s="3" t="s">
        <v>84</v>
      </c>
      <c r="O112" s="3" t="s">
        <v>69</v>
      </c>
      <c r="P112" s="5" t="s">
        <v>75</v>
      </c>
      <c r="Q112" s="5" t="s">
        <v>70</v>
      </c>
      <c r="R112" s="13">
        <v>529.241550683975</v>
      </c>
      <c r="S112" s="13">
        <v>412.639729976654</v>
      </c>
      <c r="T112" s="13">
        <v>4.80611846868778</v>
      </c>
      <c r="U112" s="13">
        <v>32.0381836211916</v>
      </c>
      <c r="V112" s="13">
        <v>5.66022823048608</v>
      </c>
      <c r="W112" s="13">
        <v>-0.190698902582846</v>
      </c>
      <c r="X112" s="13">
        <v>0.201515753709075</v>
      </c>
      <c r="Y112" s="13">
        <v>0.0546605285341767</v>
      </c>
      <c r="Z112" s="13">
        <v>0.233795912141715</v>
      </c>
      <c r="AA112" s="13">
        <v>-0.241576164862895</v>
      </c>
      <c r="AB112" s="13">
        <v>0.203738376007244</v>
      </c>
      <c r="AC112" s="13">
        <v>0.235638078767744</v>
      </c>
      <c r="AD112" s="13">
        <v>-0.248864181321374</v>
      </c>
      <c r="AE112" s="13">
        <v>0.185572344859161</v>
      </c>
      <c r="AF112" s="13">
        <v>0.215226287357842</v>
      </c>
      <c r="AG112" s="13">
        <v>-0.0219786994327917</v>
      </c>
      <c r="AH112" s="13">
        <v>10.0</v>
      </c>
      <c r="AI112" s="13">
        <v>4.80611846868765</v>
      </c>
      <c r="AJ112" s="13">
        <v>32.0381836211916</v>
      </c>
      <c r="AK112" s="13">
        <v>5.66022823048608</v>
      </c>
      <c r="AL112" s="13">
        <v>-0.19073611166191</v>
      </c>
      <c r="AM112" s="13">
        <v>4.99159021217762</v>
      </c>
      <c r="AN112" s="13">
        <v>33.3290638252535</v>
      </c>
      <c r="AO112" s="13">
        <v>5.77313292980973</v>
      </c>
      <c r="AP112" s="13">
        <v>-0.248864181321374</v>
      </c>
      <c r="AQ112" s="13">
        <v>4.54652244904928</v>
      </c>
      <c r="AR112" s="13">
        <v>27.8049934505969</v>
      </c>
      <c r="AS112" s="13">
        <v>5.27304404026715</v>
      </c>
      <c r="AT112" s="13">
        <v>-0.0219786994327915</v>
      </c>
      <c r="AU112" s="4">
        <f t="shared" ref="AU112:AV112" si="217">(AB112-AB$36)/AB$37</f>
        <v>2.471219465</v>
      </c>
      <c r="AV112" s="4">
        <f t="shared" si="217"/>
        <v>2.108138064</v>
      </c>
      <c r="AW112" s="4">
        <f t="shared" si="5"/>
        <v>1.062248924</v>
      </c>
      <c r="AX112" s="4">
        <f t="shared" si="6"/>
        <v>0.8447484539</v>
      </c>
      <c r="AY112" s="4">
        <f t="shared" si="7"/>
        <v>1.045022663</v>
      </c>
      <c r="AZ112" s="4">
        <f t="shared" si="8"/>
        <v>0.8629459356</v>
      </c>
      <c r="BA112" s="4">
        <f t="shared" si="9"/>
        <v>1.20795138</v>
      </c>
      <c r="BB112" s="4">
        <f t="shared" si="10"/>
        <v>0.984553817</v>
      </c>
      <c r="BC112" s="4">
        <f t="shared" si="11"/>
        <v>0.9768675987</v>
      </c>
      <c r="BD112" s="4">
        <f t="shared" ref="BD112:BE112" si="218">((R112-R$36)/R$37)</f>
        <v>0.9863564059</v>
      </c>
      <c r="BE112" s="4">
        <f t="shared" si="218"/>
        <v>1.674206848</v>
      </c>
      <c r="BF112" s="3"/>
    </row>
    <row r="113">
      <c r="A113" s="3" t="s">
        <v>77</v>
      </c>
      <c r="B113" s="4">
        <f t="shared" si="3"/>
        <v>-0.8338689006</v>
      </c>
      <c r="C113" s="3" t="s">
        <v>58</v>
      </c>
      <c r="D113" s="3" t="s">
        <v>59</v>
      </c>
      <c r="E113" s="5" t="s">
        <v>82</v>
      </c>
      <c r="F113" s="3" t="s">
        <v>78</v>
      </c>
      <c r="G113" s="12" t="s">
        <v>88</v>
      </c>
      <c r="H113" s="5" t="s">
        <v>71</v>
      </c>
      <c r="I113" s="6">
        <v>20.0</v>
      </c>
      <c r="J113" s="12" t="s">
        <v>94</v>
      </c>
      <c r="K113" s="3" t="s">
        <v>65</v>
      </c>
      <c r="L113" s="5" t="s">
        <v>73</v>
      </c>
      <c r="M113" s="3" t="s">
        <v>67</v>
      </c>
      <c r="N113" s="3" t="s">
        <v>80</v>
      </c>
      <c r="O113" s="3" t="s">
        <v>69</v>
      </c>
      <c r="P113" s="5" t="s">
        <v>81</v>
      </c>
      <c r="Q113" s="5" t="s">
        <v>75</v>
      </c>
      <c r="R113" s="13">
        <v>3419.15184283256</v>
      </c>
      <c r="S113" s="13">
        <v>468.111183643341</v>
      </c>
      <c r="T113" s="13">
        <v>2.12050764972641</v>
      </c>
      <c r="U113" s="13">
        <v>7.6630321111735</v>
      </c>
      <c r="V113" s="13">
        <v>2.76821821957256</v>
      </c>
      <c r="W113" s="13">
        <v>0.715924799485917</v>
      </c>
      <c r="X113" s="13">
        <v>0.0736716333130717</v>
      </c>
      <c r="Y113" s="13">
        <v>0.00901046469521769</v>
      </c>
      <c r="Z113" s="13">
        <v>0.0949234675684453</v>
      </c>
      <c r="AA113" s="13">
        <v>0.795480273547982</v>
      </c>
      <c r="AB113" s="13">
        <v>0.0730009239442815</v>
      </c>
      <c r="AC113" s="13">
        <v>0.0941503100244252</v>
      </c>
      <c r="AD113" s="13">
        <v>0.800821847472257</v>
      </c>
      <c r="AE113" s="13">
        <v>0.0911968155626812</v>
      </c>
      <c r="AF113" s="13">
        <v>0.120383981339707</v>
      </c>
      <c r="AG113" s="13">
        <v>0.681307537358665</v>
      </c>
      <c r="AH113" s="13">
        <v>10.0</v>
      </c>
      <c r="AI113" s="13">
        <v>2.12050764972636</v>
      </c>
      <c r="AJ113" s="13">
        <v>7.6630321111735</v>
      </c>
      <c r="AK113" s="13">
        <v>2.76821821957256</v>
      </c>
      <c r="AL113" s="13">
        <v>0.715743831810385</v>
      </c>
      <c r="AM113" s="13">
        <v>1.78852263663492</v>
      </c>
      <c r="AN113" s="13">
        <v>5.32078459683667</v>
      </c>
      <c r="AO113" s="13">
        <v>2.30668259559842</v>
      </c>
      <c r="AP113" s="13">
        <v>0.800821847472257</v>
      </c>
      <c r="AQ113" s="13">
        <v>2.23432198128568</v>
      </c>
      <c r="AR113" s="13">
        <v>8.69900485366019</v>
      </c>
      <c r="AS113" s="13">
        <v>2.94940754282282</v>
      </c>
      <c r="AT113" s="13">
        <v>0.681307537358665</v>
      </c>
      <c r="AU113" s="4">
        <f t="shared" ref="AU113:AV113" si="219">(AB113-AB$36)/AB$37</f>
        <v>0.09648755579</v>
      </c>
      <c r="AV113" s="4">
        <f t="shared" si="219"/>
        <v>0.07724021094</v>
      </c>
      <c r="AW113" s="4">
        <f t="shared" si="5"/>
        <v>0.04683220484</v>
      </c>
      <c r="AX113" s="4">
        <f t="shared" si="6"/>
        <v>0.05801149424</v>
      </c>
      <c r="AY113" s="4">
        <f t="shared" si="7"/>
        <v>-0.2399852133</v>
      </c>
      <c r="AZ113" s="4">
        <f t="shared" si="8"/>
        <v>-0.2080065161</v>
      </c>
      <c r="BA113" s="4">
        <f t="shared" si="9"/>
        <v>0.03651976098</v>
      </c>
      <c r="BB113" s="4">
        <f t="shared" si="10"/>
        <v>0.0346943936</v>
      </c>
      <c r="BC113" s="4">
        <f t="shared" si="11"/>
        <v>-0.1817359849</v>
      </c>
      <c r="BD113" s="4">
        <f t="shared" ref="BD113:BE113" si="220">((R113-R$36)/R$37)</f>
        <v>7.401041417</v>
      </c>
      <c r="BE113" s="4">
        <f t="shared" si="220"/>
        <v>2.051458584</v>
      </c>
      <c r="BF113" s="3"/>
    </row>
    <row r="114">
      <c r="A114" s="3" t="s">
        <v>57</v>
      </c>
      <c r="B114" s="4">
        <f t="shared" si="3"/>
        <v>-1.060787324</v>
      </c>
      <c r="C114" s="3" t="s">
        <v>58</v>
      </c>
      <c r="D114" s="3" t="s">
        <v>59</v>
      </c>
      <c r="E114" s="5" t="s">
        <v>82</v>
      </c>
      <c r="F114" s="3" t="s">
        <v>61</v>
      </c>
      <c r="G114" s="12" t="s">
        <v>83</v>
      </c>
      <c r="H114" s="5" t="s">
        <v>71</v>
      </c>
      <c r="I114" s="6">
        <v>20.0</v>
      </c>
      <c r="J114" s="12" t="s">
        <v>94</v>
      </c>
      <c r="K114" s="3" t="s">
        <v>65</v>
      </c>
      <c r="L114" s="5" t="s">
        <v>73</v>
      </c>
      <c r="M114" s="3" t="s">
        <v>79</v>
      </c>
      <c r="N114" s="3" t="s">
        <v>84</v>
      </c>
      <c r="O114" s="3" t="s">
        <v>69</v>
      </c>
      <c r="P114" s="5" t="s">
        <v>85</v>
      </c>
      <c r="Q114" s="5" t="s">
        <v>85</v>
      </c>
      <c r="R114" s="13">
        <v>3596.6428296566</v>
      </c>
      <c r="S114" s="13">
        <v>517.954939126968</v>
      </c>
      <c r="T114" s="13">
        <v>2.47923515249486</v>
      </c>
      <c r="U114" s="13">
        <v>9.88983234797837</v>
      </c>
      <c r="V114" s="13">
        <v>3.14481038346962</v>
      </c>
      <c r="W114" s="13">
        <v>0.633942898029018</v>
      </c>
      <c r="X114" s="13">
        <v>0.0963352949420983</v>
      </c>
      <c r="Y114" s="13">
        <v>0.0146194380417103</v>
      </c>
      <c r="Z114" s="13">
        <v>0.12091086817036</v>
      </c>
      <c r="AA114" s="13">
        <v>0.67281855107729</v>
      </c>
      <c r="AB114" s="13">
        <v>0.0968989653949895</v>
      </c>
      <c r="AC114" s="13">
        <v>0.121437070263219</v>
      </c>
      <c r="AD114" s="13">
        <v>0.671543110322306</v>
      </c>
      <c r="AE114" s="13">
        <v>0.105331778177034</v>
      </c>
      <c r="AF114" s="13">
        <v>0.134300922727849</v>
      </c>
      <c r="AG114" s="13">
        <v>0.599921651466993</v>
      </c>
      <c r="AH114" s="13">
        <v>10.0</v>
      </c>
      <c r="AI114" s="13">
        <v>2.47923515249476</v>
      </c>
      <c r="AJ114" s="13">
        <v>9.88983234797837</v>
      </c>
      <c r="AK114" s="13">
        <v>3.14481038346962</v>
      </c>
      <c r="AL114" s="13">
        <v>0.633927711593333</v>
      </c>
      <c r="AM114" s="13">
        <v>2.37402465217714</v>
      </c>
      <c r="AN114" s="13">
        <v>8.85186396097693</v>
      </c>
      <c r="AO114" s="13">
        <v>2.97520822144886</v>
      </c>
      <c r="AP114" s="13">
        <v>0.671543110322306</v>
      </c>
      <c r="AQ114" s="13">
        <v>2.58062856533724</v>
      </c>
      <c r="AR114" s="13">
        <v>10.8265518917924</v>
      </c>
      <c r="AS114" s="13">
        <v>3.2903726068323</v>
      </c>
      <c r="AT114" s="13">
        <v>0.599921651466993</v>
      </c>
      <c r="AU114" s="4">
        <f t="shared" ref="AU114:AV114" si="221">(AB114-AB$36)/AB$37</f>
        <v>0.5305746571</v>
      </c>
      <c r="AV114" s="4">
        <f t="shared" si="221"/>
        <v>0.4689109771</v>
      </c>
      <c r="AW114" s="4">
        <f t="shared" si="5"/>
        <v>0.1989148206</v>
      </c>
      <c r="AX114" s="4">
        <f t="shared" si="6"/>
        <v>0.1734554624</v>
      </c>
      <c r="AY114" s="4">
        <f t="shared" si="7"/>
        <v>-0.06834170358</v>
      </c>
      <c r="AZ114" s="4">
        <f t="shared" si="8"/>
        <v>-0.06854908005</v>
      </c>
      <c r="BA114" s="4">
        <f t="shared" si="9"/>
        <v>0.1807926161</v>
      </c>
      <c r="BB114" s="4">
        <f t="shared" si="10"/>
        <v>0.1446142905</v>
      </c>
      <c r="BC114" s="4">
        <f t="shared" si="11"/>
        <v>-0.07716395245</v>
      </c>
      <c r="BD114" s="4">
        <f t="shared" ref="BD114:BE114" si="222">((R114-R$36)/R$37)</f>
        <v>7.795015159</v>
      </c>
      <c r="BE114" s="4">
        <f t="shared" si="222"/>
        <v>2.39043732</v>
      </c>
      <c r="BF114" s="3"/>
    </row>
    <row r="115">
      <c r="A115" s="3" t="s">
        <v>77</v>
      </c>
      <c r="B115" s="4">
        <f t="shared" si="3"/>
        <v>-2.114352378</v>
      </c>
      <c r="C115" s="3" t="s">
        <v>58</v>
      </c>
      <c r="D115" s="3" t="s">
        <v>59</v>
      </c>
      <c r="E115" s="5" t="s">
        <v>82</v>
      </c>
      <c r="F115" s="3" t="s">
        <v>61</v>
      </c>
      <c r="G115" s="12" t="s">
        <v>83</v>
      </c>
      <c r="H115" s="5" t="s">
        <v>71</v>
      </c>
      <c r="I115" s="6">
        <v>20.0</v>
      </c>
      <c r="J115" s="12" t="s">
        <v>94</v>
      </c>
      <c r="K115" s="3" t="s">
        <v>72</v>
      </c>
      <c r="L115" s="5" t="s">
        <v>66</v>
      </c>
      <c r="M115" s="3" t="s">
        <v>67</v>
      </c>
      <c r="N115" s="3" t="s">
        <v>84</v>
      </c>
      <c r="O115" s="3" t="s">
        <v>69</v>
      </c>
      <c r="P115" s="5" t="s">
        <v>76</v>
      </c>
      <c r="Q115" s="3"/>
      <c r="R115" s="13">
        <v>245.184883594512</v>
      </c>
      <c r="S115" s="13">
        <v>430.326149225235</v>
      </c>
      <c r="T115" s="13">
        <v>5.87989904480629</v>
      </c>
      <c r="U115" s="13">
        <v>52.8583596488559</v>
      </c>
      <c r="V115" s="13">
        <v>7.27037548197174</v>
      </c>
      <c r="W115" s="13">
        <v>-0.956457876263246</v>
      </c>
      <c r="X115" s="13">
        <v>0.299249595702623</v>
      </c>
      <c r="Y115" s="13">
        <v>0.146945907841399</v>
      </c>
      <c r="Z115" s="13">
        <v>0.383335242107218</v>
      </c>
      <c r="AA115" s="13">
        <v>-2.28863359204657</v>
      </c>
      <c r="AB115" s="13">
        <v>0.301233258398319</v>
      </c>
      <c r="AC115" s="13">
        <v>0.385227222425391</v>
      </c>
      <c r="AD115" s="13">
        <v>-2.30529139165833</v>
      </c>
      <c r="AE115" s="13">
        <v>0.208734158675886</v>
      </c>
      <c r="AF115" s="13">
        <v>0.259012981156863</v>
      </c>
      <c r="AG115" s="13">
        <v>-0.488093147315766</v>
      </c>
      <c r="AH115" s="13">
        <v>10.0</v>
      </c>
      <c r="AI115" s="13">
        <v>5.87989904480642</v>
      </c>
      <c r="AJ115" s="13">
        <v>52.8583596488559</v>
      </c>
      <c r="AK115" s="13">
        <v>7.27037548197174</v>
      </c>
      <c r="AL115" s="13">
        <v>-0.956552952288896</v>
      </c>
      <c r="AM115" s="13">
        <v>7.38021483075952</v>
      </c>
      <c r="AN115" s="13">
        <v>89.0771077417735</v>
      </c>
      <c r="AO115" s="13">
        <v>9.43806694942208</v>
      </c>
      <c r="AP115" s="13">
        <v>-2.30529139165833</v>
      </c>
      <c r="AQ115" s="13">
        <v>5.11398688755932</v>
      </c>
      <c r="AR115" s="13">
        <v>40.2694065757614</v>
      </c>
      <c r="AS115" s="13">
        <v>6.34581803834316</v>
      </c>
      <c r="AT115" s="13">
        <v>-0.488093147315766</v>
      </c>
      <c r="AU115" s="4">
        <f t="shared" ref="AU115:AV115" si="223">(AB115-AB$36)/AB$37</f>
        <v>4.242129059</v>
      </c>
      <c r="AV115" s="4">
        <f t="shared" si="223"/>
        <v>4.255322046</v>
      </c>
      <c r="AW115" s="4">
        <f t="shared" si="5"/>
        <v>1.311454339</v>
      </c>
      <c r="AX115" s="4">
        <f t="shared" si="6"/>
        <v>1.207968327</v>
      </c>
      <c r="AY115" s="4">
        <f t="shared" si="7"/>
        <v>1.558803919</v>
      </c>
      <c r="AZ115" s="4">
        <f t="shared" si="8"/>
        <v>1.45920637</v>
      </c>
      <c r="BA115" s="4">
        <f t="shared" si="9"/>
        <v>3.502888904</v>
      </c>
      <c r="BB115" s="4">
        <f t="shared" si="10"/>
        <v>1.614088674</v>
      </c>
      <c r="BC115" s="4">
        <f t="shared" si="11"/>
        <v>1.955684772</v>
      </c>
      <c r="BD115" s="4">
        <f t="shared" ref="BD115:BE115" si="224">((R115-R$36)/R$37)</f>
        <v>0.355840625</v>
      </c>
      <c r="BE115" s="4">
        <f t="shared" si="224"/>
        <v>1.794489118</v>
      </c>
      <c r="BF115" s="3"/>
    </row>
    <row r="116">
      <c r="A116" s="3" t="s">
        <v>57</v>
      </c>
      <c r="B116" s="4">
        <f t="shared" si="3"/>
        <v>-1.874830869</v>
      </c>
      <c r="C116" s="3" t="s">
        <v>58</v>
      </c>
      <c r="D116" s="3" t="s">
        <v>59</v>
      </c>
      <c r="E116" s="5" t="s">
        <v>82</v>
      </c>
      <c r="F116" s="3" t="s">
        <v>78</v>
      </c>
      <c r="G116" s="12" t="s">
        <v>88</v>
      </c>
      <c r="H116" s="5" t="s">
        <v>71</v>
      </c>
      <c r="I116" s="6">
        <v>20.0</v>
      </c>
      <c r="J116" s="12" t="s">
        <v>94</v>
      </c>
      <c r="K116" s="3" t="s">
        <v>72</v>
      </c>
      <c r="L116" s="5" t="s">
        <v>66</v>
      </c>
      <c r="M116" s="3" t="s">
        <v>74</v>
      </c>
      <c r="N116" s="3" t="s">
        <v>84</v>
      </c>
      <c r="O116" s="3" t="s">
        <v>69</v>
      </c>
      <c r="P116" s="5" t="s">
        <v>76</v>
      </c>
      <c r="Q116" s="3"/>
      <c r="R116" s="13">
        <v>205.485952854156</v>
      </c>
      <c r="S116" s="13">
        <v>405.969983577728</v>
      </c>
      <c r="T116" s="13">
        <v>6.321659601026</v>
      </c>
      <c r="U116" s="13">
        <v>61.8866962184523</v>
      </c>
      <c r="V116" s="13">
        <v>7.86680978659407</v>
      </c>
      <c r="W116" s="13">
        <v>-1.29538088635562</v>
      </c>
      <c r="X116" s="13">
        <v>0.227892964267281</v>
      </c>
      <c r="Y116" s="13">
        <v>0.0814155513182812</v>
      </c>
      <c r="Z116" s="13">
        <v>0.285334104723359</v>
      </c>
      <c r="AA116" s="13">
        <v>-0.847971980112482</v>
      </c>
      <c r="AB116" s="13">
        <v>0.232304338451178</v>
      </c>
      <c r="AC116" s="13">
        <v>0.289390374136403</v>
      </c>
      <c r="AD116" s="13">
        <v>-0.881769189419285</v>
      </c>
      <c r="AE116" s="13">
        <v>0.228245730237556</v>
      </c>
      <c r="AF116" s="13">
        <v>0.290575680628704</v>
      </c>
      <c r="AG116" s="13">
        <v>-0.856747788020049</v>
      </c>
      <c r="AH116" s="13">
        <v>10.0</v>
      </c>
      <c r="AI116" s="13">
        <v>6.32165960102618</v>
      </c>
      <c r="AJ116" s="13">
        <v>61.8866962184523</v>
      </c>
      <c r="AK116" s="13">
        <v>7.86680978659407</v>
      </c>
      <c r="AL116" s="13">
        <v>-1.29565462779693</v>
      </c>
      <c r="AM116" s="13">
        <v>5.6914562920542</v>
      </c>
      <c r="AN116" s="13">
        <v>50.2690098828452</v>
      </c>
      <c r="AO116" s="13">
        <v>7.09006416634188</v>
      </c>
      <c r="AP116" s="13">
        <v>-0.881769189419285</v>
      </c>
      <c r="AQ116" s="13">
        <v>5.59202039082042</v>
      </c>
      <c r="AR116" s="13">
        <v>50.681644260244</v>
      </c>
      <c r="AS116" s="13">
        <v>7.11910417540325</v>
      </c>
      <c r="AT116" s="13">
        <v>-0.856747788020049</v>
      </c>
      <c r="AU116" s="4">
        <f t="shared" ref="AU116:AV116" si="225">(AB116-AB$36)/AB$37</f>
        <v>2.990095284</v>
      </c>
      <c r="AV116" s="4">
        <f t="shared" si="225"/>
        <v>2.879691833</v>
      </c>
      <c r="AW116" s="4">
        <f t="shared" si="5"/>
        <v>1.521385623</v>
      </c>
      <c r="AX116" s="4">
        <f t="shared" si="6"/>
        <v>1.469787585</v>
      </c>
      <c r="AY116" s="4">
        <f t="shared" si="7"/>
        <v>1.770176986</v>
      </c>
      <c r="AZ116" s="4">
        <f t="shared" si="8"/>
        <v>1.680074479</v>
      </c>
      <c r="BA116" s="4">
        <f t="shared" si="9"/>
        <v>1.914262523</v>
      </c>
      <c r="BB116" s="4">
        <f t="shared" si="10"/>
        <v>2.111994173</v>
      </c>
      <c r="BC116" s="4">
        <f t="shared" si="11"/>
        <v>2.389102433</v>
      </c>
      <c r="BD116" s="4">
        <f t="shared" ref="BD116:BE116" si="226">((R116-R$36)/R$37)</f>
        <v>0.2677215797</v>
      </c>
      <c r="BE116" s="4">
        <f t="shared" si="226"/>
        <v>1.628847059</v>
      </c>
      <c r="BF116" s="3"/>
    </row>
    <row r="117">
      <c r="A117" s="3" t="s">
        <v>57</v>
      </c>
      <c r="B117" s="4">
        <f t="shared" si="3"/>
        <v>-3.801983431</v>
      </c>
      <c r="C117" s="3" t="s">
        <v>59</v>
      </c>
      <c r="D117" s="3" t="s">
        <v>58</v>
      </c>
      <c r="E117" s="5" t="s">
        <v>82</v>
      </c>
      <c r="F117" s="3" t="s">
        <v>78</v>
      </c>
      <c r="G117" s="5" t="s">
        <v>88</v>
      </c>
      <c r="H117" s="5" t="s">
        <v>63</v>
      </c>
      <c r="I117" s="6">
        <v>20.0</v>
      </c>
      <c r="J117" s="5" t="s">
        <v>94</v>
      </c>
      <c r="K117" s="3" t="s">
        <v>65</v>
      </c>
      <c r="L117" s="5" t="s">
        <v>66</v>
      </c>
      <c r="M117" s="3" t="s">
        <v>79</v>
      </c>
      <c r="N117" s="3" t="s">
        <v>80</v>
      </c>
      <c r="O117" s="3" t="s">
        <v>69</v>
      </c>
      <c r="P117" s="5" t="s">
        <v>75</v>
      </c>
      <c r="Q117" s="3"/>
      <c r="R117" s="7">
        <v>649.338860988617</v>
      </c>
      <c r="S117" s="7">
        <v>335.961610555648</v>
      </c>
      <c r="T117" s="7">
        <v>9.70135110264777</v>
      </c>
      <c r="U117" s="7">
        <v>124.174572473461</v>
      </c>
      <c r="V117" s="7">
        <v>11.1433645041998</v>
      </c>
      <c r="W117" s="7">
        <v>-2.78778104771732</v>
      </c>
      <c r="X117" s="7">
        <v>0.425160179178097</v>
      </c>
      <c r="Y117" s="7">
        <v>0.204302348253812</v>
      </c>
      <c r="Z117" s="7">
        <v>0.451998172843445</v>
      </c>
      <c r="AA117" s="7">
        <v>-3.91627161317064</v>
      </c>
      <c r="AB117" s="7">
        <v>0.430430585905878</v>
      </c>
      <c r="AC117" s="7">
        <v>0.457470917494033</v>
      </c>
      <c r="AD117" s="7">
        <v>-3.93489100056809</v>
      </c>
      <c r="AE117" s="7">
        <v>0.363382686058006</v>
      </c>
      <c r="AF117" s="7">
        <v>0.420675905282463</v>
      </c>
      <c r="AG117" s="7">
        <v>-3.11059991226668</v>
      </c>
      <c r="AH117" s="14">
        <v>10.0</v>
      </c>
      <c r="AI117" s="7">
        <v>9.70135110264777</v>
      </c>
      <c r="AJ117" s="7">
        <v>124.174572473461</v>
      </c>
      <c r="AK117" s="7">
        <v>11.1433645041998</v>
      </c>
      <c r="AL117" s="7">
        <v>-2.7875629925712</v>
      </c>
      <c r="AM117" s="7">
        <v>11.9085795433951</v>
      </c>
      <c r="AN117" s="7">
        <v>160.191938043407</v>
      </c>
      <c r="AO117" s="7">
        <v>12.6566953840015</v>
      </c>
      <c r="AP117" s="7">
        <v>-3.93489100056809</v>
      </c>
      <c r="AQ117" s="7">
        <v>10.0535876476039</v>
      </c>
      <c r="AR117" s="7">
        <v>135.459338764208</v>
      </c>
      <c r="AS117" s="7">
        <v>11.6387000461481</v>
      </c>
      <c r="AT117" s="7">
        <v>-3.11059991226668</v>
      </c>
      <c r="AU117" s="4">
        <f t="shared" ref="AU117:AV117" si="227">(AB117-AB$36)/AB$37</f>
        <v>6.588885948</v>
      </c>
      <c r="AV117" s="4">
        <f t="shared" si="227"/>
        <v>5.292299069</v>
      </c>
      <c r="AW117" s="4">
        <f t="shared" si="5"/>
        <v>3.480709673</v>
      </c>
      <c r="AX117" s="4">
        <f t="shared" si="6"/>
        <v>3.000032578</v>
      </c>
      <c r="AY117" s="4">
        <f t="shared" si="7"/>
        <v>3.387287763</v>
      </c>
      <c r="AZ117" s="4">
        <f t="shared" si="8"/>
        <v>2.893429306</v>
      </c>
      <c r="BA117" s="4">
        <f t="shared" si="9"/>
        <v>5.321494141</v>
      </c>
      <c r="BB117" s="4">
        <f t="shared" si="10"/>
        <v>5.156050159</v>
      </c>
      <c r="BC117" s="4">
        <f t="shared" si="11"/>
        <v>4.295962469</v>
      </c>
      <c r="BD117" s="4">
        <f t="shared" ref="BD117:BE117" si="228">((R117-R$36)/R$37)</f>
        <v>1.252934375</v>
      </c>
      <c r="BE117" s="4">
        <f t="shared" si="228"/>
        <v>1.152732256</v>
      </c>
      <c r="BF117" s="3"/>
    </row>
    <row r="118">
      <c r="A118" s="3" t="s">
        <v>57</v>
      </c>
      <c r="B118" s="4">
        <f t="shared" si="3"/>
        <v>0.08783000466</v>
      </c>
      <c r="C118" s="3" t="s">
        <v>58</v>
      </c>
      <c r="D118" s="3" t="s">
        <v>59</v>
      </c>
      <c r="E118" s="5" t="s">
        <v>60</v>
      </c>
      <c r="F118" s="3" t="s">
        <v>78</v>
      </c>
      <c r="G118" s="12" t="s">
        <v>60</v>
      </c>
      <c r="H118" s="5" t="s">
        <v>63</v>
      </c>
      <c r="I118" s="6">
        <v>150.0</v>
      </c>
      <c r="J118" s="12" t="s">
        <v>94</v>
      </c>
      <c r="K118" s="3" t="s">
        <v>72</v>
      </c>
      <c r="L118" s="5" t="s">
        <v>66</v>
      </c>
      <c r="M118" s="3" t="s">
        <v>79</v>
      </c>
      <c r="N118" s="3" t="s">
        <v>68</v>
      </c>
      <c r="O118" s="3" t="s">
        <v>69</v>
      </c>
      <c r="P118" s="5" t="s">
        <v>87</v>
      </c>
      <c r="Q118" s="3"/>
      <c r="R118" s="13">
        <v>203.166849851608</v>
      </c>
      <c r="S118" s="13">
        <v>158.626188993453</v>
      </c>
      <c r="T118" s="13">
        <v>1.87747891598654</v>
      </c>
      <c r="U118" s="13">
        <v>5.98435542607466</v>
      </c>
      <c r="V118" s="13">
        <v>2.44629422312089</v>
      </c>
      <c r="W118" s="13">
        <v>0.770132953981072</v>
      </c>
      <c r="X118" s="13">
        <v>0.0618902525461788</v>
      </c>
      <c r="Y118" s="13">
        <v>0.00637109673580153</v>
      </c>
      <c r="Z118" s="13">
        <v>0.0798191501821557</v>
      </c>
      <c r="AA118" s="13">
        <v>0.863963833513117</v>
      </c>
      <c r="AB118" s="13">
        <v>0.0617717412269788</v>
      </c>
      <c r="AC118" s="13">
        <v>0.0794705859486293</v>
      </c>
      <c r="AD118" s="13">
        <v>0.866591852650356</v>
      </c>
      <c r="AE118" s="13">
        <v>0.0924483512554305</v>
      </c>
      <c r="AF118" s="13">
        <v>0.120806098807586</v>
      </c>
      <c r="AG118" s="13">
        <v>0.698698116273011</v>
      </c>
      <c r="AH118" s="13">
        <v>10.0</v>
      </c>
      <c r="AI118" s="13">
        <v>1.87747891598654</v>
      </c>
      <c r="AJ118" s="13">
        <v>5.98435542607466</v>
      </c>
      <c r="AK118" s="13">
        <v>2.44629422312089</v>
      </c>
      <c r="AL118" s="13">
        <v>0.769849380867071</v>
      </c>
      <c r="AM118" s="13">
        <v>1.44048268777914</v>
      </c>
      <c r="AN118" s="13">
        <v>3.43438698533493</v>
      </c>
      <c r="AO118" s="13">
        <v>1.8532099139965</v>
      </c>
      <c r="AP118" s="13">
        <v>0.866591852650356</v>
      </c>
      <c r="AQ118" s="13">
        <v>2.15584419108151</v>
      </c>
      <c r="AR118" s="13">
        <v>7.93622768920334</v>
      </c>
      <c r="AS118" s="13">
        <v>2.81713110969357</v>
      </c>
      <c r="AT118" s="13">
        <v>0.698698116273011</v>
      </c>
      <c r="AU118" s="4">
        <f t="shared" ref="AU118:AV118" si="229">(AB118-AB$36)/AB$37</f>
        <v>-0.1074807646</v>
      </c>
      <c r="AV118" s="4">
        <f t="shared" si="229"/>
        <v>-0.1334707245</v>
      </c>
      <c r="AW118" s="4">
        <f t="shared" si="5"/>
        <v>0.01236821206</v>
      </c>
      <c r="AX118" s="4">
        <f t="shared" si="6"/>
        <v>0.01322533301</v>
      </c>
      <c r="AY118" s="4">
        <f t="shared" si="7"/>
        <v>-0.3562693133</v>
      </c>
      <c r="AZ118" s="4">
        <f t="shared" si="8"/>
        <v>-0.327219552</v>
      </c>
      <c r="BA118" s="4">
        <f t="shared" si="9"/>
        <v>-0.03687843766</v>
      </c>
      <c r="BB118" s="4">
        <f t="shared" si="10"/>
        <v>0.0112066522</v>
      </c>
      <c r="BC118" s="4">
        <f t="shared" si="11"/>
        <v>-0.2508901714</v>
      </c>
      <c r="BD118" s="4">
        <f t="shared" ref="BD118:BE118" si="230">((R118-R$36)/R$37)</f>
        <v>0.262573906</v>
      </c>
      <c r="BE118" s="4">
        <f t="shared" si="230"/>
        <v>-0.05329519093</v>
      </c>
      <c r="BF118" s="3"/>
    </row>
    <row r="119">
      <c r="A119" s="3" t="s">
        <v>77</v>
      </c>
      <c r="B119" s="4">
        <f t="shared" si="3"/>
        <v>0.1079241374</v>
      </c>
      <c r="C119" s="3" t="s">
        <v>58</v>
      </c>
      <c r="D119" s="3" t="s">
        <v>59</v>
      </c>
      <c r="E119" s="5" t="s">
        <v>60</v>
      </c>
      <c r="F119" s="3" t="s">
        <v>61</v>
      </c>
      <c r="G119" s="12" t="s">
        <v>62</v>
      </c>
      <c r="H119" s="5" t="s">
        <v>71</v>
      </c>
      <c r="I119" s="6">
        <v>150.0</v>
      </c>
      <c r="J119" s="12" t="s">
        <v>94</v>
      </c>
      <c r="K119" s="3" t="s">
        <v>65</v>
      </c>
      <c r="L119" s="5" t="s">
        <v>66</v>
      </c>
      <c r="M119" s="3" t="s">
        <v>74</v>
      </c>
      <c r="N119" s="3" t="s">
        <v>80</v>
      </c>
      <c r="O119" s="3" t="s">
        <v>69</v>
      </c>
      <c r="P119" s="5" t="s">
        <v>70</v>
      </c>
      <c r="Q119" s="3"/>
      <c r="R119" s="13">
        <v>722.814130306243</v>
      </c>
      <c r="S119" s="13">
        <v>171.767558574676</v>
      </c>
      <c r="T119" s="13">
        <v>1.54140108611225</v>
      </c>
      <c r="U119" s="13">
        <v>4.01106848043347</v>
      </c>
      <c r="V119" s="13">
        <v>2.00276520851383</v>
      </c>
      <c r="W119" s="13">
        <v>0.847056798108705</v>
      </c>
      <c r="X119" s="13">
        <v>0.0494512064626585</v>
      </c>
      <c r="Y119" s="13">
        <v>0.00405141679932084</v>
      </c>
      <c r="Z119" s="13">
        <v>0.0636507407601894</v>
      </c>
      <c r="AA119" s="13">
        <v>0.915199323609475</v>
      </c>
      <c r="AB119" s="13">
        <v>0.049352857791279</v>
      </c>
      <c r="AC119" s="13">
        <v>0.0635174499192507</v>
      </c>
      <c r="AD119" s="13">
        <v>0.915978858007816</v>
      </c>
      <c r="AE119" s="13">
        <v>0.0747366754607229</v>
      </c>
      <c r="AF119" s="13">
        <v>0.0957237766091058</v>
      </c>
      <c r="AG119" s="13">
        <v>0.810574047361155</v>
      </c>
      <c r="AH119" s="13">
        <v>10.0</v>
      </c>
      <c r="AI119" s="13">
        <v>1.54140108611225</v>
      </c>
      <c r="AJ119" s="13">
        <v>4.01106848043347</v>
      </c>
      <c r="AK119" s="13">
        <v>2.00276520851383</v>
      </c>
      <c r="AL119" s="13">
        <v>0.846997605261183</v>
      </c>
      <c r="AM119" s="13">
        <v>1.1508812254383</v>
      </c>
      <c r="AN119" s="13">
        <v>2.19392868816541</v>
      </c>
      <c r="AO119" s="13">
        <v>1.48119164464474</v>
      </c>
      <c r="AP119" s="13">
        <v>0.915978858007816</v>
      </c>
      <c r="AQ119" s="13">
        <v>1.74281775136882</v>
      </c>
      <c r="AR119" s="13">
        <v>4.98282974821057</v>
      </c>
      <c r="AS119" s="13">
        <v>2.23222529064845</v>
      </c>
      <c r="AT119" s="13">
        <v>0.810574047361155</v>
      </c>
      <c r="AU119" s="4">
        <f t="shared" ref="AU119:AV119" si="231">(AB119-AB$36)/AB$37</f>
        <v>-0.333058962</v>
      </c>
      <c r="AV119" s="4">
        <f t="shared" si="231"/>
        <v>-0.362460057</v>
      </c>
      <c r="AW119" s="4">
        <f t="shared" si="5"/>
        <v>-0.169014829</v>
      </c>
      <c r="AX119" s="4">
        <f t="shared" si="6"/>
        <v>-0.184812108</v>
      </c>
      <c r="AY119" s="4">
        <f t="shared" si="7"/>
        <v>-0.5170754344</v>
      </c>
      <c r="AZ119" s="4">
        <f t="shared" si="8"/>
        <v>-0.4914646562</v>
      </c>
      <c r="BA119" s="4">
        <f t="shared" si="9"/>
        <v>-0.09199348926</v>
      </c>
      <c r="BB119" s="4">
        <f t="shared" si="10"/>
        <v>-0.1398931445</v>
      </c>
      <c r="BC119" s="4">
        <f t="shared" si="11"/>
        <v>-0.3494960036</v>
      </c>
      <c r="BD119" s="4">
        <f t="shared" ref="BD119:BE119" si="232">((R119-R$36)/R$37)</f>
        <v>1.416026188</v>
      </c>
      <c r="BE119" s="4">
        <f t="shared" si="232"/>
        <v>0.03607698448</v>
      </c>
      <c r="BF119" s="3"/>
    </row>
    <row r="120">
      <c r="A120" s="3" t="s">
        <v>57</v>
      </c>
      <c r="B120" s="4">
        <f t="shared" si="3"/>
        <v>-0.07156970496</v>
      </c>
      <c r="C120" s="3" t="s">
        <v>58</v>
      </c>
      <c r="D120" s="3" t="s">
        <v>59</v>
      </c>
      <c r="E120" s="5" t="s">
        <v>82</v>
      </c>
      <c r="F120" s="3" t="s">
        <v>61</v>
      </c>
      <c r="G120" s="12" t="s">
        <v>83</v>
      </c>
      <c r="H120" s="5" t="s">
        <v>63</v>
      </c>
      <c r="I120" s="6">
        <v>150.0</v>
      </c>
      <c r="J120" s="12" t="s">
        <v>94</v>
      </c>
      <c r="K120" s="3" t="s">
        <v>72</v>
      </c>
      <c r="L120" s="5" t="s">
        <v>73</v>
      </c>
      <c r="M120" s="3" t="s">
        <v>74</v>
      </c>
      <c r="N120" s="3" t="s">
        <v>84</v>
      </c>
      <c r="O120" s="3" t="s">
        <v>69</v>
      </c>
      <c r="P120" s="5" t="s">
        <v>87</v>
      </c>
      <c r="Q120" s="5" t="s">
        <v>87</v>
      </c>
      <c r="R120" s="13">
        <v>354.03609251976</v>
      </c>
      <c r="S120" s="13">
        <v>422.543958902359</v>
      </c>
      <c r="T120" s="13">
        <v>1.84471924698018</v>
      </c>
      <c r="U120" s="13">
        <v>5.38210961324825</v>
      </c>
      <c r="V120" s="13">
        <v>2.31993741580419</v>
      </c>
      <c r="W120" s="13">
        <v>0.800630724358903</v>
      </c>
      <c r="X120" s="13">
        <v>0.0639664503776031</v>
      </c>
      <c r="Y120" s="13">
        <v>0.0063334195274246</v>
      </c>
      <c r="Z120" s="13">
        <v>0.0795827841145596</v>
      </c>
      <c r="AA120" s="13">
        <v>0.858105545555521</v>
      </c>
      <c r="AB120" s="13">
        <v>0.0638786801381011</v>
      </c>
      <c r="AC120" s="13">
        <v>0.0794442691862783</v>
      </c>
      <c r="AD120" s="13">
        <v>0.859263398495421</v>
      </c>
      <c r="AE120" s="13">
        <v>0.0800446042083455</v>
      </c>
      <c r="AF120" s="13">
        <v>0.0997482217230453</v>
      </c>
      <c r="AG120" s="13">
        <v>0.779207793568654</v>
      </c>
      <c r="AH120" s="13">
        <v>10.0</v>
      </c>
      <c r="AI120" s="13">
        <v>1.84471924698013</v>
      </c>
      <c r="AJ120" s="13">
        <v>5.38210961324824</v>
      </c>
      <c r="AK120" s="13">
        <v>2.31993741580419</v>
      </c>
      <c r="AL120" s="13">
        <v>0.800592921915392</v>
      </c>
      <c r="AM120" s="13">
        <v>1.56502766338351</v>
      </c>
      <c r="AN120" s="13">
        <v>3.78841299190176</v>
      </c>
      <c r="AO120" s="13">
        <v>1.94638459506382</v>
      </c>
      <c r="AP120" s="13">
        <v>0.859263398495421</v>
      </c>
      <c r="AQ120" s="13">
        <v>1.96109280310454</v>
      </c>
      <c r="AR120" s="13">
        <v>5.9723120690801</v>
      </c>
      <c r="AS120" s="13">
        <v>2.4438314322146</v>
      </c>
      <c r="AT120" s="13">
        <v>0.779207793568654</v>
      </c>
      <c r="AU120" s="4">
        <f t="shared" ref="AU120:AV120" si="233">(AB120-AB$36)/AB$37</f>
        <v>-0.06921005501</v>
      </c>
      <c r="AV120" s="4">
        <f t="shared" si="233"/>
        <v>-0.1338484721</v>
      </c>
      <c r="AW120" s="4">
        <f t="shared" si="5"/>
        <v>-0.07315802936</v>
      </c>
      <c r="AX120" s="4">
        <f t="shared" si="6"/>
        <v>-0.1131664902</v>
      </c>
      <c r="AY120" s="4">
        <f t="shared" si="7"/>
        <v>-0.3719441209</v>
      </c>
      <c r="AZ120" s="4">
        <f t="shared" si="8"/>
        <v>-0.3740112755</v>
      </c>
      <c r="BA120" s="4">
        <f t="shared" si="9"/>
        <v>-0.02870000841</v>
      </c>
      <c r="BB120" s="4">
        <f t="shared" si="10"/>
        <v>-0.09752983609</v>
      </c>
      <c r="BC120" s="4">
        <f t="shared" si="11"/>
        <v>-0.2901845618</v>
      </c>
      <c r="BD120" s="4">
        <f t="shared" ref="BD120:BE120" si="234">((R120-R$36)/R$37)</f>
        <v>0.5974558129</v>
      </c>
      <c r="BE120" s="4">
        <f t="shared" si="234"/>
        <v>1.741563791</v>
      </c>
      <c r="BF120" s="3"/>
    </row>
    <row r="121">
      <c r="A121" s="3" t="s">
        <v>57</v>
      </c>
      <c r="B121" s="4">
        <f t="shared" si="3"/>
        <v>-0.2601755037</v>
      </c>
      <c r="C121" s="3" t="s">
        <v>59</v>
      </c>
      <c r="D121" s="3" t="s">
        <v>58</v>
      </c>
      <c r="E121" s="5" t="s">
        <v>60</v>
      </c>
      <c r="F121" s="3" t="s">
        <v>61</v>
      </c>
      <c r="G121" s="5" t="s">
        <v>62</v>
      </c>
      <c r="H121" s="5" t="s">
        <v>63</v>
      </c>
      <c r="I121" s="6">
        <v>150.0</v>
      </c>
      <c r="J121" s="5" t="s">
        <v>94</v>
      </c>
      <c r="K121" s="3" t="s">
        <v>65</v>
      </c>
      <c r="L121" s="5" t="s">
        <v>66</v>
      </c>
      <c r="M121" s="3" t="s">
        <v>74</v>
      </c>
      <c r="N121" s="3" t="s">
        <v>68</v>
      </c>
      <c r="O121" s="3" t="s">
        <v>69</v>
      </c>
      <c r="P121" s="5" t="s">
        <v>81</v>
      </c>
      <c r="Q121" s="3"/>
      <c r="R121" s="7">
        <v>261.155232906341</v>
      </c>
      <c r="S121" s="7">
        <v>134.430855989456</v>
      </c>
      <c r="T121" s="7">
        <v>2.71254394960124</v>
      </c>
      <c r="U121" s="7">
        <v>11.2435902667041</v>
      </c>
      <c r="V121" s="7">
        <v>3.35314632348546</v>
      </c>
      <c r="W121" s="7">
        <v>0.668413881611972</v>
      </c>
      <c r="X121" s="7">
        <v>0.130204805771053</v>
      </c>
      <c r="Y121" s="7">
        <v>0.024328258442696</v>
      </c>
      <c r="Z121" s="7">
        <v>0.15597518534272</v>
      </c>
      <c r="AA121" s="7">
        <v>0.480357336692472</v>
      </c>
      <c r="AB121" s="7">
        <v>0.130819319744224</v>
      </c>
      <c r="AC121" s="7">
        <v>0.156448435089083</v>
      </c>
      <c r="AD121" s="7">
        <v>0.481357622593005</v>
      </c>
      <c r="AE121" s="7">
        <v>0.090725978065867</v>
      </c>
      <c r="AF121" s="7">
        <v>0.117201973405618</v>
      </c>
      <c r="AG121" s="7">
        <v>0.711238014912818</v>
      </c>
      <c r="AH121" s="14">
        <v>10.0</v>
      </c>
      <c r="AI121" s="7">
        <v>2.71254394960124</v>
      </c>
      <c r="AJ121" s="7">
        <v>11.2435902667041</v>
      </c>
      <c r="AK121" s="7">
        <v>3.35314632348546</v>
      </c>
      <c r="AL121" s="7">
        <v>0.668378431408957</v>
      </c>
      <c r="AM121" s="7">
        <v>3.499416803158</v>
      </c>
      <c r="AN121" s="7">
        <v>17.5141884953771</v>
      </c>
      <c r="AO121" s="7">
        <v>4.18499563863299</v>
      </c>
      <c r="AP121" s="7">
        <v>0.481357622593004</v>
      </c>
      <c r="AQ121" s="7">
        <v>2.42691991326193</v>
      </c>
      <c r="AR121" s="7">
        <v>9.82918300786821</v>
      </c>
      <c r="AS121" s="7">
        <v>3.13515278860029</v>
      </c>
      <c r="AT121" s="7">
        <v>0.711238014912818</v>
      </c>
      <c r="AU121" s="4">
        <f t="shared" ref="AU121:AV121" si="235">(AB121-AB$36)/AB$37</f>
        <v>1.14670834</v>
      </c>
      <c r="AV121" s="4">
        <f t="shared" si="235"/>
        <v>0.9714597578</v>
      </c>
      <c r="AW121" s="4">
        <f t="shared" si="5"/>
        <v>0.1314127431</v>
      </c>
      <c r="AX121" s="4">
        <f t="shared" si="6"/>
        <v>0.1209011287</v>
      </c>
      <c r="AY121" s="4">
        <f t="shared" si="7"/>
        <v>0.04329161271</v>
      </c>
      <c r="AZ121" s="4">
        <f t="shared" si="8"/>
        <v>0.008600682533</v>
      </c>
      <c r="BA121" s="4">
        <f t="shared" si="9"/>
        <v>0.3930363611</v>
      </c>
      <c r="BB121" s="4">
        <f t="shared" si="10"/>
        <v>-0.005729753305</v>
      </c>
      <c r="BC121" s="4">
        <f t="shared" si="11"/>
        <v>-0.1211966172</v>
      </c>
      <c r="BD121" s="4">
        <f t="shared" ref="BD121:BE121" si="236">((R121-R$36)/R$37)</f>
        <v>0.3912897393</v>
      </c>
      <c r="BE121" s="4">
        <f t="shared" si="236"/>
        <v>-0.2178434545</v>
      </c>
      <c r="BF121" s="3"/>
    </row>
    <row r="122">
      <c r="A122" s="3" t="s">
        <v>77</v>
      </c>
      <c r="B122" s="4">
        <f t="shared" si="3"/>
        <v>-0.08658694529</v>
      </c>
      <c r="C122" s="3" t="s">
        <v>59</v>
      </c>
      <c r="D122" s="3" t="s">
        <v>58</v>
      </c>
      <c r="E122" s="5" t="s">
        <v>60</v>
      </c>
      <c r="F122" s="3" t="s">
        <v>61</v>
      </c>
      <c r="G122" s="5" t="s">
        <v>62</v>
      </c>
      <c r="H122" s="5" t="s">
        <v>71</v>
      </c>
      <c r="I122" s="6">
        <v>150.0</v>
      </c>
      <c r="J122" s="5" t="s">
        <v>94</v>
      </c>
      <c r="K122" s="3" t="s">
        <v>65</v>
      </c>
      <c r="L122" s="5" t="s">
        <v>66</v>
      </c>
      <c r="M122" s="3" t="s">
        <v>67</v>
      </c>
      <c r="N122" s="3" t="s">
        <v>84</v>
      </c>
      <c r="O122" s="3" t="s">
        <v>69</v>
      </c>
      <c r="P122" s="5" t="s">
        <v>75</v>
      </c>
      <c r="Q122" s="3"/>
      <c r="R122" s="7">
        <v>784.320669651031</v>
      </c>
      <c r="S122" s="7">
        <v>128.373393297195</v>
      </c>
      <c r="T122" s="7">
        <v>2.36269074789965</v>
      </c>
      <c r="U122" s="7">
        <v>8.81067566246515</v>
      </c>
      <c r="V122" s="7">
        <v>2.96827823198317</v>
      </c>
      <c r="W122" s="7">
        <v>0.737148606530286</v>
      </c>
      <c r="X122" s="7">
        <v>0.0616015181942156</v>
      </c>
      <c r="Y122" s="7">
        <v>0.00572110054730801</v>
      </c>
      <c r="Z122" s="7">
        <v>0.0756379570540348</v>
      </c>
      <c r="AA122" s="7">
        <v>0.876412667228444</v>
      </c>
      <c r="AB122" s="7">
        <v>0.0618217942445145</v>
      </c>
      <c r="AC122" s="7">
        <v>0.0757645533203459</v>
      </c>
      <c r="AD122" s="7">
        <v>0.877084459033455</v>
      </c>
      <c r="AE122" s="7">
        <v>0.099266037331392</v>
      </c>
      <c r="AF122" s="7">
        <v>0.124439220613293</v>
      </c>
      <c r="AG122" s="7">
        <v>0.670260194712261</v>
      </c>
      <c r="AH122" s="14">
        <v>10.0</v>
      </c>
      <c r="AI122" s="7">
        <v>2.36269074789965</v>
      </c>
      <c r="AJ122" s="7">
        <v>8.81067566246515</v>
      </c>
      <c r="AK122" s="7">
        <v>2.96827823198317</v>
      </c>
      <c r="AL122" s="7">
        <v>0.737076920384683</v>
      </c>
      <c r="AM122" s="7">
        <v>1.65373299604076</v>
      </c>
      <c r="AN122" s="7">
        <v>4.10752019147069</v>
      </c>
      <c r="AO122" s="7">
        <v>2.02670180131925</v>
      </c>
      <c r="AP122" s="7">
        <v>0.877084459033455</v>
      </c>
      <c r="AQ122" s="7">
        <v>2.65536649861473</v>
      </c>
      <c r="AR122" s="7">
        <v>11.0805709129835</v>
      </c>
      <c r="AS122" s="7">
        <v>3.3287491514056</v>
      </c>
      <c r="AT122" s="7">
        <v>0.670260194712261</v>
      </c>
      <c r="AU122" s="4">
        <f t="shared" ref="AU122:AV122" si="237">(AB122-AB$36)/AB$37</f>
        <v>-0.1065715952</v>
      </c>
      <c r="AV122" s="4">
        <f t="shared" si="237"/>
        <v>-0.1866666564</v>
      </c>
      <c r="AW122" s="4">
        <f t="shared" si="5"/>
        <v>0.2317364328</v>
      </c>
      <c r="AX122" s="4">
        <f t="shared" si="6"/>
        <v>0.1864489947</v>
      </c>
      <c r="AY122" s="4">
        <f t="shared" si="7"/>
        <v>-0.124105732</v>
      </c>
      <c r="AZ122" s="4">
        <f t="shared" si="8"/>
        <v>-0.1339214473</v>
      </c>
      <c r="BA122" s="4">
        <f t="shared" si="9"/>
        <v>-0.04858800656</v>
      </c>
      <c r="BB122" s="4">
        <f t="shared" si="10"/>
        <v>0.04961495079</v>
      </c>
      <c r="BC122" s="4">
        <f t="shared" si="11"/>
        <v>-0.2090025483</v>
      </c>
      <c r="BD122" s="4">
        <f t="shared" ref="BD122:BE122" si="238">((R122-R$36)/R$37)</f>
        <v>1.552551213</v>
      </c>
      <c r="BE122" s="4">
        <f t="shared" si="238"/>
        <v>-0.2590392077</v>
      </c>
      <c r="BF122" s="3"/>
    </row>
    <row r="123">
      <c r="A123" s="3" t="s">
        <v>57</v>
      </c>
      <c r="B123" s="4">
        <f t="shared" si="3"/>
        <v>-0.4384207919</v>
      </c>
      <c r="C123" s="3" t="s">
        <v>58</v>
      </c>
      <c r="D123" s="3" t="s">
        <v>59</v>
      </c>
      <c r="E123" s="5" t="s">
        <v>60</v>
      </c>
      <c r="F123" s="3" t="s">
        <v>61</v>
      </c>
      <c r="G123" s="12" t="s">
        <v>62</v>
      </c>
      <c r="H123" s="5" t="s">
        <v>63</v>
      </c>
      <c r="I123" s="6">
        <v>150.0</v>
      </c>
      <c r="J123" s="12" t="s">
        <v>94</v>
      </c>
      <c r="K123" s="3" t="s">
        <v>65</v>
      </c>
      <c r="L123" s="5" t="s">
        <v>66</v>
      </c>
      <c r="M123" s="3" t="s">
        <v>67</v>
      </c>
      <c r="N123" s="3" t="s">
        <v>80</v>
      </c>
      <c r="O123" s="3" t="s">
        <v>69</v>
      </c>
      <c r="P123" s="5" t="s">
        <v>70</v>
      </c>
      <c r="Q123" s="3"/>
      <c r="R123" s="13">
        <v>134.149076223373</v>
      </c>
      <c r="S123" s="13">
        <v>165.738556146621</v>
      </c>
      <c r="T123" s="13">
        <v>2.96680691380901</v>
      </c>
      <c r="U123" s="13">
        <v>13.7044388410419</v>
      </c>
      <c r="V123" s="13">
        <v>3.70195068052533</v>
      </c>
      <c r="W123" s="13">
        <v>0.473706192692858</v>
      </c>
      <c r="X123" s="13">
        <v>0.14220113323136</v>
      </c>
      <c r="Y123" s="13">
        <v>0.0289147097635211</v>
      </c>
      <c r="Z123" s="13">
        <v>0.170043258506537</v>
      </c>
      <c r="AA123" s="13">
        <v>0.391794035006377</v>
      </c>
      <c r="AB123" s="13">
        <v>0.142857579001476</v>
      </c>
      <c r="AC123" s="13">
        <v>0.170639214083986</v>
      </c>
      <c r="AD123" s="13">
        <v>0.390502287066819</v>
      </c>
      <c r="AE123" s="13">
        <v>0.13565467118123</v>
      </c>
      <c r="AF123" s="13">
        <v>0.168766520424112</v>
      </c>
      <c r="AG123" s="13">
        <v>0.406321092247673</v>
      </c>
      <c r="AH123" s="13">
        <v>10.0</v>
      </c>
      <c r="AI123" s="13">
        <v>2.96680691380901</v>
      </c>
      <c r="AJ123" s="13">
        <v>13.7044388410419</v>
      </c>
      <c r="AK123" s="13">
        <v>3.70195068052533</v>
      </c>
      <c r="AL123" s="13">
        <v>0.473662130145656</v>
      </c>
      <c r="AM123" s="13">
        <v>3.33135937699275</v>
      </c>
      <c r="AN123" s="13">
        <v>15.8341255375461</v>
      </c>
      <c r="AO123" s="13">
        <v>3.97921167287518</v>
      </c>
      <c r="AP123" s="13">
        <v>0.390502287066819</v>
      </c>
      <c r="AQ123" s="13">
        <v>3.1633915682401</v>
      </c>
      <c r="AR123" s="13">
        <v>15.4884868754927</v>
      </c>
      <c r="AS123" s="13">
        <v>3.93554149711227</v>
      </c>
      <c r="AT123" s="13">
        <v>0.406321092247673</v>
      </c>
      <c r="AU123" s="4">
        <f t="shared" ref="AU123:AV123" si="239">(AB123-AB$36)/AB$37</f>
        <v>1.365372831</v>
      </c>
      <c r="AV123" s="4">
        <f t="shared" si="239"/>
        <v>1.175152436</v>
      </c>
      <c r="AW123" s="4">
        <f t="shared" si="5"/>
        <v>0.4548386925</v>
      </c>
      <c r="AX123" s="4">
        <f t="shared" si="6"/>
        <v>0.391896777</v>
      </c>
      <c r="AY123" s="4">
        <f t="shared" si="7"/>
        <v>0.164951054</v>
      </c>
      <c r="AZ123" s="4">
        <f t="shared" si="8"/>
        <v>0.1377678984</v>
      </c>
      <c r="BA123" s="4">
        <f t="shared" si="9"/>
        <v>0.4944293585</v>
      </c>
      <c r="BB123" s="4">
        <f t="shared" si="10"/>
        <v>0.4060914899</v>
      </c>
      <c r="BC123" s="4">
        <f t="shared" si="11"/>
        <v>0.1276770684</v>
      </c>
      <c r="BD123" s="4">
        <f t="shared" ref="BD123:BE123" si="240">((R123-R$36)/R$37)</f>
        <v>0.1093763208</v>
      </c>
      <c r="BE123" s="4">
        <f t="shared" si="240"/>
        <v>-0.004925215422</v>
      </c>
      <c r="BF123" s="3"/>
    </row>
    <row r="124">
      <c r="A124" s="3" t="s">
        <v>57</v>
      </c>
      <c r="B124" s="4">
        <f t="shared" si="3"/>
        <v>-0.5012036512</v>
      </c>
      <c r="C124" s="3" t="s">
        <v>59</v>
      </c>
      <c r="D124" s="3" t="s">
        <v>58</v>
      </c>
      <c r="E124" s="5" t="s">
        <v>60</v>
      </c>
      <c r="F124" s="3" t="s">
        <v>78</v>
      </c>
      <c r="G124" s="5" t="s">
        <v>60</v>
      </c>
      <c r="H124" s="5" t="s">
        <v>63</v>
      </c>
      <c r="I124" s="6">
        <v>150.0</v>
      </c>
      <c r="J124" s="5" t="s">
        <v>94</v>
      </c>
      <c r="K124" s="3" t="s">
        <v>72</v>
      </c>
      <c r="L124" s="5" t="s">
        <v>73</v>
      </c>
      <c r="M124" s="3" t="s">
        <v>67</v>
      </c>
      <c r="N124" s="3" t="s">
        <v>80</v>
      </c>
      <c r="O124" s="3" t="s">
        <v>69</v>
      </c>
      <c r="P124" s="5" t="s">
        <v>75</v>
      </c>
      <c r="Q124" s="5" t="s">
        <v>75</v>
      </c>
      <c r="R124" s="7">
        <v>336.314118623733</v>
      </c>
      <c r="S124" s="7">
        <v>125.23318362236</v>
      </c>
      <c r="T124" s="7">
        <v>3.36696003696734</v>
      </c>
      <c r="U124" s="7">
        <v>21.611918703187</v>
      </c>
      <c r="V124" s="7">
        <v>4.64886208691837</v>
      </c>
      <c r="W124" s="7">
        <v>0.35235061851814</v>
      </c>
      <c r="X124" s="7">
        <v>0.114322370400051</v>
      </c>
      <c r="Y124" s="7">
        <v>0.0245691124402642</v>
      </c>
      <c r="Z124" s="7">
        <v>0.156745374541848</v>
      </c>
      <c r="AA124" s="7">
        <v>0.455719434566726</v>
      </c>
      <c r="AB124" s="7">
        <v>0.11661615512722</v>
      </c>
      <c r="AC124" s="7">
        <v>0.158222929022459</v>
      </c>
      <c r="AD124" s="7">
        <v>0.457813418589939</v>
      </c>
      <c r="AE124" s="7">
        <v>0.129058122253781</v>
      </c>
      <c r="AF124" s="7">
        <v>0.179670889353506</v>
      </c>
      <c r="AG124" s="7">
        <v>0.311338495876933</v>
      </c>
      <c r="AH124" s="14">
        <v>10.0</v>
      </c>
      <c r="AI124" s="7">
        <v>3.36696003696734</v>
      </c>
      <c r="AJ124" s="7">
        <v>21.611918703187</v>
      </c>
      <c r="AK124" s="7">
        <v>4.64886208691837</v>
      </c>
      <c r="AL124" s="7">
        <v>0.352185022416534</v>
      </c>
      <c r="AM124" s="7">
        <v>3.11948214965315</v>
      </c>
      <c r="AN124" s="7">
        <v>17.9137460205275</v>
      </c>
      <c r="AO124" s="7">
        <v>4.23246335135078</v>
      </c>
      <c r="AP124" s="7">
        <v>0.457813418589939</v>
      </c>
      <c r="AQ124" s="7">
        <v>3.45230477028864</v>
      </c>
      <c r="AR124" s="7">
        <v>23.0995227799928</v>
      </c>
      <c r="AS124" s="7">
        <v>4.8061962902063</v>
      </c>
      <c r="AT124" s="7">
        <v>0.311338495876933</v>
      </c>
      <c r="AU124" s="4">
        <f t="shared" ref="AU124:AV124" si="241">(AB124-AB$36)/AB$37</f>
        <v>0.8887202296</v>
      </c>
      <c r="AV124" s="4">
        <f t="shared" si="241"/>
        <v>0.9969306232</v>
      </c>
      <c r="AW124" s="4">
        <f t="shared" si="5"/>
        <v>0.58171666</v>
      </c>
      <c r="AX124" s="4">
        <f t="shared" si="6"/>
        <v>0.6866831197</v>
      </c>
      <c r="AY124" s="4">
        <f t="shared" si="7"/>
        <v>0.3564158454</v>
      </c>
      <c r="AZ124" s="4">
        <f t="shared" si="8"/>
        <v>0.4884226639</v>
      </c>
      <c r="BA124" s="4">
        <f t="shared" si="9"/>
        <v>0.4193112893</v>
      </c>
      <c r="BB124" s="4">
        <f t="shared" si="10"/>
        <v>0.5343751239</v>
      </c>
      <c r="BC124" s="4">
        <f t="shared" si="11"/>
        <v>0.2829411902</v>
      </c>
      <c r="BD124" s="4">
        <f t="shared" ref="BD124:BE124" si="242">((R124-R$36)/R$37)</f>
        <v>0.5581186471</v>
      </c>
      <c r="BE124" s="4">
        <f t="shared" si="242"/>
        <v>-0.2803952291</v>
      </c>
      <c r="BF124" s="3"/>
    </row>
    <row r="125">
      <c r="A125" s="3" t="s">
        <v>57</v>
      </c>
      <c r="B125" s="4">
        <f t="shared" si="3"/>
        <v>-0.6173007451</v>
      </c>
      <c r="C125" s="3" t="s">
        <v>59</v>
      </c>
      <c r="D125" s="3" t="s">
        <v>58</v>
      </c>
      <c r="E125" s="5" t="s">
        <v>82</v>
      </c>
      <c r="F125" s="3" t="s">
        <v>61</v>
      </c>
      <c r="G125" s="5" t="s">
        <v>83</v>
      </c>
      <c r="H125" s="5" t="s">
        <v>63</v>
      </c>
      <c r="I125" s="6">
        <v>150.0</v>
      </c>
      <c r="J125" s="5" t="s">
        <v>94</v>
      </c>
      <c r="K125" s="3" t="s">
        <v>72</v>
      </c>
      <c r="L125" s="5" t="s">
        <v>73</v>
      </c>
      <c r="M125" s="3" t="s">
        <v>79</v>
      </c>
      <c r="N125" s="3" t="s">
        <v>80</v>
      </c>
      <c r="O125" s="3" t="s">
        <v>69</v>
      </c>
      <c r="P125" s="5" t="s">
        <v>76</v>
      </c>
      <c r="Q125" s="5" t="s">
        <v>75</v>
      </c>
      <c r="R125" s="7">
        <v>521.846090078353</v>
      </c>
      <c r="S125" s="7">
        <v>325.4116461277</v>
      </c>
      <c r="T125" s="7">
        <v>3.41547251804681</v>
      </c>
      <c r="U125" s="7">
        <v>17.7013955235872</v>
      </c>
      <c r="V125" s="7">
        <v>4.20730264226229</v>
      </c>
      <c r="W125" s="7">
        <v>0.466052865056991</v>
      </c>
      <c r="X125" s="7">
        <v>0.125868802320954</v>
      </c>
      <c r="Y125" s="7">
        <v>0.0229990027322144</v>
      </c>
      <c r="Z125" s="7">
        <v>0.151654220950867</v>
      </c>
      <c r="AA125" s="7">
        <v>0.464693723019233</v>
      </c>
      <c r="AB125" s="7">
        <v>0.126384111835382</v>
      </c>
      <c r="AC125" s="7">
        <v>0.152006856648246</v>
      </c>
      <c r="AD125" s="7">
        <v>0.46627984294117</v>
      </c>
      <c r="AE125" s="7">
        <v>0.126526020404316</v>
      </c>
      <c r="AF125" s="7">
        <v>0.157512126009879</v>
      </c>
      <c r="AG125" s="7">
        <v>0.428657055508833</v>
      </c>
      <c r="AH125" s="14">
        <v>10.0</v>
      </c>
      <c r="AI125" s="7">
        <v>3.41547251804683</v>
      </c>
      <c r="AJ125" s="7">
        <v>17.7013955235872</v>
      </c>
      <c r="AK125" s="7">
        <v>4.20730264226229</v>
      </c>
      <c r="AL125" s="7">
        <v>0.466034413099855</v>
      </c>
      <c r="AM125" s="7">
        <v>3.49662709411249</v>
      </c>
      <c r="AN125" s="7">
        <v>17.6864239889562</v>
      </c>
      <c r="AO125" s="7">
        <v>4.20552303393481</v>
      </c>
      <c r="AP125" s="7">
        <v>0.46627984294117</v>
      </c>
      <c r="AQ125" s="7">
        <v>3.50055323118632</v>
      </c>
      <c r="AR125" s="7">
        <v>18.9907301254231</v>
      </c>
      <c r="AS125" s="7">
        <v>4.35783548627333</v>
      </c>
      <c r="AT125" s="7">
        <v>0.428657055508833</v>
      </c>
      <c r="AU125" s="4">
        <f t="shared" ref="AU125:AV125" si="243">(AB125-AB$36)/AB$37</f>
        <v>1.066146653</v>
      </c>
      <c r="AV125" s="4">
        <f t="shared" si="243"/>
        <v>0.9077058927</v>
      </c>
      <c r="AW125" s="4">
        <f t="shared" si="5"/>
        <v>0.6029052613</v>
      </c>
      <c r="AX125" s="4">
        <f t="shared" si="6"/>
        <v>0.5348770966</v>
      </c>
      <c r="AY125" s="4">
        <f t="shared" si="7"/>
        <v>0.3796280398</v>
      </c>
      <c r="AZ125" s="4">
        <f t="shared" si="8"/>
        <v>0.3249069195</v>
      </c>
      <c r="BA125" s="4">
        <f t="shared" si="9"/>
        <v>0.4098629048</v>
      </c>
      <c r="BB125" s="4">
        <f t="shared" si="10"/>
        <v>0.3759245051</v>
      </c>
      <c r="BC125" s="4">
        <f t="shared" si="11"/>
        <v>0.1374263192</v>
      </c>
      <c r="BD125" s="4">
        <f t="shared" ref="BD125:BE125" si="244">((R125-R$36)/R$37)</f>
        <v>0.9699408271</v>
      </c>
      <c r="BE125" s="4">
        <f t="shared" si="244"/>
        <v>1.080983777</v>
      </c>
      <c r="BF125" s="3"/>
    </row>
    <row r="126">
      <c r="A126" s="3" t="s">
        <v>77</v>
      </c>
      <c r="B126" s="4">
        <f t="shared" si="3"/>
        <v>-0.8892288421</v>
      </c>
      <c r="C126" s="3" t="s">
        <v>58</v>
      </c>
      <c r="D126" s="3" t="s">
        <v>59</v>
      </c>
      <c r="E126" s="5" t="s">
        <v>60</v>
      </c>
      <c r="F126" s="3" t="s">
        <v>78</v>
      </c>
      <c r="G126" s="12" t="s">
        <v>60</v>
      </c>
      <c r="H126" s="5" t="s">
        <v>71</v>
      </c>
      <c r="I126" s="6">
        <v>150.0</v>
      </c>
      <c r="J126" s="12" t="s">
        <v>94</v>
      </c>
      <c r="K126" s="3" t="s">
        <v>72</v>
      </c>
      <c r="L126" s="5" t="s">
        <v>73</v>
      </c>
      <c r="M126" s="3" t="s">
        <v>67</v>
      </c>
      <c r="N126" s="3" t="s">
        <v>84</v>
      </c>
      <c r="O126" s="3" t="s">
        <v>69</v>
      </c>
      <c r="P126" s="5" t="s">
        <v>76</v>
      </c>
      <c r="Q126" s="5" t="s">
        <v>76</v>
      </c>
      <c r="R126" s="13">
        <v>97.7779486179351</v>
      </c>
      <c r="S126" s="13">
        <v>176.272022724151</v>
      </c>
      <c r="T126" s="13">
        <v>4.87512050953446</v>
      </c>
      <c r="U126" s="13">
        <v>37.7559086597051</v>
      </c>
      <c r="V126" s="13">
        <v>6.14458368481585</v>
      </c>
      <c r="W126" s="13">
        <v>-0.445326300036967</v>
      </c>
      <c r="X126" s="13">
        <v>0.156633401673053</v>
      </c>
      <c r="Y126" s="13">
        <v>0.0359936581785177</v>
      </c>
      <c r="Z126" s="13">
        <v>0.189719946707028</v>
      </c>
      <c r="AA126" s="13">
        <v>0.234682587142149</v>
      </c>
      <c r="AB126" s="13">
        <v>0.159295846848903</v>
      </c>
      <c r="AC126" s="13">
        <v>0.192169121285667</v>
      </c>
      <c r="AD126" s="13">
        <v>0.223605679799496</v>
      </c>
      <c r="AE126" s="13">
        <v>0.177138828277891</v>
      </c>
      <c r="AF126" s="13">
        <v>0.209923208253094</v>
      </c>
      <c r="AG126" s="13">
        <v>0.0864271695439543</v>
      </c>
      <c r="AH126" s="13">
        <v>10.0</v>
      </c>
      <c r="AI126" s="13">
        <v>4.87512050953446</v>
      </c>
      <c r="AJ126" s="13">
        <v>37.7559086597051</v>
      </c>
      <c r="AK126" s="13">
        <v>6.14458368481585</v>
      </c>
      <c r="AL126" s="13">
        <v>-0.445365555574391</v>
      </c>
      <c r="AM126" s="13">
        <v>3.71469065082373</v>
      </c>
      <c r="AN126" s="13">
        <v>20.0818448750256</v>
      </c>
      <c r="AO126" s="13">
        <v>4.48127714775884</v>
      </c>
      <c r="AP126" s="13">
        <v>0.223605679799495</v>
      </c>
      <c r="AQ126" s="13">
        <v>4.13077906498027</v>
      </c>
      <c r="AR126" s="13">
        <v>23.9638895657699</v>
      </c>
      <c r="AS126" s="13">
        <v>4.89529259245756</v>
      </c>
      <c r="AT126" s="13">
        <v>0.0864271695439542</v>
      </c>
      <c r="AU126" s="4">
        <f t="shared" ref="AU126:AV126" si="245">(AB126-AB$36)/AB$37</f>
        <v>1.663959644</v>
      </c>
      <c r="AV126" s="4">
        <f t="shared" si="245"/>
        <v>1.484190049</v>
      </c>
      <c r="AW126" s="4">
        <f t="shared" si="5"/>
        <v>0.8796727204</v>
      </c>
      <c r="AX126" s="4">
        <f t="shared" si="6"/>
        <v>0.7168493501</v>
      </c>
      <c r="AY126" s="4">
        <f t="shared" si="7"/>
        <v>1.078038678</v>
      </c>
      <c r="AZ126" s="4">
        <f t="shared" si="8"/>
        <v>1.042309651</v>
      </c>
      <c r="BA126" s="4">
        <f t="shared" si="9"/>
        <v>0.680683112</v>
      </c>
      <c r="BB126" s="4">
        <f t="shared" si="10"/>
        <v>0.8381406913</v>
      </c>
      <c r="BC126" s="4">
        <f t="shared" si="11"/>
        <v>1.302318358</v>
      </c>
      <c r="BD126" s="4">
        <f t="shared" ref="BD126:BE126" si="246">((R126-R$36)/R$37)</f>
        <v>0.02864394387</v>
      </c>
      <c r="BE126" s="4">
        <f t="shared" si="246"/>
        <v>0.06671106395</v>
      </c>
      <c r="BF126" s="3"/>
    </row>
    <row r="127">
      <c r="A127" s="3" t="s">
        <v>57</v>
      </c>
      <c r="B127" s="4">
        <f t="shared" si="3"/>
        <v>-0.9550374404</v>
      </c>
      <c r="C127" s="3" t="s">
        <v>58</v>
      </c>
      <c r="D127" s="3" t="s">
        <v>59</v>
      </c>
      <c r="E127" s="5" t="s">
        <v>60</v>
      </c>
      <c r="F127" s="3" t="s">
        <v>61</v>
      </c>
      <c r="G127" s="12" t="s">
        <v>62</v>
      </c>
      <c r="H127" s="5" t="s">
        <v>71</v>
      </c>
      <c r="I127" s="6">
        <v>150.0</v>
      </c>
      <c r="J127" s="12" t="s">
        <v>94</v>
      </c>
      <c r="K127" s="3" t="s">
        <v>72</v>
      </c>
      <c r="L127" s="5" t="s">
        <v>73</v>
      </c>
      <c r="M127" s="3" t="s">
        <v>67</v>
      </c>
      <c r="N127" s="3" t="s">
        <v>84</v>
      </c>
      <c r="O127" s="3" t="s">
        <v>69</v>
      </c>
      <c r="P127" s="5" t="s">
        <v>76</v>
      </c>
      <c r="Q127" s="5" t="s">
        <v>76</v>
      </c>
      <c r="R127" s="13">
        <v>105.986302375793</v>
      </c>
      <c r="S127" s="13">
        <v>174.805060625076</v>
      </c>
      <c r="T127" s="13">
        <v>4.26535785279272</v>
      </c>
      <c r="U127" s="13">
        <v>25.8277065122278</v>
      </c>
      <c r="V127" s="13">
        <v>5.08209666498265</v>
      </c>
      <c r="W127" s="13">
        <v>0.0147304235251715</v>
      </c>
      <c r="X127" s="13">
        <v>0.190863995417979</v>
      </c>
      <c r="Y127" s="13">
        <v>0.05379306708515</v>
      </c>
      <c r="Z127" s="13">
        <v>0.231933324654198</v>
      </c>
      <c r="AA127" s="13">
        <v>-0.125948945738261</v>
      </c>
      <c r="AB127" s="13">
        <v>0.191990071981665</v>
      </c>
      <c r="AC127" s="13">
        <v>0.233051177968639</v>
      </c>
      <c r="AD127" s="13">
        <v>-0.131110612856621</v>
      </c>
      <c r="AE127" s="13">
        <v>0.182948762174257</v>
      </c>
      <c r="AF127" s="13">
        <v>0.227645919241739</v>
      </c>
      <c r="AG127" s="13">
        <v>-0.0713208816534372</v>
      </c>
      <c r="AH127" s="13">
        <v>10.0</v>
      </c>
      <c r="AI127" s="13">
        <v>4.26535785279271</v>
      </c>
      <c r="AJ127" s="13">
        <v>25.8277065122278</v>
      </c>
      <c r="AK127" s="13">
        <v>5.08209666498265</v>
      </c>
      <c r="AL127" s="13">
        <v>0.014800927418939</v>
      </c>
      <c r="AM127" s="13">
        <v>4.47710181746132</v>
      </c>
      <c r="AN127" s="13">
        <v>29.5351379925943</v>
      </c>
      <c r="AO127" s="13">
        <v>5.43462399735201</v>
      </c>
      <c r="AP127" s="13">
        <v>-0.131110612856621</v>
      </c>
      <c r="AQ127" s="13">
        <v>4.26626349570247</v>
      </c>
      <c r="AR127" s="13">
        <v>28.1809830417464</v>
      </c>
      <c r="AS127" s="13">
        <v>5.30857636676222</v>
      </c>
      <c r="AT127" s="13">
        <v>-0.0713208816534372</v>
      </c>
      <c r="AU127" s="4">
        <f t="shared" ref="AU127:AV127" si="247">(AB127-AB$36)/AB$37</f>
        <v>2.257821758</v>
      </c>
      <c r="AV127" s="4">
        <f t="shared" si="247"/>
        <v>2.071006011</v>
      </c>
      <c r="AW127" s="4">
        <f t="shared" si="5"/>
        <v>0.9391715217</v>
      </c>
      <c r="AX127" s="4">
        <f t="shared" si="6"/>
        <v>0.8567789907</v>
      </c>
      <c r="AY127" s="4">
        <f t="shared" si="7"/>
        <v>0.7862801659</v>
      </c>
      <c r="AZ127" s="4">
        <f t="shared" si="8"/>
        <v>0.6488555918</v>
      </c>
      <c r="BA127" s="4">
        <f t="shared" si="9"/>
        <v>1.076540416</v>
      </c>
      <c r="BB127" s="4">
        <f t="shared" si="10"/>
        <v>1.051195441</v>
      </c>
      <c r="BC127" s="4">
        <f t="shared" si="11"/>
        <v>0.7141635513</v>
      </c>
      <c r="BD127" s="4">
        <f t="shared" ref="BD127:BE127" si="248">((R127-R$36)/R$37)</f>
        <v>0.04686388791</v>
      </c>
      <c r="BE127" s="4">
        <f t="shared" si="248"/>
        <v>0.05673450913</v>
      </c>
      <c r="BF127" s="3"/>
    </row>
    <row r="128">
      <c r="A128" s="3" t="s">
        <v>77</v>
      </c>
      <c r="B128" s="4">
        <f t="shared" si="3"/>
        <v>-1.536256432</v>
      </c>
      <c r="C128" s="3" t="s">
        <v>59</v>
      </c>
      <c r="D128" s="3" t="s">
        <v>58</v>
      </c>
      <c r="E128" s="5" t="s">
        <v>60</v>
      </c>
      <c r="F128" s="3" t="s">
        <v>78</v>
      </c>
      <c r="G128" s="5" t="s">
        <v>60</v>
      </c>
      <c r="H128" s="5" t="s">
        <v>71</v>
      </c>
      <c r="I128" s="6">
        <v>150.0</v>
      </c>
      <c r="J128" s="5" t="s">
        <v>94</v>
      </c>
      <c r="K128" s="3" t="s">
        <v>72</v>
      </c>
      <c r="L128" s="5" t="s">
        <v>73</v>
      </c>
      <c r="M128" s="3" t="s">
        <v>74</v>
      </c>
      <c r="N128" s="3" t="s">
        <v>84</v>
      </c>
      <c r="O128" s="3" t="s">
        <v>69</v>
      </c>
      <c r="P128" s="5" t="s">
        <v>87</v>
      </c>
      <c r="Q128" s="5" t="s">
        <v>75</v>
      </c>
      <c r="R128" s="7">
        <v>123.80146241188</v>
      </c>
      <c r="S128" s="7">
        <v>133.614428281784</v>
      </c>
      <c r="T128" s="7">
        <v>6.31017582061364</v>
      </c>
      <c r="U128" s="7">
        <v>64.6567335631427</v>
      </c>
      <c r="V128" s="7">
        <v>8.04094108690909</v>
      </c>
      <c r="W128" s="7">
        <v>-0.975189189976936</v>
      </c>
      <c r="X128" s="7">
        <v>0.200151407113081</v>
      </c>
      <c r="Y128" s="7">
        <v>0.0666189225008855</v>
      </c>
      <c r="Z128" s="7">
        <v>0.258106417008344</v>
      </c>
      <c r="AA128" s="7">
        <v>-0.49865686511233</v>
      </c>
      <c r="AB128" s="7">
        <v>0.206819904351226</v>
      </c>
      <c r="AC128" s="7">
        <v>0.265064300828175</v>
      </c>
      <c r="AD128" s="7">
        <v>-0.540867169257258</v>
      </c>
      <c r="AE128" s="7">
        <v>0.214516946033118</v>
      </c>
      <c r="AF128" s="7">
        <v>0.273043638724878</v>
      </c>
      <c r="AG128" s="7">
        <v>-0.653080630066636</v>
      </c>
      <c r="AH128" s="14">
        <v>10.0</v>
      </c>
      <c r="AI128" s="7">
        <v>6.31017582061364</v>
      </c>
      <c r="AJ128" s="7">
        <v>64.6567335631427</v>
      </c>
      <c r="AK128" s="7">
        <v>8.04094108690909</v>
      </c>
      <c r="AL128" s="7">
        <v>-0.975667359201603</v>
      </c>
      <c r="AM128" s="7">
        <v>5.5324324413953</v>
      </c>
      <c r="AN128" s="7">
        <v>50.2747654895839</v>
      </c>
      <c r="AO128" s="7">
        <v>7.09047004715371</v>
      </c>
      <c r="AP128" s="7">
        <v>-0.540867169257258</v>
      </c>
      <c r="AQ128" s="7">
        <v>5.73832830638593</v>
      </c>
      <c r="AR128" s="7">
        <v>53.3472084495218</v>
      </c>
      <c r="AS128" s="7">
        <v>7.3039173358905</v>
      </c>
      <c r="AT128" s="7">
        <v>-0.653080630066637</v>
      </c>
      <c r="AU128" s="4">
        <f t="shared" ref="AU128:AV128" si="249">(AB128-AB$36)/AB$37</f>
        <v>2.527192742</v>
      </c>
      <c r="AV128" s="4">
        <f t="shared" si="249"/>
        <v>2.530518399</v>
      </c>
      <c r="AW128" s="4">
        <f t="shared" si="5"/>
        <v>1.585637622</v>
      </c>
      <c r="AX128" s="4">
        <f t="shared" si="6"/>
        <v>1.532361634</v>
      </c>
      <c r="AY128" s="4">
        <f t="shared" si="7"/>
        <v>1.76468224</v>
      </c>
      <c r="AZ128" s="4">
        <f t="shared" si="8"/>
        <v>1.744557777</v>
      </c>
      <c r="BA128" s="4">
        <f t="shared" si="9"/>
        <v>1.53382171</v>
      </c>
      <c r="BB128" s="4">
        <f t="shared" si="10"/>
        <v>1.836921011</v>
      </c>
      <c r="BC128" s="4">
        <f t="shared" si="11"/>
        <v>1.980115561</v>
      </c>
      <c r="BD128" s="4">
        <f t="shared" ref="BD128:BE128" si="250">((R128-R$36)/R$37)</f>
        <v>0.08640789741</v>
      </c>
      <c r="BE128" s="4">
        <f t="shared" si="250"/>
        <v>-0.2233958377</v>
      </c>
      <c r="BF128" s="3"/>
    </row>
    <row r="129">
      <c r="A129" s="3" t="s">
        <v>57</v>
      </c>
      <c r="B129" s="4">
        <f t="shared" si="3"/>
        <v>-1.688469266</v>
      </c>
      <c r="C129" s="3" t="s">
        <v>59</v>
      </c>
      <c r="D129" s="3" t="s">
        <v>58</v>
      </c>
      <c r="E129" s="5" t="s">
        <v>60</v>
      </c>
      <c r="F129" s="3" t="s">
        <v>61</v>
      </c>
      <c r="G129" s="5" t="s">
        <v>62</v>
      </c>
      <c r="H129" s="5" t="s">
        <v>71</v>
      </c>
      <c r="I129" s="6">
        <v>150.0</v>
      </c>
      <c r="J129" s="5" t="s">
        <v>94</v>
      </c>
      <c r="K129" s="3" t="s">
        <v>72</v>
      </c>
      <c r="L129" s="5" t="s">
        <v>73</v>
      </c>
      <c r="M129" s="3" t="s">
        <v>74</v>
      </c>
      <c r="N129" s="3" t="s">
        <v>68</v>
      </c>
      <c r="O129" s="3" t="s">
        <v>69</v>
      </c>
      <c r="P129" s="5" t="s">
        <v>76</v>
      </c>
      <c r="Q129" s="5" t="s">
        <v>76</v>
      </c>
      <c r="R129" s="7">
        <v>154.368274450302</v>
      </c>
      <c r="S129" s="7">
        <v>136.482329845428</v>
      </c>
      <c r="T129" s="7">
        <v>5.52199810973247</v>
      </c>
      <c r="U129" s="7">
        <v>50.4494886955168</v>
      </c>
      <c r="V129" s="7">
        <v>7.10278034966004</v>
      </c>
      <c r="W129" s="7">
        <v>-0.505297438431221</v>
      </c>
      <c r="X129" s="7">
        <v>0.163914208629076</v>
      </c>
      <c r="Y129" s="7">
        <v>0.0441796921212021</v>
      </c>
      <c r="Z129" s="7">
        <v>0.210189657502937</v>
      </c>
      <c r="AA129" s="7">
        <v>0.0456293737929481</v>
      </c>
      <c r="AB129" s="7">
        <v>0.165548158187123</v>
      </c>
      <c r="AC129" s="7">
        <v>0.21187917797092</v>
      </c>
      <c r="AD129" s="7">
        <v>0.0387170901913695</v>
      </c>
      <c r="AE129" s="7">
        <v>0.341009938719176</v>
      </c>
      <c r="AF129" s="7">
        <v>0.402106197016605</v>
      </c>
      <c r="AG129" s="7">
        <v>-2.44301048191024</v>
      </c>
      <c r="AH129" s="14">
        <v>10.0</v>
      </c>
      <c r="AI129" s="7">
        <v>5.52199810973247</v>
      </c>
      <c r="AJ129" s="7">
        <v>50.4494886955168</v>
      </c>
      <c r="AK129" s="7">
        <v>7.10278034966004</v>
      </c>
      <c r="AL129" s="7">
        <v>-0.505484419242839</v>
      </c>
      <c r="AM129" s="7">
        <v>4.42841323150556</v>
      </c>
      <c r="AN129" s="7">
        <v>32.1235942233648</v>
      </c>
      <c r="AO129" s="7">
        <v>5.66776801072211</v>
      </c>
      <c r="AP129" s="7">
        <v>0.0387170901913697</v>
      </c>
      <c r="AQ129" s="7">
        <v>9.12201586073794</v>
      </c>
      <c r="AR129" s="7">
        <v>115.698866764542</v>
      </c>
      <c r="AS129" s="7">
        <v>10.7563407701942</v>
      </c>
      <c r="AT129" s="7">
        <v>-2.44301048191024</v>
      </c>
      <c r="AU129" s="4">
        <f t="shared" ref="AU129:AV129" si="251">(AB129-AB$36)/AB$37</f>
        <v>1.777527432</v>
      </c>
      <c r="AV129" s="4">
        <f t="shared" si="251"/>
        <v>1.767105754</v>
      </c>
      <c r="AW129" s="4">
        <f t="shared" si="5"/>
        <v>3.071604329</v>
      </c>
      <c r="AX129" s="4">
        <f t="shared" si="6"/>
        <v>2.701283331</v>
      </c>
      <c r="AY129" s="4">
        <f t="shared" si="7"/>
        <v>1.387555904</v>
      </c>
      <c r="AZ129" s="4">
        <f t="shared" si="8"/>
        <v>1.397143509</v>
      </c>
      <c r="BA129" s="4">
        <f t="shared" si="9"/>
        <v>0.8870156094</v>
      </c>
      <c r="BB129" s="4">
        <f t="shared" si="10"/>
        <v>4.254402895</v>
      </c>
      <c r="BC129" s="4">
        <f t="shared" si="11"/>
        <v>1.379158372</v>
      </c>
      <c r="BD129" s="4">
        <f t="shared" ref="BD129:BE129" si="252">((R129-R$36)/R$37)</f>
        <v>0.1542565333</v>
      </c>
      <c r="BE129" s="4">
        <f t="shared" si="252"/>
        <v>-0.2038917366</v>
      </c>
      <c r="BF129" s="3"/>
    </row>
    <row r="130">
      <c r="A130" s="3" t="s">
        <v>57</v>
      </c>
      <c r="B130" s="4">
        <f t="shared" si="3"/>
        <v>-0.6081011095</v>
      </c>
      <c r="C130" s="3" t="s">
        <v>58</v>
      </c>
      <c r="D130" s="3" t="s">
        <v>59</v>
      </c>
      <c r="E130" s="5" t="s">
        <v>60</v>
      </c>
      <c r="F130" s="3" t="s">
        <v>61</v>
      </c>
      <c r="G130" s="5" t="s">
        <v>62</v>
      </c>
      <c r="H130" s="5" t="s">
        <v>63</v>
      </c>
      <c r="I130" s="6">
        <v>20.0</v>
      </c>
      <c r="J130" s="5" t="s">
        <v>94</v>
      </c>
      <c r="K130" s="3" t="s">
        <v>72</v>
      </c>
      <c r="L130" s="5" t="s">
        <v>66</v>
      </c>
      <c r="M130" s="3" t="s">
        <v>67</v>
      </c>
      <c r="N130" s="3" t="s">
        <v>84</v>
      </c>
      <c r="O130" s="3" t="s">
        <v>69</v>
      </c>
      <c r="P130" s="5" t="s">
        <v>75</v>
      </c>
      <c r="Q130" s="15"/>
      <c r="R130" s="13">
        <v>48.0829448699951</v>
      </c>
      <c r="S130" s="13">
        <v>159.464875459671</v>
      </c>
      <c r="T130" s="13">
        <v>4.00640690181927</v>
      </c>
      <c r="U130" s="13">
        <v>22.7317363077814</v>
      </c>
      <c r="V130" s="13">
        <v>4.76778106751782</v>
      </c>
      <c r="W130" s="13">
        <v>0.127019915115569</v>
      </c>
      <c r="X130" s="13">
        <v>0.161129247092815</v>
      </c>
      <c r="Y130" s="13">
        <v>0.0332989115752245</v>
      </c>
      <c r="Z130" s="13">
        <v>0.182479893619062</v>
      </c>
      <c r="AA130" s="13">
        <v>0.299574617435811</v>
      </c>
      <c r="AB130" s="13">
        <v>0.161176652231285</v>
      </c>
      <c r="AC130" s="13">
        <v>0.182402019903277</v>
      </c>
      <c r="AD130" s="13">
        <v>0.303576074793251</v>
      </c>
      <c r="AE130" s="13">
        <v>0.143145798732626</v>
      </c>
      <c r="AF130" s="13">
        <v>0.173875439276895</v>
      </c>
      <c r="AG130" s="13">
        <v>0.369833216793467</v>
      </c>
      <c r="AH130" s="13">
        <v>10.0</v>
      </c>
      <c r="AI130" s="13">
        <v>4.00640690181927</v>
      </c>
      <c r="AJ130" s="13">
        <v>22.7317363077814</v>
      </c>
      <c r="AK130" s="13">
        <v>4.76778106751782</v>
      </c>
      <c r="AL130" s="13">
        <v>0.12695632377906</v>
      </c>
      <c r="AM130" s="13">
        <v>3.75854998744901</v>
      </c>
      <c r="AN130" s="13">
        <v>18.0923793889333</v>
      </c>
      <c r="AO130" s="13">
        <v>4.25351376968893</v>
      </c>
      <c r="AP130" s="13">
        <v>0.303576074793251</v>
      </c>
      <c r="AQ130" s="13">
        <v>3.33808050100113</v>
      </c>
      <c r="AR130" s="13">
        <v>16.4404189261474</v>
      </c>
      <c r="AS130" s="13">
        <v>4.05467864647093</v>
      </c>
      <c r="AT130" s="13">
        <v>0.369833216793467</v>
      </c>
      <c r="AU130" s="4">
        <f t="shared" ref="AU130:AV130" si="253">(AB130-AB$36)/AB$37</f>
        <v>1.698122835</v>
      </c>
      <c r="AV130" s="4">
        <f t="shared" si="253"/>
        <v>1.34399429</v>
      </c>
      <c r="AW130" s="4">
        <f t="shared" si="5"/>
        <v>0.5315543863</v>
      </c>
      <c r="AX130" s="4">
        <f t="shared" si="6"/>
        <v>0.4322342389</v>
      </c>
      <c r="AY130" s="4">
        <f t="shared" si="7"/>
        <v>0.6623776223</v>
      </c>
      <c r="AZ130" s="4">
        <f t="shared" si="8"/>
        <v>0.5324600543</v>
      </c>
      <c r="BA130" s="4">
        <f t="shared" si="9"/>
        <v>0.5914375217</v>
      </c>
      <c r="BB130" s="4">
        <f t="shared" si="10"/>
        <v>0.455372068</v>
      </c>
      <c r="BC130" s="4">
        <f t="shared" si="11"/>
        <v>0.5708138334</v>
      </c>
      <c r="BD130" s="4">
        <f t="shared" ref="BD130:BE130" si="254">((R130-R$36)/R$37)</f>
        <v>-0.08166321568</v>
      </c>
      <c r="BE130" s="4">
        <f t="shared" si="254"/>
        <v>-0.04759142973</v>
      </c>
      <c r="BF130" s="16"/>
    </row>
    <row r="131">
      <c r="A131" s="3" t="s">
        <v>57</v>
      </c>
      <c r="B131" s="4">
        <f t="shared" si="3"/>
        <v>-1.249600101</v>
      </c>
      <c r="C131" s="3" t="s">
        <v>59</v>
      </c>
      <c r="D131" s="3" t="s">
        <v>58</v>
      </c>
      <c r="E131" s="5" t="s">
        <v>60</v>
      </c>
      <c r="F131" s="3" t="s">
        <v>61</v>
      </c>
      <c r="G131" s="5" t="s">
        <v>62</v>
      </c>
      <c r="H131" s="5" t="s">
        <v>63</v>
      </c>
      <c r="I131" s="17">
        <v>20.0</v>
      </c>
      <c r="J131" s="5" t="s">
        <v>94</v>
      </c>
      <c r="K131" s="3" t="s">
        <v>72</v>
      </c>
      <c r="L131" s="5" t="s">
        <v>73</v>
      </c>
      <c r="M131" s="3" t="s">
        <v>67</v>
      </c>
      <c r="N131" s="3" t="s">
        <v>84</v>
      </c>
      <c r="O131" s="3" t="s">
        <v>69</v>
      </c>
      <c r="P131" s="5" t="s">
        <v>86</v>
      </c>
      <c r="Q131" s="5" t="s">
        <v>75</v>
      </c>
      <c r="R131" s="13">
        <v>71.0093083381652</v>
      </c>
      <c r="S131" s="13">
        <v>132.174384355545</v>
      </c>
      <c r="T131" s="13">
        <v>5.94319497393329</v>
      </c>
      <c r="U131" s="13">
        <v>46.7861097037301</v>
      </c>
      <c r="V131" s="13">
        <v>6.84003725894312</v>
      </c>
      <c r="W131" s="13">
        <v>-0.380082555800255</v>
      </c>
      <c r="X131" s="13">
        <v>0.209155186225153</v>
      </c>
      <c r="Y131" s="13">
        <v>0.0490351686146599</v>
      </c>
      <c r="Z131" s="13">
        <v>0.221438859766437</v>
      </c>
      <c r="AA131" s="13">
        <v>-0.0473731884538377</v>
      </c>
      <c r="AB131" s="13">
        <v>0.209675912400906</v>
      </c>
      <c r="AC131" s="13">
        <v>0.221912543997136</v>
      </c>
      <c r="AD131" s="13">
        <v>-0.0434923198475922</v>
      </c>
      <c r="AE131" s="13">
        <v>0.227680578329244</v>
      </c>
      <c r="AF131" s="13">
        <v>0.249582526393432</v>
      </c>
      <c r="AG131" s="13">
        <v>-0.309478955420436</v>
      </c>
      <c r="AH131" s="13">
        <v>10.0</v>
      </c>
      <c r="AI131" s="13">
        <v>5.94319497393327</v>
      </c>
      <c r="AJ131" s="13">
        <v>46.7861097037301</v>
      </c>
      <c r="AK131" s="13">
        <v>6.84003725894312</v>
      </c>
      <c r="AL131" s="13">
        <v>-0.379922490965303</v>
      </c>
      <c r="AM131" s="13">
        <v>5.60883065672424</v>
      </c>
      <c r="AN131" s="13">
        <v>35.2380020982116</v>
      </c>
      <c r="AO131" s="13">
        <v>5.9361605519234</v>
      </c>
      <c r="AP131" s="13">
        <v>-0.0434923198475922</v>
      </c>
      <c r="AQ131" s="13">
        <v>6.09045547030728</v>
      </c>
      <c r="AR131" s="13">
        <v>44.5734167324469</v>
      </c>
      <c r="AS131" s="13">
        <v>6.67633258102432</v>
      </c>
      <c r="AT131" s="13">
        <v>-0.309478955420436</v>
      </c>
      <c r="AU131" s="4">
        <f t="shared" ref="AU131:AV131" si="255">(AB131-AB$36)/AB$37</f>
        <v>2.57906964</v>
      </c>
      <c r="AV131" s="4">
        <f t="shared" si="255"/>
        <v>1.911123443</v>
      </c>
      <c r="AW131" s="4">
        <f t="shared" si="5"/>
        <v>1.740276381</v>
      </c>
      <c r="AX131" s="4">
        <f t="shared" si="6"/>
        <v>1.319873957</v>
      </c>
      <c r="AY131" s="4">
        <f t="shared" si="7"/>
        <v>1.58908968</v>
      </c>
      <c r="AZ131" s="4">
        <f t="shared" si="8"/>
        <v>1.299846004</v>
      </c>
      <c r="BA131" s="4">
        <f t="shared" si="9"/>
        <v>0.9787599022</v>
      </c>
      <c r="BB131" s="4">
        <f t="shared" si="10"/>
        <v>1.372852085</v>
      </c>
      <c r="BC131" s="4">
        <f t="shared" si="11"/>
        <v>1.218673298</v>
      </c>
      <c r="BD131" s="4">
        <f t="shared" ref="BD131:BE131" si="256">((R131-R$36)/R$37)</f>
        <v>-0.03077395434</v>
      </c>
      <c r="BE131" s="4">
        <f t="shared" si="256"/>
        <v>-0.2331893267</v>
      </c>
      <c r="BF131" s="3"/>
    </row>
    <row r="132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18"/>
      <c r="P132" s="19"/>
      <c r="Q132" s="3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  <c r="AP132" s="20"/>
      <c r="AQ132" s="20"/>
      <c r="AR132" s="20"/>
      <c r="AS132" s="20"/>
      <c r="AT132" s="20"/>
      <c r="AU132" s="3"/>
      <c r="AV132" s="3"/>
      <c r="AW132" s="3"/>
      <c r="AX132" s="3"/>
      <c r="AY132" s="3"/>
      <c r="AZ132" s="3"/>
      <c r="BA132" s="3"/>
      <c r="BB132" s="3"/>
      <c r="BC132" s="3"/>
      <c r="BD132" s="3"/>
      <c r="BE132" s="3"/>
      <c r="BF132" s="3"/>
    </row>
    <row r="13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21" t="s">
        <v>95</v>
      </c>
      <c r="P133" s="22"/>
      <c r="Q133" s="3"/>
      <c r="R133" s="20">
        <f t="shared" ref="R133:AT133" si="257">AVERAGE(R2:R131)</f>
        <v>695.6129303</v>
      </c>
      <c r="S133" s="20">
        <f t="shared" si="257"/>
        <v>269.0416696</v>
      </c>
      <c r="T133" s="20">
        <f t="shared" si="257"/>
        <v>2.914593775</v>
      </c>
      <c r="U133" s="20">
        <f t="shared" si="257"/>
        <v>15.56552146</v>
      </c>
      <c r="V133" s="20">
        <f t="shared" si="257"/>
        <v>3.672343543</v>
      </c>
      <c r="W133" s="20">
        <f t="shared" si="257"/>
        <v>0.4899509262</v>
      </c>
      <c r="X133" s="20">
        <f t="shared" si="257"/>
        <v>0.09887856243</v>
      </c>
      <c r="Y133" s="20">
        <f t="shared" si="257"/>
        <v>0.01814041381</v>
      </c>
      <c r="Z133" s="20">
        <f t="shared" si="257"/>
        <v>0.1212422578</v>
      </c>
      <c r="AA133" s="20">
        <f t="shared" si="257"/>
        <v>0.5912818158</v>
      </c>
      <c r="AB133" s="20">
        <f t="shared" si="257"/>
        <v>0.09946785602</v>
      </c>
      <c r="AC133" s="20">
        <f t="shared" si="257"/>
        <v>0.1216618525</v>
      </c>
      <c r="AD133" s="20">
        <f t="shared" si="257"/>
        <v>0.5922209921</v>
      </c>
      <c r="AE133" s="20">
        <f t="shared" si="257"/>
        <v>0.1192835808</v>
      </c>
      <c r="AF133" s="20">
        <f t="shared" si="257"/>
        <v>0.1510101732</v>
      </c>
      <c r="AG133" s="20">
        <f t="shared" si="257"/>
        <v>0.438058289</v>
      </c>
      <c r="AH133" s="20">
        <f t="shared" si="257"/>
        <v>10</v>
      </c>
      <c r="AI133" s="20">
        <f t="shared" si="257"/>
        <v>2.881875698</v>
      </c>
      <c r="AJ133" s="20">
        <f t="shared" si="257"/>
        <v>15.23843305</v>
      </c>
      <c r="AK133" s="20">
        <f t="shared" si="257"/>
        <v>3.631567159</v>
      </c>
      <c r="AL133" s="20">
        <f t="shared" si="257"/>
        <v>0.4898215981</v>
      </c>
      <c r="AM133" s="20">
        <f t="shared" si="257"/>
        <v>2.535610898</v>
      </c>
      <c r="AN133" s="20">
        <f t="shared" si="257"/>
        <v>12.13293956</v>
      </c>
      <c r="AO133" s="20">
        <f t="shared" si="257"/>
        <v>3.099671268</v>
      </c>
      <c r="AP133" s="20">
        <f t="shared" si="257"/>
        <v>0.5922209921</v>
      </c>
      <c r="AQ133" s="20">
        <f t="shared" si="257"/>
        <v>3.035265194</v>
      </c>
      <c r="AR133" s="20">
        <f t="shared" si="257"/>
        <v>16.90234957</v>
      </c>
      <c r="AS133" s="20">
        <f t="shared" si="257"/>
        <v>3.842572821</v>
      </c>
      <c r="AT133" s="20">
        <f t="shared" si="257"/>
        <v>0.438058289</v>
      </c>
      <c r="AU133" s="3"/>
      <c r="AV133" s="3"/>
      <c r="AW133" s="3"/>
      <c r="AX133" s="3"/>
      <c r="AY133" s="3"/>
      <c r="AZ133" s="3"/>
      <c r="BA133" s="3"/>
      <c r="BB133" s="3"/>
      <c r="BC133" s="3"/>
      <c r="BD133" s="3"/>
      <c r="BE133" s="3"/>
      <c r="BF133" s="3"/>
    </row>
    <row r="134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21" t="s">
        <v>96</v>
      </c>
      <c r="P134" s="22"/>
      <c r="Q134" s="3"/>
      <c r="R134" s="20">
        <f t="shared" ref="R134:AT134" si="258">STDEV(R2:R131)</f>
        <v>798.9200624</v>
      </c>
      <c r="S134" s="20">
        <f t="shared" si="258"/>
        <v>124.8533838</v>
      </c>
      <c r="T134" s="20">
        <f t="shared" si="258"/>
        <v>1.213129967</v>
      </c>
      <c r="U134" s="20">
        <f t="shared" si="258"/>
        <v>14.9559832</v>
      </c>
      <c r="V134" s="20">
        <f t="shared" si="258"/>
        <v>1.447595888</v>
      </c>
      <c r="W134" s="20">
        <f t="shared" si="258"/>
        <v>0.4731786376</v>
      </c>
      <c r="X134" s="20">
        <f t="shared" si="258"/>
        <v>0.05122614169</v>
      </c>
      <c r="Y134" s="20">
        <f t="shared" si="258"/>
        <v>0.02401865657</v>
      </c>
      <c r="Z134" s="20">
        <f t="shared" si="258"/>
        <v>0.05888464184</v>
      </c>
      <c r="AA134" s="20">
        <f t="shared" si="258"/>
        <v>0.559234187</v>
      </c>
      <c r="AB134" s="20">
        <f t="shared" si="258"/>
        <v>0.0520789379</v>
      </c>
      <c r="AC134" s="20">
        <f t="shared" si="258"/>
        <v>0.05972952872</v>
      </c>
      <c r="AD134" s="20">
        <f t="shared" si="258"/>
        <v>0.5628791083</v>
      </c>
      <c r="AE134" s="20">
        <f t="shared" si="258"/>
        <v>0.04519326962</v>
      </c>
      <c r="AF134" s="20">
        <f t="shared" si="258"/>
        <v>0.05310879438</v>
      </c>
      <c r="AG134" s="20">
        <f t="shared" si="258"/>
        <v>0.5138723707</v>
      </c>
      <c r="AH134" s="20">
        <f t="shared" si="258"/>
        <v>0</v>
      </c>
      <c r="AI134" s="20">
        <f t="shared" si="258"/>
        <v>1.204405999</v>
      </c>
      <c r="AJ134" s="20">
        <f t="shared" si="258"/>
        <v>14.8865911</v>
      </c>
      <c r="AK134" s="20">
        <f t="shared" si="258"/>
        <v>1.437374579</v>
      </c>
      <c r="AL134" s="20">
        <f t="shared" si="258"/>
        <v>0.4731785537</v>
      </c>
      <c r="AM134" s="20">
        <f t="shared" si="258"/>
        <v>1.395515402</v>
      </c>
      <c r="AN134" s="20">
        <f t="shared" si="258"/>
        <v>17.33901731</v>
      </c>
      <c r="AO134" s="20">
        <f t="shared" si="258"/>
        <v>1.595164899</v>
      </c>
      <c r="AP134" s="20">
        <f t="shared" si="258"/>
        <v>0.5628791083</v>
      </c>
      <c r="AQ134" s="20">
        <f t="shared" si="258"/>
        <v>1.240589515</v>
      </c>
      <c r="AR134" s="20">
        <f t="shared" si="258"/>
        <v>16.80735964</v>
      </c>
      <c r="AS134" s="20">
        <f t="shared" si="258"/>
        <v>1.467497682</v>
      </c>
      <c r="AT134" s="20">
        <f t="shared" si="258"/>
        <v>0.5138723707</v>
      </c>
      <c r="AU134" s="3"/>
      <c r="AV134" s="3"/>
      <c r="AW134" s="3"/>
      <c r="AX134" s="3"/>
      <c r="AY134" s="3"/>
      <c r="AZ134" s="3"/>
      <c r="BA134" s="3"/>
      <c r="BB134" s="3"/>
      <c r="BC134" s="3"/>
      <c r="BD134" s="3"/>
      <c r="BE134" s="3"/>
      <c r="BF134" s="3"/>
    </row>
    <row r="135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20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  <c r="AG135" s="3"/>
      <c r="AH135" s="3"/>
      <c r="AI135" s="3"/>
      <c r="AJ135" s="3"/>
      <c r="AK135" s="3"/>
      <c r="AL135" s="3"/>
      <c r="AM135" s="3"/>
      <c r="AN135" s="3"/>
      <c r="AO135" s="3"/>
      <c r="AP135" s="3"/>
      <c r="AQ135" s="3"/>
      <c r="AR135" s="3"/>
      <c r="AS135" s="3"/>
      <c r="AT135" s="3"/>
      <c r="AU135" s="3"/>
      <c r="AV135" s="3"/>
      <c r="AW135" s="3"/>
      <c r="AX135" s="3"/>
      <c r="AY135" s="3"/>
      <c r="AZ135" s="3"/>
      <c r="BA135" s="3"/>
      <c r="BB135" s="3"/>
      <c r="BC135" s="3"/>
      <c r="BD135" s="3"/>
      <c r="BE135" s="3"/>
      <c r="BF135" s="3"/>
    </row>
    <row r="13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20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  <c r="AG136" s="3"/>
      <c r="AH136" s="3"/>
      <c r="AI136" s="3"/>
      <c r="AJ136" s="3"/>
      <c r="AK136" s="3"/>
      <c r="AL136" s="3"/>
      <c r="AM136" s="3"/>
      <c r="AN136" s="3"/>
      <c r="AO136" s="3"/>
      <c r="AP136" s="3"/>
      <c r="AQ136" s="3"/>
      <c r="AR136" s="3"/>
      <c r="AS136" s="3"/>
      <c r="AT136" s="3"/>
      <c r="AU136" s="3"/>
      <c r="AV136" s="3"/>
      <c r="AW136" s="3"/>
      <c r="AX136" s="3"/>
      <c r="AY136" s="3"/>
      <c r="AZ136" s="3"/>
      <c r="BA136" s="3"/>
      <c r="BB136" s="3"/>
      <c r="BC136" s="3"/>
      <c r="BD136" s="3"/>
      <c r="BE136" s="3"/>
      <c r="BF136" s="3"/>
    </row>
    <row r="137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20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  <c r="AG137" s="3"/>
      <c r="AH137" s="3"/>
      <c r="AI137" s="3"/>
      <c r="AJ137" s="3"/>
      <c r="AK137" s="3"/>
      <c r="AL137" s="3"/>
      <c r="AM137" s="3"/>
      <c r="AN137" s="3"/>
      <c r="AO137" s="3"/>
      <c r="AP137" s="3"/>
      <c r="AQ137" s="3"/>
      <c r="AR137" s="3"/>
      <c r="AS137" s="3"/>
      <c r="AT137" s="3"/>
      <c r="AU137" s="3"/>
      <c r="AV137" s="3"/>
      <c r="AW137" s="3"/>
      <c r="AX137" s="3"/>
      <c r="AY137" s="3"/>
      <c r="AZ137" s="3"/>
      <c r="BA137" s="3"/>
      <c r="BB137" s="3"/>
      <c r="BC137" s="3"/>
      <c r="BD137" s="3"/>
      <c r="BE137" s="3"/>
      <c r="BF137" s="3"/>
    </row>
    <row r="138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20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  <c r="AG138" s="3"/>
      <c r="AH138" s="3"/>
      <c r="AI138" s="3"/>
      <c r="AJ138" s="3"/>
      <c r="AK138" s="3"/>
      <c r="AL138" s="3"/>
      <c r="AM138" s="3"/>
      <c r="AN138" s="3"/>
      <c r="AO138" s="3"/>
      <c r="AP138" s="3"/>
      <c r="AQ138" s="3"/>
      <c r="AR138" s="3"/>
      <c r="AS138" s="3"/>
      <c r="AT138" s="3"/>
      <c r="AU138" s="3"/>
      <c r="AV138" s="3"/>
      <c r="AW138" s="3"/>
      <c r="AX138" s="3"/>
      <c r="AY138" s="3"/>
      <c r="AZ138" s="3"/>
      <c r="BA138" s="3"/>
      <c r="BB138" s="3"/>
      <c r="BC138" s="3"/>
      <c r="BD138" s="3"/>
      <c r="BE138" s="3"/>
      <c r="BF138" s="3"/>
    </row>
    <row r="139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20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  <c r="AG139" s="3"/>
      <c r="AH139" s="3"/>
      <c r="AI139" s="3"/>
      <c r="AJ139" s="3"/>
      <c r="AK139" s="3"/>
      <c r="AL139" s="3"/>
      <c r="AM139" s="3"/>
      <c r="AN139" s="3"/>
      <c r="AO139" s="3"/>
      <c r="AP139" s="3"/>
      <c r="AQ139" s="3"/>
      <c r="AR139" s="3"/>
      <c r="AS139" s="3"/>
      <c r="AT139" s="3"/>
      <c r="AU139" s="3"/>
      <c r="AV139" s="3"/>
      <c r="AW139" s="3"/>
      <c r="AX139" s="3"/>
      <c r="AY139" s="3"/>
      <c r="AZ139" s="3"/>
      <c r="BA139" s="3"/>
      <c r="BB139" s="3"/>
      <c r="BC139" s="3"/>
      <c r="BD139" s="3"/>
      <c r="BE139" s="3"/>
      <c r="BF139" s="3"/>
    </row>
    <row r="140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20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  <c r="AG140" s="3"/>
      <c r="AH140" s="3"/>
      <c r="AI140" s="3"/>
      <c r="AJ140" s="3"/>
      <c r="AK140" s="3"/>
      <c r="AL140" s="3"/>
      <c r="AM140" s="3"/>
      <c r="AN140" s="3"/>
      <c r="AO140" s="3"/>
      <c r="AP140" s="3"/>
      <c r="AQ140" s="3"/>
      <c r="AR140" s="3"/>
      <c r="AS140" s="3"/>
      <c r="AT140" s="3"/>
      <c r="AU140" s="3"/>
      <c r="AV140" s="3"/>
      <c r="AW140" s="3"/>
      <c r="AX140" s="3"/>
      <c r="AY140" s="3"/>
      <c r="AZ140" s="3"/>
      <c r="BA140" s="3"/>
      <c r="BB140" s="3"/>
      <c r="BC140" s="3"/>
      <c r="BD140" s="3"/>
      <c r="BE140" s="3"/>
      <c r="BF140" s="3"/>
    </row>
    <row r="14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20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  <c r="AG141" s="3"/>
      <c r="AH141" s="3"/>
      <c r="AI141" s="3"/>
      <c r="AJ141" s="3"/>
      <c r="AK141" s="3"/>
      <c r="AL141" s="3"/>
      <c r="AM141" s="3"/>
      <c r="AN141" s="3"/>
      <c r="AO141" s="3"/>
      <c r="AP141" s="3"/>
      <c r="AQ141" s="3"/>
      <c r="AR141" s="3"/>
      <c r="AS141" s="3"/>
      <c r="AT141" s="3"/>
      <c r="AU141" s="3"/>
      <c r="AV141" s="3"/>
      <c r="AW141" s="3"/>
      <c r="AX141" s="3"/>
      <c r="AY141" s="3"/>
      <c r="AZ141" s="3"/>
      <c r="BA141" s="3"/>
      <c r="BB141" s="3"/>
      <c r="BC141" s="3"/>
      <c r="BD141" s="3"/>
      <c r="BE141" s="3"/>
      <c r="BF141" s="3"/>
    </row>
    <row r="142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20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  <c r="AG142" s="3"/>
      <c r="AH142" s="3"/>
      <c r="AI142" s="3"/>
      <c r="AJ142" s="3"/>
      <c r="AK142" s="3"/>
      <c r="AL142" s="3"/>
      <c r="AM142" s="3"/>
      <c r="AN142" s="3"/>
      <c r="AO142" s="3"/>
      <c r="AP142" s="3"/>
      <c r="AQ142" s="3"/>
      <c r="AR142" s="3"/>
      <c r="AS142" s="3"/>
      <c r="AT142" s="3"/>
      <c r="AU142" s="3"/>
      <c r="AV142" s="3"/>
      <c r="AW142" s="3"/>
      <c r="AX142" s="3"/>
      <c r="AY142" s="3"/>
      <c r="AZ142" s="3"/>
      <c r="BA142" s="3"/>
      <c r="BB142" s="3"/>
      <c r="BC142" s="3"/>
      <c r="BD142" s="3"/>
      <c r="BE142" s="3"/>
      <c r="BF142" s="3"/>
    </row>
    <row r="14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20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  <c r="AG143" s="3"/>
      <c r="AH143" s="3"/>
      <c r="AI143" s="3"/>
      <c r="AJ143" s="3"/>
      <c r="AK143" s="3"/>
      <c r="AL143" s="3"/>
      <c r="AM143" s="3"/>
      <c r="AN143" s="3"/>
      <c r="AO143" s="3"/>
      <c r="AP143" s="3"/>
      <c r="AQ143" s="3"/>
      <c r="AR143" s="3"/>
      <c r="AS143" s="3"/>
      <c r="AT143" s="3"/>
      <c r="AU143" s="3"/>
      <c r="AV143" s="3"/>
      <c r="AW143" s="3"/>
      <c r="AX143" s="3"/>
      <c r="AY143" s="3"/>
      <c r="AZ143" s="3"/>
      <c r="BA143" s="3"/>
      <c r="BB143" s="3"/>
      <c r="BC143" s="3"/>
      <c r="BD143" s="3"/>
      <c r="BE143" s="3"/>
      <c r="BF143" s="3"/>
    </row>
    <row r="144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20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  <c r="AG144" s="3"/>
      <c r="AH144" s="3"/>
      <c r="AI144" s="3"/>
      <c r="AJ144" s="3"/>
      <c r="AK144" s="3"/>
      <c r="AL144" s="3"/>
      <c r="AM144" s="3"/>
      <c r="AN144" s="3"/>
      <c r="AO144" s="3"/>
      <c r="AP144" s="3"/>
      <c r="AQ144" s="3"/>
      <c r="AR144" s="3"/>
      <c r="AS144" s="3"/>
      <c r="AT144" s="3"/>
      <c r="AU144" s="3"/>
      <c r="AV144" s="3"/>
      <c r="AW144" s="3"/>
      <c r="AX144" s="3"/>
      <c r="AY144" s="3"/>
      <c r="AZ144" s="3"/>
      <c r="BA144" s="3"/>
      <c r="BB144" s="3"/>
      <c r="BC144" s="3"/>
      <c r="BD144" s="3"/>
      <c r="BE144" s="3"/>
      <c r="BF144" s="3"/>
    </row>
    <row r="145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20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  <c r="AG145" s="3"/>
      <c r="AH145" s="3"/>
      <c r="AI145" s="3"/>
      <c r="AJ145" s="3"/>
      <c r="AK145" s="3"/>
      <c r="AL145" s="3"/>
      <c r="AM145" s="3"/>
      <c r="AN145" s="3"/>
      <c r="AO145" s="3"/>
      <c r="AP145" s="3"/>
      <c r="AQ145" s="3"/>
      <c r="AR145" s="3"/>
      <c r="AS145" s="3"/>
      <c r="AT145" s="3"/>
      <c r="AU145" s="3"/>
      <c r="AV145" s="3"/>
      <c r="AW145" s="3"/>
      <c r="AX145" s="3"/>
      <c r="AY145" s="3"/>
      <c r="AZ145" s="3"/>
      <c r="BA145" s="3"/>
      <c r="BB145" s="3"/>
      <c r="BC145" s="3"/>
      <c r="BD145" s="3"/>
      <c r="BE145" s="3"/>
      <c r="BF145" s="3"/>
    </row>
    <row r="14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20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  <c r="AG146" s="3"/>
      <c r="AH146" s="3"/>
      <c r="AI146" s="3"/>
      <c r="AJ146" s="3"/>
      <c r="AK146" s="3"/>
      <c r="AL146" s="3"/>
      <c r="AM146" s="3"/>
      <c r="AN146" s="3"/>
      <c r="AO146" s="3"/>
      <c r="AP146" s="3"/>
      <c r="AQ146" s="3"/>
      <c r="AR146" s="3"/>
      <c r="AS146" s="3"/>
      <c r="AT146" s="3"/>
      <c r="AU146" s="3"/>
      <c r="AV146" s="3"/>
      <c r="AW146" s="3"/>
      <c r="AX146" s="3"/>
      <c r="AY146" s="3"/>
      <c r="AZ146" s="3"/>
      <c r="BA146" s="3"/>
      <c r="BB146" s="3"/>
      <c r="BC146" s="3"/>
      <c r="BD146" s="3"/>
      <c r="BE146" s="3"/>
      <c r="BF146" s="3"/>
    </row>
    <row r="147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20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  <c r="AG147" s="3"/>
      <c r="AH147" s="3"/>
      <c r="AI147" s="3"/>
      <c r="AJ147" s="3"/>
      <c r="AK147" s="3"/>
      <c r="AL147" s="3"/>
      <c r="AM147" s="3"/>
      <c r="AN147" s="3"/>
      <c r="AO147" s="3"/>
      <c r="AP147" s="3"/>
      <c r="AQ147" s="3"/>
      <c r="AR147" s="3"/>
      <c r="AS147" s="3"/>
      <c r="AT147" s="3"/>
      <c r="AU147" s="3"/>
      <c r="AV147" s="3"/>
      <c r="AW147" s="3"/>
      <c r="AX147" s="3"/>
      <c r="AY147" s="3"/>
      <c r="AZ147" s="3"/>
      <c r="BA147" s="3"/>
      <c r="BB147" s="3"/>
      <c r="BC147" s="3"/>
      <c r="BD147" s="3"/>
      <c r="BE147" s="3"/>
      <c r="BF147" s="3"/>
    </row>
    <row r="148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20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  <c r="AG148" s="3"/>
      <c r="AH148" s="3"/>
      <c r="AI148" s="3"/>
      <c r="AJ148" s="3"/>
      <c r="AK148" s="3"/>
      <c r="AL148" s="3"/>
      <c r="AM148" s="3"/>
      <c r="AN148" s="3"/>
      <c r="AO148" s="3"/>
      <c r="AP148" s="3"/>
      <c r="AQ148" s="3"/>
      <c r="AR148" s="3"/>
      <c r="AS148" s="3"/>
      <c r="AT148" s="3"/>
      <c r="AU148" s="3"/>
      <c r="AV148" s="3"/>
      <c r="AW148" s="3"/>
      <c r="AX148" s="3"/>
      <c r="AY148" s="3"/>
      <c r="AZ148" s="3"/>
      <c r="BA148" s="3"/>
      <c r="BB148" s="3"/>
      <c r="BC148" s="3"/>
      <c r="BD148" s="3"/>
      <c r="BE148" s="3"/>
      <c r="BF148" s="3"/>
    </row>
    <row r="149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20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  <c r="AG149" s="3"/>
      <c r="AH149" s="3"/>
      <c r="AI149" s="3"/>
      <c r="AJ149" s="3"/>
      <c r="AK149" s="3"/>
      <c r="AL149" s="3"/>
      <c r="AM149" s="3"/>
      <c r="AN149" s="3"/>
      <c r="AO149" s="3"/>
      <c r="AP149" s="3"/>
      <c r="AQ149" s="3"/>
      <c r="AR149" s="3"/>
      <c r="AS149" s="3"/>
      <c r="AT149" s="3"/>
      <c r="AU149" s="3"/>
      <c r="AV149" s="3"/>
      <c r="AW149" s="3"/>
      <c r="AX149" s="3"/>
      <c r="AY149" s="3"/>
      <c r="AZ149" s="3"/>
      <c r="BA149" s="3"/>
      <c r="BB149" s="3"/>
      <c r="BC149" s="3"/>
      <c r="BD149" s="3"/>
      <c r="BE149" s="3"/>
      <c r="BF149" s="3"/>
    </row>
    <row r="150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20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  <c r="AG150" s="3"/>
      <c r="AH150" s="3"/>
      <c r="AI150" s="3"/>
      <c r="AJ150" s="3"/>
      <c r="AK150" s="3"/>
      <c r="AL150" s="3"/>
      <c r="AM150" s="3"/>
      <c r="AN150" s="3"/>
      <c r="AO150" s="3"/>
      <c r="AP150" s="3"/>
      <c r="AQ150" s="3"/>
      <c r="AR150" s="3"/>
      <c r="AS150" s="3"/>
      <c r="AT150" s="3"/>
      <c r="AU150" s="3"/>
      <c r="AV150" s="3"/>
      <c r="AW150" s="3"/>
      <c r="AX150" s="3"/>
      <c r="AY150" s="3"/>
      <c r="AZ150" s="3"/>
      <c r="BA150" s="3"/>
      <c r="BB150" s="3"/>
      <c r="BC150" s="3"/>
      <c r="BD150" s="3"/>
      <c r="BE150" s="3"/>
      <c r="BF150" s="3"/>
    </row>
    <row r="15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20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  <c r="AG151" s="3"/>
      <c r="AH151" s="3"/>
      <c r="AI151" s="3"/>
      <c r="AJ151" s="3"/>
      <c r="AK151" s="3"/>
      <c r="AL151" s="3"/>
      <c r="AM151" s="3"/>
      <c r="AN151" s="3"/>
      <c r="AO151" s="3"/>
      <c r="AP151" s="3"/>
      <c r="AQ151" s="3"/>
      <c r="AR151" s="3"/>
      <c r="AS151" s="3"/>
      <c r="AT151" s="3"/>
      <c r="AU151" s="3"/>
      <c r="AV151" s="3"/>
      <c r="AW151" s="3"/>
      <c r="AX151" s="3"/>
      <c r="AY151" s="3"/>
      <c r="AZ151" s="3"/>
      <c r="BA151" s="3"/>
      <c r="BB151" s="3"/>
      <c r="BC151" s="3"/>
      <c r="BD151" s="3"/>
      <c r="BE151" s="3"/>
      <c r="BF151" s="3"/>
    </row>
    <row r="152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20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  <c r="AG152" s="3"/>
      <c r="AH152" s="3"/>
      <c r="AI152" s="3"/>
      <c r="AJ152" s="3"/>
      <c r="AK152" s="3"/>
      <c r="AL152" s="3"/>
      <c r="AM152" s="3"/>
      <c r="AN152" s="3"/>
      <c r="AO152" s="3"/>
      <c r="AP152" s="3"/>
      <c r="AQ152" s="3"/>
      <c r="AR152" s="3"/>
      <c r="AS152" s="3"/>
      <c r="AT152" s="3"/>
      <c r="AU152" s="3"/>
      <c r="AV152" s="3"/>
      <c r="AW152" s="3"/>
      <c r="AX152" s="3"/>
      <c r="AY152" s="3"/>
      <c r="AZ152" s="3"/>
      <c r="BA152" s="3"/>
      <c r="BB152" s="3"/>
      <c r="BC152" s="3"/>
      <c r="BD152" s="3"/>
      <c r="BE152" s="3"/>
      <c r="BF152" s="3"/>
    </row>
    <row r="15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20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  <c r="AG153" s="3"/>
      <c r="AH153" s="3"/>
      <c r="AI153" s="3"/>
      <c r="AJ153" s="3"/>
      <c r="AK153" s="3"/>
      <c r="AL153" s="3"/>
      <c r="AM153" s="3"/>
      <c r="AN153" s="3"/>
      <c r="AO153" s="3"/>
      <c r="AP153" s="3"/>
      <c r="AQ153" s="3"/>
      <c r="AR153" s="3"/>
      <c r="AS153" s="3"/>
      <c r="AT153" s="3"/>
      <c r="AU153" s="3"/>
      <c r="AV153" s="3"/>
      <c r="AW153" s="3"/>
      <c r="AX153" s="3"/>
      <c r="AY153" s="3"/>
      <c r="AZ153" s="3"/>
      <c r="BA153" s="3"/>
      <c r="BB153" s="3"/>
      <c r="BC153" s="3"/>
      <c r="BD153" s="3"/>
      <c r="BE153" s="3"/>
      <c r="BF153" s="3"/>
    </row>
    <row r="154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20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  <c r="AG154" s="3"/>
      <c r="AH154" s="3"/>
      <c r="AI154" s="3"/>
      <c r="AJ154" s="3"/>
      <c r="AK154" s="3"/>
      <c r="AL154" s="3"/>
      <c r="AM154" s="3"/>
      <c r="AN154" s="3"/>
      <c r="AO154" s="3"/>
      <c r="AP154" s="3"/>
      <c r="AQ154" s="3"/>
      <c r="AR154" s="3"/>
      <c r="AS154" s="3"/>
      <c r="AT154" s="3"/>
      <c r="AU154" s="3"/>
      <c r="AV154" s="3"/>
      <c r="AW154" s="3"/>
      <c r="AX154" s="3"/>
      <c r="AY154" s="3"/>
      <c r="AZ154" s="3"/>
      <c r="BA154" s="3"/>
      <c r="BB154" s="3"/>
      <c r="BC154" s="3"/>
      <c r="BD154" s="3"/>
      <c r="BE154" s="3"/>
      <c r="BF154" s="3"/>
    </row>
    <row r="155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20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  <c r="AG155" s="3"/>
      <c r="AH155" s="3"/>
      <c r="AI155" s="3"/>
      <c r="AJ155" s="3"/>
      <c r="AK155" s="3"/>
      <c r="AL155" s="3"/>
      <c r="AM155" s="3"/>
      <c r="AN155" s="3"/>
      <c r="AO155" s="3"/>
      <c r="AP155" s="3"/>
      <c r="AQ155" s="3"/>
      <c r="AR155" s="3"/>
      <c r="AS155" s="3"/>
      <c r="AT155" s="3"/>
      <c r="AU155" s="3"/>
      <c r="AV155" s="3"/>
      <c r="AW155" s="3"/>
      <c r="AX155" s="3"/>
      <c r="AY155" s="3"/>
      <c r="AZ155" s="3"/>
      <c r="BA155" s="3"/>
      <c r="BB155" s="3"/>
      <c r="BC155" s="3"/>
      <c r="BD155" s="3"/>
      <c r="BE155" s="3"/>
      <c r="BF155" s="3"/>
    </row>
    <row r="15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20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  <c r="AG156" s="3"/>
      <c r="AH156" s="3"/>
      <c r="AI156" s="3"/>
      <c r="AJ156" s="3"/>
      <c r="AK156" s="3"/>
      <c r="AL156" s="3"/>
      <c r="AM156" s="3"/>
      <c r="AN156" s="3"/>
      <c r="AO156" s="3"/>
      <c r="AP156" s="3"/>
      <c r="AQ156" s="3"/>
      <c r="AR156" s="3"/>
      <c r="AS156" s="3"/>
      <c r="AT156" s="3"/>
      <c r="AU156" s="3"/>
      <c r="AV156" s="3"/>
      <c r="AW156" s="3"/>
      <c r="AX156" s="3"/>
      <c r="AY156" s="3"/>
      <c r="AZ156" s="3"/>
      <c r="BA156" s="3"/>
      <c r="BB156" s="3"/>
      <c r="BC156" s="3"/>
      <c r="BD156" s="3"/>
      <c r="BE156" s="3"/>
      <c r="BF156" s="3"/>
    </row>
    <row r="157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20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  <c r="AG157" s="3"/>
      <c r="AH157" s="3"/>
      <c r="AI157" s="3"/>
      <c r="AJ157" s="3"/>
      <c r="AK157" s="3"/>
      <c r="AL157" s="3"/>
      <c r="AM157" s="3"/>
      <c r="AN157" s="3"/>
      <c r="AO157" s="3"/>
      <c r="AP157" s="3"/>
      <c r="AQ157" s="3"/>
      <c r="AR157" s="3"/>
      <c r="AS157" s="3"/>
      <c r="AT157" s="3"/>
      <c r="AU157" s="3"/>
      <c r="AV157" s="3"/>
      <c r="AW157" s="3"/>
      <c r="AX157" s="3"/>
      <c r="AY157" s="3"/>
      <c r="AZ157" s="3"/>
      <c r="BA157" s="3"/>
      <c r="BB157" s="3"/>
      <c r="BC157" s="3"/>
      <c r="BD157" s="3"/>
      <c r="BE157" s="3"/>
      <c r="BF157" s="3"/>
    </row>
    <row r="158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20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  <c r="AG158" s="3"/>
      <c r="AH158" s="3"/>
      <c r="AI158" s="3"/>
      <c r="AJ158" s="3"/>
      <c r="AK158" s="3"/>
      <c r="AL158" s="3"/>
      <c r="AM158" s="3"/>
      <c r="AN158" s="3"/>
      <c r="AO158" s="3"/>
      <c r="AP158" s="3"/>
      <c r="AQ158" s="3"/>
      <c r="AR158" s="3"/>
      <c r="AS158" s="3"/>
      <c r="AT158" s="3"/>
      <c r="AU158" s="3"/>
      <c r="AV158" s="3"/>
      <c r="AW158" s="3"/>
      <c r="AX158" s="3"/>
      <c r="AY158" s="3"/>
      <c r="AZ158" s="3"/>
      <c r="BA158" s="3"/>
      <c r="BB158" s="3"/>
      <c r="BC158" s="3"/>
      <c r="BD158" s="3"/>
      <c r="BE158" s="3"/>
      <c r="BF158" s="3"/>
    </row>
    <row r="159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20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  <c r="AG159" s="3"/>
      <c r="AH159" s="3"/>
      <c r="AI159" s="3"/>
      <c r="AJ159" s="3"/>
      <c r="AK159" s="3"/>
      <c r="AL159" s="3"/>
      <c r="AM159" s="3"/>
      <c r="AN159" s="3"/>
      <c r="AO159" s="3"/>
      <c r="AP159" s="3"/>
      <c r="AQ159" s="3"/>
      <c r="AR159" s="3"/>
      <c r="AS159" s="3"/>
      <c r="AT159" s="3"/>
      <c r="AU159" s="3"/>
      <c r="AV159" s="3"/>
      <c r="AW159" s="3"/>
      <c r="AX159" s="3"/>
      <c r="AY159" s="3"/>
      <c r="AZ159" s="3"/>
      <c r="BA159" s="3"/>
      <c r="BB159" s="3"/>
      <c r="BC159" s="3"/>
      <c r="BD159" s="3"/>
      <c r="BE159" s="3"/>
      <c r="BF159" s="3"/>
    </row>
    <row r="160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20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  <c r="AG160" s="3"/>
      <c r="AH160" s="3"/>
      <c r="AI160" s="3"/>
      <c r="AJ160" s="3"/>
      <c r="AK160" s="3"/>
      <c r="AL160" s="3"/>
      <c r="AM160" s="3"/>
      <c r="AN160" s="3"/>
      <c r="AO160" s="3"/>
      <c r="AP160" s="3"/>
      <c r="AQ160" s="3"/>
      <c r="AR160" s="3"/>
      <c r="AS160" s="3"/>
      <c r="AT160" s="3"/>
      <c r="AU160" s="3"/>
      <c r="AV160" s="3"/>
      <c r="AW160" s="3"/>
      <c r="AX160" s="3"/>
      <c r="AY160" s="3"/>
      <c r="AZ160" s="3"/>
      <c r="BA160" s="3"/>
      <c r="BB160" s="3"/>
      <c r="BC160" s="3"/>
      <c r="BD160" s="3"/>
      <c r="BE160" s="3"/>
      <c r="BF160" s="3"/>
    </row>
    <row r="16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20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  <c r="AG161" s="3"/>
      <c r="AH161" s="3"/>
      <c r="AI161" s="3"/>
      <c r="AJ161" s="3"/>
      <c r="AK161" s="3"/>
      <c r="AL161" s="3"/>
      <c r="AM161" s="3"/>
      <c r="AN161" s="3"/>
      <c r="AO161" s="3"/>
      <c r="AP161" s="3"/>
      <c r="AQ161" s="3"/>
      <c r="AR161" s="3"/>
      <c r="AS161" s="3"/>
      <c r="AT161" s="3"/>
      <c r="AU161" s="3"/>
      <c r="AV161" s="3"/>
      <c r="AW161" s="3"/>
      <c r="AX161" s="3"/>
      <c r="AY161" s="3"/>
      <c r="AZ161" s="3"/>
      <c r="BA161" s="3"/>
      <c r="BB161" s="3"/>
      <c r="BC161" s="3"/>
      <c r="BD161" s="3"/>
      <c r="BE161" s="3"/>
      <c r="BF161" s="3"/>
    </row>
    <row r="162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20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3"/>
      <c r="AX162" s="3"/>
      <c r="AY162" s="3"/>
      <c r="AZ162" s="3"/>
      <c r="BA162" s="3"/>
      <c r="BB162" s="3"/>
      <c r="BC162" s="3"/>
      <c r="BD162" s="3"/>
      <c r="BE162" s="3"/>
      <c r="BF162" s="3"/>
    </row>
    <row r="16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20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  <c r="AG163" s="3"/>
      <c r="AH163" s="3"/>
      <c r="AI163" s="3"/>
      <c r="AJ163" s="3"/>
      <c r="AK163" s="3"/>
      <c r="AL163" s="3"/>
      <c r="AM163" s="3"/>
      <c r="AN163" s="3"/>
      <c r="AO163" s="3"/>
      <c r="AP163" s="3"/>
      <c r="AQ163" s="3"/>
      <c r="AR163" s="3"/>
      <c r="AS163" s="3"/>
      <c r="AT163" s="3"/>
      <c r="AU163" s="3"/>
      <c r="AV163" s="3"/>
      <c r="AW163" s="3"/>
      <c r="AX163" s="3"/>
      <c r="AY163" s="3"/>
      <c r="AZ163" s="3"/>
      <c r="BA163" s="3"/>
      <c r="BB163" s="3"/>
      <c r="BC163" s="3"/>
      <c r="BD163" s="3"/>
      <c r="BE163" s="3"/>
      <c r="BF163" s="3"/>
    </row>
    <row r="164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20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  <c r="AG164" s="3"/>
      <c r="AH164" s="3"/>
      <c r="AI164" s="3"/>
      <c r="AJ164" s="3"/>
      <c r="AK164" s="3"/>
      <c r="AL164" s="3"/>
      <c r="AM164" s="3"/>
      <c r="AN164" s="3"/>
      <c r="AO164" s="3"/>
      <c r="AP164" s="3"/>
      <c r="AQ164" s="3"/>
      <c r="AR164" s="3"/>
      <c r="AS164" s="3"/>
      <c r="AT164" s="3"/>
      <c r="AU164" s="3"/>
      <c r="AV164" s="3"/>
      <c r="AW164" s="3"/>
      <c r="AX164" s="3"/>
      <c r="AY164" s="3"/>
      <c r="AZ164" s="3"/>
      <c r="BA164" s="3"/>
      <c r="BB164" s="3"/>
      <c r="BC164" s="3"/>
      <c r="BD164" s="3"/>
      <c r="BE164" s="3"/>
      <c r="BF164" s="3"/>
    </row>
    <row r="165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20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  <c r="AG165" s="3"/>
      <c r="AH165" s="3"/>
      <c r="AI165" s="3"/>
      <c r="AJ165" s="3"/>
      <c r="AK165" s="3"/>
      <c r="AL165" s="3"/>
      <c r="AM165" s="3"/>
      <c r="AN165" s="3"/>
      <c r="AO165" s="3"/>
      <c r="AP165" s="3"/>
      <c r="AQ165" s="3"/>
      <c r="AR165" s="3"/>
      <c r="AS165" s="3"/>
      <c r="AT165" s="3"/>
      <c r="AU165" s="3"/>
      <c r="AV165" s="3"/>
      <c r="AW165" s="3"/>
      <c r="AX165" s="3"/>
      <c r="AY165" s="3"/>
      <c r="AZ165" s="3"/>
      <c r="BA165" s="3"/>
      <c r="BB165" s="3"/>
      <c r="BC165" s="3"/>
      <c r="BD165" s="3"/>
      <c r="BE165" s="3"/>
      <c r="BF165" s="3"/>
    </row>
    <row r="16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20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  <c r="AG166" s="3"/>
      <c r="AH166" s="3"/>
      <c r="AI166" s="3"/>
      <c r="AJ166" s="3"/>
      <c r="AK166" s="3"/>
      <c r="AL166" s="3"/>
      <c r="AM166" s="3"/>
      <c r="AN166" s="3"/>
      <c r="AO166" s="3"/>
      <c r="AP166" s="3"/>
      <c r="AQ166" s="3"/>
      <c r="AR166" s="3"/>
      <c r="AS166" s="3"/>
      <c r="AT166" s="3"/>
      <c r="AU166" s="3"/>
      <c r="AV166" s="3"/>
      <c r="AW166" s="3"/>
      <c r="AX166" s="3"/>
      <c r="AY166" s="3"/>
      <c r="AZ166" s="3"/>
      <c r="BA166" s="3"/>
      <c r="BB166" s="3"/>
      <c r="BC166" s="3"/>
      <c r="BD166" s="3"/>
      <c r="BE166" s="3"/>
      <c r="BF166" s="3"/>
    </row>
    <row r="167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20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  <c r="AG167" s="3"/>
      <c r="AH167" s="3"/>
      <c r="AI167" s="3"/>
      <c r="AJ167" s="3"/>
      <c r="AK167" s="3"/>
      <c r="AL167" s="3"/>
      <c r="AM167" s="3"/>
      <c r="AN167" s="3"/>
      <c r="AO167" s="3"/>
      <c r="AP167" s="3"/>
      <c r="AQ167" s="3"/>
      <c r="AR167" s="3"/>
      <c r="AS167" s="3"/>
      <c r="AT167" s="3"/>
      <c r="AU167" s="3"/>
      <c r="AV167" s="3"/>
      <c r="AW167" s="3"/>
      <c r="AX167" s="3"/>
      <c r="AY167" s="3"/>
      <c r="AZ167" s="3"/>
      <c r="BA167" s="3"/>
      <c r="BB167" s="3"/>
      <c r="BC167" s="3"/>
      <c r="BD167" s="3"/>
      <c r="BE167" s="3"/>
      <c r="BF167" s="3"/>
    </row>
    <row r="168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20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  <c r="AG168" s="3"/>
      <c r="AH168" s="3"/>
      <c r="AI168" s="3"/>
      <c r="AJ168" s="3"/>
      <c r="AK168" s="3"/>
      <c r="AL168" s="3"/>
      <c r="AM168" s="3"/>
      <c r="AN168" s="3"/>
      <c r="AO168" s="3"/>
      <c r="AP168" s="3"/>
      <c r="AQ168" s="3"/>
      <c r="AR168" s="3"/>
      <c r="AS168" s="3"/>
      <c r="AT168" s="3"/>
      <c r="AU168" s="3"/>
      <c r="AV168" s="3"/>
      <c r="AW168" s="3"/>
      <c r="AX168" s="3"/>
      <c r="AY168" s="3"/>
      <c r="AZ168" s="3"/>
      <c r="BA168" s="3"/>
      <c r="BB168" s="3"/>
      <c r="BC168" s="3"/>
      <c r="BD168" s="3"/>
      <c r="BE168" s="3"/>
      <c r="BF168" s="3"/>
    </row>
    <row r="169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20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  <c r="AG169" s="3"/>
      <c r="AH169" s="3"/>
      <c r="AI169" s="3"/>
      <c r="AJ169" s="3"/>
      <c r="AK169" s="3"/>
      <c r="AL169" s="3"/>
      <c r="AM169" s="3"/>
      <c r="AN169" s="3"/>
      <c r="AO169" s="3"/>
      <c r="AP169" s="3"/>
      <c r="AQ169" s="3"/>
      <c r="AR169" s="3"/>
      <c r="AS169" s="3"/>
      <c r="AT169" s="3"/>
      <c r="AU169" s="3"/>
      <c r="AV169" s="3"/>
      <c r="AW169" s="3"/>
      <c r="AX169" s="3"/>
      <c r="AY169" s="3"/>
      <c r="AZ169" s="3"/>
      <c r="BA169" s="3"/>
      <c r="BB169" s="3"/>
      <c r="BC169" s="3"/>
      <c r="BD169" s="3"/>
      <c r="BE169" s="3"/>
      <c r="BF169" s="3"/>
    </row>
    <row r="170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20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  <c r="AG170" s="3"/>
      <c r="AH170" s="3"/>
      <c r="AI170" s="3"/>
      <c r="AJ170" s="3"/>
      <c r="AK170" s="3"/>
      <c r="AL170" s="3"/>
      <c r="AM170" s="3"/>
      <c r="AN170" s="3"/>
      <c r="AO170" s="3"/>
      <c r="AP170" s="3"/>
      <c r="AQ170" s="3"/>
      <c r="AR170" s="3"/>
      <c r="AS170" s="3"/>
      <c r="AT170" s="3"/>
      <c r="AU170" s="3"/>
      <c r="AV170" s="3"/>
      <c r="AW170" s="3"/>
      <c r="AX170" s="3"/>
      <c r="AY170" s="3"/>
      <c r="AZ170" s="3"/>
      <c r="BA170" s="3"/>
      <c r="BB170" s="3"/>
      <c r="BC170" s="3"/>
      <c r="BD170" s="3"/>
      <c r="BE170" s="3"/>
      <c r="BF170" s="3"/>
    </row>
    <row r="17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20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  <c r="AG171" s="3"/>
      <c r="AH171" s="3"/>
      <c r="AI171" s="3"/>
      <c r="AJ171" s="3"/>
      <c r="AK171" s="3"/>
      <c r="AL171" s="3"/>
      <c r="AM171" s="3"/>
      <c r="AN171" s="3"/>
      <c r="AO171" s="3"/>
      <c r="AP171" s="3"/>
      <c r="AQ171" s="3"/>
      <c r="AR171" s="3"/>
      <c r="AS171" s="3"/>
      <c r="AT171" s="3"/>
      <c r="AU171" s="3"/>
      <c r="AV171" s="3"/>
      <c r="AW171" s="3"/>
      <c r="AX171" s="3"/>
      <c r="AY171" s="3"/>
      <c r="AZ171" s="3"/>
      <c r="BA171" s="3"/>
      <c r="BB171" s="3"/>
      <c r="BC171" s="3"/>
      <c r="BD171" s="3"/>
      <c r="BE171" s="3"/>
      <c r="BF171" s="3"/>
    </row>
    <row r="172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20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  <c r="AG172" s="3"/>
      <c r="AH172" s="3"/>
      <c r="AI172" s="3"/>
      <c r="AJ172" s="3"/>
      <c r="AK172" s="3"/>
      <c r="AL172" s="3"/>
      <c r="AM172" s="3"/>
      <c r="AN172" s="3"/>
      <c r="AO172" s="3"/>
      <c r="AP172" s="3"/>
      <c r="AQ172" s="3"/>
      <c r="AR172" s="3"/>
      <c r="AS172" s="3"/>
      <c r="AT172" s="3"/>
      <c r="AU172" s="3"/>
      <c r="AV172" s="3"/>
      <c r="AW172" s="3"/>
      <c r="AX172" s="3"/>
      <c r="AY172" s="3"/>
      <c r="AZ172" s="3"/>
      <c r="BA172" s="3"/>
      <c r="BB172" s="3"/>
      <c r="BC172" s="3"/>
      <c r="BD172" s="3"/>
      <c r="BE172" s="3"/>
      <c r="BF172" s="3"/>
    </row>
    <row r="17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20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  <c r="AG173" s="3"/>
      <c r="AH173" s="3"/>
      <c r="AI173" s="3"/>
      <c r="AJ173" s="3"/>
      <c r="AK173" s="3"/>
      <c r="AL173" s="3"/>
      <c r="AM173" s="3"/>
      <c r="AN173" s="3"/>
      <c r="AO173" s="3"/>
      <c r="AP173" s="3"/>
      <c r="AQ173" s="3"/>
      <c r="AR173" s="3"/>
      <c r="AS173" s="3"/>
      <c r="AT173" s="3"/>
      <c r="AU173" s="3"/>
      <c r="AV173" s="3"/>
      <c r="AW173" s="3"/>
      <c r="AX173" s="3"/>
      <c r="AY173" s="3"/>
      <c r="AZ173" s="3"/>
      <c r="BA173" s="3"/>
      <c r="BB173" s="3"/>
      <c r="BC173" s="3"/>
      <c r="BD173" s="3"/>
      <c r="BE173" s="3"/>
      <c r="BF173" s="3"/>
    </row>
    <row r="174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20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  <c r="AG174" s="3"/>
      <c r="AH174" s="3"/>
      <c r="AI174" s="3"/>
      <c r="AJ174" s="3"/>
      <c r="AK174" s="3"/>
      <c r="AL174" s="3"/>
      <c r="AM174" s="3"/>
      <c r="AN174" s="3"/>
      <c r="AO174" s="3"/>
      <c r="AP174" s="3"/>
      <c r="AQ174" s="3"/>
      <c r="AR174" s="3"/>
      <c r="AS174" s="3"/>
      <c r="AT174" s="3"/>
      <c r="AU174" s="3"/>
      <c r="AV174" s="3"/>
      <c r="AW174" s="3"/>
      <c r="AX174" s="3"/>
      <c r="AY174" s="3"/>
      <c r="AZ174" s="3"/>
      <c r="BA174" s="3"/>
      <c r="BB174" s="3"/>
      <c r="BC174" s="3"/>
      <c r="BD174" s="3"/>
      <c r="BE174" s="3"/>
      <c r="BF174" s="3"/>
    </row>
    <row r="175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20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  <c r="AG175" s="3"/>
      <c r="AH175" s="3"/>
      <c r="AI175" s="3"/>
      <c r="AJ175" s="3"/>
      <c r="AK175" s="3"/>
      <c r="AL175" s="3"/>
      <c r="AM175" s="3"/>
      <c r="AN175" s="3"/>
      <c r="AO175" s="3"/>
      <c r="AP175" s="3"/>
      <c r="AQ175" s="3"/>
      <c r="AR175" s="3"/>
      <c r="AS175" s="3"/>
      <c r="AT175" s="3"/>
      <c r="AU175" s="3"/>
      <c r="AV175" s="3"/>
      <c r="AW175" s="3"/>
      <c r="AX175" s="3"/>
      <c r="AY175" s="3"/>
      <c r="AZ175" s="3"/>
      <c r="BA175" s="3"/>
      <c r="BB175" s="3"/>
      <c r="BC175" s="3"/>
      <c r="BD175" s="3"/>
      <c r="BE175" s="3"/>
      <c r="BF175" s="3"/>
    </row>
    <row r="17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20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  <c r="AG176" s="3"/>
      <c r="AH176" s="3"/>
      <c r="AI176" s="3"/>
      <c r="AJ176" s="3"/>
      <c r="AK176" s="3"/>
      <c r="AL176" s="3"/>
      <c r="AM176" s="3"/>
      <c r="AN176" s="3"/>
      <c r="AO176" s="3"/>
      <c r="AP176" s="3"/>
      <c r="AQ176" s="3"/>
      <c r="AR176" s="3"/>
      <c r="AS176" s="3"/>
      <c r="AT176" s="3"/>
      <c r="AU176" s="3"/>
      <c r="AV176" s="3"/>
      <c r="AW176" s="3"/>
      <c r="AX176" s="3"/>
      <c r="AY176" s="3"/>
      <c r="AZ176" s="3"/>
      <c r="BA176" s="3"/>
      <c r="BB176" s="3"/>
      <c r="BC176" s="3"/>
      <c r="BD176" s="3"/>
      <c r="BE176" s="3"/>
      <c r="BF176" s="3"/>
    </row>
    <row r="177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20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  <c r="AG177" s="3"/>
      <c r="AH177" s="3"/>
      <c r="AI177" s="3"/>
      <c r="AJ177" s="3"/>
      <c r="AK177" s="3"/>
      <c r="AL177" s="3"/>
      <c r="AM177" s="3"/>
      <c r="AN177" s="3"/>
      <c r="AO177" s="3"/>
      <c r="AP177" s="3"/>
      <c r="AQ177" s="3"/>
      <c r="AR177" s="3"/>
      <c r="AS177" s="3"/>
      <c r="AT177" s="3"/>
      <c r="AU177" s="3"/>
      <c r="AV177" s="3"/>
      <c r="AW177" s="3"/>
      <c r="AX177" s="3"/>
      <c r="AY177" s="3"/>
      <c r="AZ177" s="3"/>
      <c r="BA177" s="3"/>
      <c r="BB177" s="3"/>
      <c r="BC177" s="3"/>
      <c r="BD177" s="3"/>
      <c r="BE177" s="3"/>
      <c r="BF177" s="3"/>
    </row>
    <row r="178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20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  <c r="AG178" s="3"/>
      <c r="AH178" s="3"/>
      <c r="AI178" s="3"/>
      <c r="AJ178" s="3"/>
      <c r="AK178" s="3"/>
      <c r="AL178" s="3"/>
      <c r="AM178" s="3"/>
      <c r="AN178" s="3"/>
      <c r="AO178" s="3"/>
      <c r="AP178" s="3"/>
      <c r="AQ178" s="3"/>
      <c r="AR178" s="3"/>
      <c r="AS178" s="3"/>
      <c r="AT178" s="3"/>
      <c r="AU178" s="3"/>
      <c r="AV178" s="3"/>
      <c r="AW178" s="3"/>
      <c r="AX178" s="3"/>
      <c r="AY178" s="3"/>
      <c r="AZ178" s="3"/>
      <c r="BA178" s="3"/>
      <c r="BB178" s="3"/>
      <c r="BC178" s="3"/>
      <c r="BD178" s="3"/>
      <c r="BE178" s="3"/>
      <c r="BF178" s="3"/>
    </row>
    <row r="179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20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  <c r="AG179" s="3"/>
      <c r="AH179" s="3"/>
      <c r="AI179" s="3"/>
      <c r="AJ179" s="3"/>
      <c r="AK179" s="3"/>
      <c r="AL179" s="3"/>
      <c r="AM179" s="3"/>
      <c r="AN179" s="3"/>
      <c r="AO179" s="3"/>
      <c r="AP179" s="3"/>
      <c r="AQ179" s="3"/>
      <c r="AR179" s="3"/>
      <c r="AS179" s="3"/>
      <c r="AT179" s="3"/>
      <c r="AU179" s="3"/>
      <c r="AV179" s="3"/>
      <c r="AW179" s="3"/>
      <c r="AX179" s="3"/>
      <c r="AY179" s="3"/>
      <c r="AZ179" s="3"/>
      <c r="BA179" s="3"/>
      <c r="BB179" s="3"/>
      <c r="BC179" s="3"/>
      <c r="BD179" s="3"/>
      <c r="BE179" s="3"/>
      <c r="BF179" s="3"/>
    </row>
    <row r="180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20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  <c r="AG180" s="3"/>
      <c r="AH180" s="3"/>
      <c r="AI180" s="3"/>
      <c r="AJ180" s="3"/>
      <c r="AK180" s="3"/>
      <c r="AL180" s="3"/>
      <c r="AM180" s="3"/>
      <c r="AN180" s="3"/>
      <c r="AO180" s="3"/>
      <c r="AP180" s="3"/>
      <c r="AQ180" s="3"/>
      <c r="AR180" s="3"/>
      <c r="AS180" s="3"/>
      <c r="AT180" s="3"/>
      <c r="AU180" s="3"/>
      <c r="AV180" s="3"/>
      <c r="AW180" s="3"/>
      <c r="AX180" s="3"/>
      <c r="AY180" s="3"/>
      <c r="AZ180" s="3"/>
      <c r="BA180" s="3"/>
      <c r="BB180" s="3"/>
      <c r="BC180" s="3"/>
      <c r="BD180" s="3"/>
      <c r="BE180" s="3"/>
      <c r="BF180" s="3"/>
    </row>
    <row r="18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20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  <c r="AG181" s="3"/>
      <c r="AH181" s="3"/>
      <c r="AI181" s="3"/>
      <c r="AJ181" s="3"/>
      <c r="AK181" s="3"/>
      <c r="AL181" s="3"/>
      <c r="AM181" s="3"/>
      <c r="AN181" s="3"/>
      <c r="AO181" s="3"/>
      <c r="AP181" s="3"/>
      <c r="AQ181" s="3"/>
      <c r="AR181" s="3"/>
      <c r="AS181" s="3"/>
      <c r="AT181" s="3"/>
      <c r="AU181" s="3"/>
      <c r="AV181" s="3"/>
      <c r="AW181" s="3"/>
      <c r="AX181" s="3"/>
      <c r="AY181" s="3"/>
      <c r="AZ181" s="3"/>
      <c r="BA181" s="3"/>
      <c r="BB181" s="3"/>
      <c r="BC181" s="3"/>
      <c r="BD181" s="3"/>
      <c r="BE181" s="3"/>
      <c r="BF181" s="3"/>
    </row>
    <row r="182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20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  <c r="AG182" s="3"/>
      <c r="AH182" s="3"/>
      <c r="AI182" s="3"/>
      <c r="AJ182" s="3"/>
      <c r="AK182" s="3"/>
      <c r="AL182" s="3"/>
      <c r="AM182" s="3"/>
      <c r="AN182" s="3"/>
      <c r="AO182" s="3"/>
      <c r="AP182" s="3"/>
      <c r="AQ182" s="3"/>
      <c r="AR182" s="3"/>
      <c r="AS182" s="3"/>
      <c r="AT182" s="3"/>
      <c r="AU182" s="3"/>
      <c r="AV182" s="3"/>
      <c r="AW182" s="3"/>
      <c r="AX182" s="3"/>
      <c r="AY182" s="3"/>
      <c r="AZ182" s="3"/>
      <c r="BA182" s="3"/>
      <c r="BB182" s="3"/>
      <c r="BC182" s="3"/>
      <c r="BD182" s="3"/>
      <c r="BE182" s="3"/>
      <c r="BF182" s="3"/>
    </row>
    <row r="18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20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  <c r="AG183" s="3"/>
      <c r="AH183" s="3"/>
      <c r="AI183" s="3"/>
      <c r="AJ183" s="3"/>
      <c r="AK183" s="3"/>
      <c r="AL183" s="3"/>
      <c r="AM183" s="3"/>
      <c r="AN183" s="3"/>
      <c r="AO183" s="3"/>
      <c r="AP183" s="3"/>
      <c r="AQ183" s="3"/>
      <c r="AR183" s="3"/>
      <c r="AS183" s="3"/>
      <c r="AT183" s="3"/>
      <c r="AU183" s="3"/>
      <c r="AV183" s="3"/>
      <c r="AW183" s="3"/>
      <c r="AX183" s="3"/>
      <c r="AY183" s="3"/>
      <c r="AZ183" s="3"/>
      <c r="BA183" s="3"/>
      <c r="BB183" s="3"/>
      <c r="BC183" s="3"/>
      <c r="BD183" s="3"/>
      <c r="BE183" s="3"/>
      <c r="BF183" s="3"/>
    </row>
    <row r="184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20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  <c r="AG184" s="3"/>
      <c r="AH184" s="3"/>
      <c r="AI184" s="3"/>
      <c r="AJ184" s="3"/>
      <c r="AK184" s="3"/>
      <c r="AL184" s="3"/>
      <c r="AM184" s="3"/>
      <c r="AN184" s="3"/>
      <c r="AO184" s="3"/>
      <c r="AP184" s="3"/>
      <c r="AQ184" s="3"/>
      <c r="AR184" s="3"/>
      <c r="AS184" s="3"/>
      <c r="AT184" s="3"/>
      <c r="AU184" s="3"/>
      <c r="AV184" s="3"/>
      <c r="AW184" s="3"/>
      <c r="AX184" s="3"/>
      <c r="AY184" s="3"/>
      <c r="AZ184" s="3"/>
      <c r="BA184" s="3"/>
      <c r="BB184" s="3"/>
      <c r="BC184" s="3"/>
      <c r="BD184" s="3"/>
      <c r="BE184" s="3"/>
      <c r="BF184" s="3"/>
    </row>
    <row r="185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20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  <c r="AG185" s="3"/>
      <c r="AH185" s="3"/>
      <c r="AI185" s="3"/>
      <c r="AJ185" s="3"/>
      <c r="AK185" s="3"/>
      <c r="AL185" s="3"/>
      <c r="AM185" s="3"/>
      <c r="AN185" s="3"/>
      <c r="AO185" s="3"/>
      <c r="AP185" s="3"/>
      <c r="AQ185" s="3"/>
      <c r="AR185" s="3"/>
      <c r="AS185" s="3"/>
      <c r="AT185" s="3"/>
      <c r="AU185" s="3"/>
      <c r="AV185" s="3"/>
      <c r="AW185" s="3"/>
      <c r="AX185" s="3"/>
      <c r="AY185" s="3"/>
      <c r="AZ185" s="3"/>
      <c r="BA185" s="3"/>
      <c r="BB185" s="3"/>
      <c r="BC185" s="3"/>
      <c r="BD185" s="3"/>
      <c r="BE185" s="3"/>
      <c r="BF185" s="3"/>
    </row>
    <row r="18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20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  <c r="AG186" s="3"/>
      <c r="AH186" s="3"/>
      <c r="AI186" s="3"/>
      <c r="AJ186" s="3"/>
      <c r="AK186" s="3"/>
      <c r="AL186" s="3"/>
      <c r="AM186" s="3"/>
      <c r="AN186" s="3"/>
      <c r="AO186" s="3"/>
      <c r="AP186" s="3"/>
      <c r="AQ186" s="3"/>
      <c r="AR186" s="3"/>
      <c r="AS186" s="3"/>
      <c r="AT186" s="3"/>
      <c r="AU186" s="3"/>
      <c r="AV186" s="3"/>
      <c r="AW186" s="3"/>
      <c r="AX186" s="3"/>
      <c r="AY186" s="3"/>
      <c r="AZ186" s="3"/>
      <c r="BA186" s="3"/>
      <c r="BB186" s="3"/>
      <c r="BC186" s="3"/>
      <c r="BD186" s="3"/>
      <c r="BE186" s="3"/>
      <c r="BF186" s="3"/>
    </row>
    <row r="187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20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  <c r="AG187" s="3"/>
      <c r="AH187" s="3"/>
      <c r="AI187" s="3"/>
      <c r="AJ187" s="3"/>
      <c r="AK187" s="3"/>
      <c r="AL187" s="3"/>
      <c r="AM187" s="3"/>
      <c r="AN187" s="3"/>
      <c r="AO187" s="3"/>
      <c r="AP187" s="3"/>
      <c r="AQ187" s="3"/>
      <c r="AR187" s="3"/>
      <c r="AS187" s="3"/>
      <c r="AT187" s="3"/>
      <c r="AU187" s="3"/>
      <c r="AV187" s="3"/>
      <c r="AW187" s="3"/>
      <c r="AX187" s="3"/>
      <c r="AY187" s="3"/>
      <c r="AZ187" s="3"/>
      <c r="BA187" s="3"/>
      <c r="BB187" s="3"/>
      <c r="BC187" s="3"/>
      <c r="BD187" s="3"/>
      <c r="BE187" s="3"/>
      <c r="BF187" s="3"/>
    </row>
    <row r="188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20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  <c r="AG188" s="3"/>
      <c r="AH188" s="3"/>
      <c r="AI188" s="3"/>
      <c r="AJ188" s="3"/>
      <c r="AK188" s="3"/>
      <c r="AL188" s="3"/>
      <c r="AM188" s="3"/>
      <c r="AN188" s="3"/>
      <c r="AO188" s="3"/>
      <c r="AP188" s="3"/>
      <c r="AQ188" s="3"/>
      <c r="AR188" s="3"/>
      <c r="AS188" s="3"/>
      <c r="AT188" s="3"/>
      <c r="AU188" s="3"/>
      <c r="AV188" s="3"/>
      <c r="AW188" s="3"/>
      <c r="AX188" s="3"/>
      <c r="AY188" s="3"/>
      <c r="AZ188" s="3"/>
      <c r="BA188" s="3"/>
      <c r="BB188" s="3"/>
      <c r="BC188" s="3"/>
      <c r="BD188" s="3"/>
      <c r="BE188" s="3"/>
      <c r="BF188" s="3"/>
    </row>
    <row r="189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20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  <c r="AG189" s="3"/>
      <c r="AH189" s="3"/>
      <c r="AI189" s="3"/>
      <c r="AJ189" s="3"/>
      <c r="AK189" s="3"/>
      <c r="AL189" s="3"/>
      <c r="AM189" s="3"/>
      <c r="AN189" s="3"/>
      <c r="AO189" s="3"/>
      <c r="AP189" s="3"/>
      <c r="AQ189" s="3"/>
      <c r="AR189" s="3"/>
      <c r="AS189" s="3"/>
      <c r="AT189" s="3"/>
      <c r="AU189" s="3"/>
      <c r="AV189" s="3"/>
      <c r="AW189" s="3"/>
      <c r="AX189" s="3"/>
      <c r="AY189" s="3"/>
      <c r="AZ189" s="3"/>
      <c r="BA189" s="3"/>
      <c r="BB189" s="3"/>
      <c r="BC189" s="3"/>
      <c r="BD189" s="3"/>
      <c r="BE189" s="3"/>
      <c r="BF189" s="3"/>
    </row>
    <row r="190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20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  <c r="AG190" s="3"/>
      <c r="AH190" s="3"/>
      <c r="AI190" s="3"/>
      <c r="AJ190" s="3"/>
      <c r="AK190" s="3"/>
      <c r="AL190" s="3"/>
      <c r="AM190" s="3"/>
      <c r="AN190" s="3"/>
      <c r="AO190" s="3"/>
      <c r="AP190" s="3"/>
      <c r="AQ190" s="3"/>
      <c r="AR190" s="3"/>
      <c r="AS190" s="3"/>
      <c r="AT190" s="3"/>
      <c r="AU190" s="3"/>
      <c r="AV190" s="3"/>
      <c r="AW190" s="3"/>
      <c r="AX190" s="3"/>
      <c r="AY190" s="3"/>
      <c r="AZ190" s="3"/>
      <c r="BA190" s="3"/>
      <c r="BB190" s="3"/>
      <c r="BC190" s="3"/>
      <c r="BD190" s="3"/>
      <c r="BE190" s="3"/>
      <c r="BF190" s="3"/>
    </row>
    <row r="19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20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  <c r="AG191" s="3"/>
      <c r="AH191" s="3"/>
      <c r="AI191" s="3"/>
      <c r="AJ191" s="3"/>
      <c r="AK191" s="3"/>
      <c r="AL191" s="3"/>
      <c r="AM191" s="3"/>
      <c r="AN191" s="3"/>
      <c r="AO191" s="3"/>
      <c r="AP191" s="3"/>
      <c r="AQ191" s="3"/>
      <c r="AR191" s="3"/>
      <c r="AS191" s="3"/>
      <c r="AT191" s="3"/>
      <c r="AU191" s="3"/>
      <c r="AV191" s="3"/>
      <c r="AW191" s="3"/>
      <c r="AX191" s="3"/>
      <c r="AY191" s="3"/>
      <c r="AZ191" s="3"/>
      <c r="BA191" s="3"/>
      <c r="BB191" s="3"/>
      <c r="BC191" s="3"/>
      <c r="BD191" s="3"/>
      <c r="BE191" s="3"/>
      <c r="BF191" s="3"/>
    </row>
    <row r="192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20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  <c r="AG192" s="3"/>
      <c r="AH192" s="3"/>
      <c r="AI192" s="3"/>
      <c r="AJ192" s="3"/>
      <c r="AK192" s="3"/>
      <c r="AL192" s="3"/>
      <c r="AM192" s="3"/>
      <c r="AN192" s="3"/>
      <c r="AO192" s="3"/>
      <c r="AP192" s="3"/>
      <c r="AQ192" s="3"/>
      <c r="AR192" s="3"/>
      <c r="AS192" s="3"/>
      <c r="AT192" s="3"/>
      <c r="AU192" s="3"/>
      <c r="AV192" s="3"/>
      <c r="AW192" s="3"/>
      <c r="AX192" s="3"/>
      <c r="AY192" s="3"/>
      <c r="AZ192" s="3"/>
      <c r="BA192" s="3"/>
      <c r="BB192" s="3"/>
      <c r="BC192" s="3"/>
      <c r="BD192" s="3"/>
      <c r="BE192" s="3"/>
      <c r="BF192" s="3"/>
    </row>
    <row r="19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20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  <c r="AG193" s="3"/>
      <c r="AH193" s="3"/>
      <c r="AI193" s="3"/>
      <c r="AJ193" s="3"/>
      <c r="AK193" s="3"/>
      <c r="AL193" s="3"/>
      <c r="AM193" s="3"/>
      <c r="AN193" s="3"/>
      <c r="AO193" s="3"/>
      <c r="AP193" s="3"/>
      <c r="AQ193" s="3"/>
      <c r="AR193" s="3"/>
      <c r="AS193" s="3"/>
      <c r="AT193" s="3"/>
      <c r="AU193" s="3"/>
      <c r="AV193" s="3"/>
      <c r="AW193" s="3"/>
      <c r="AX193" s="3"/>
      <c r="AY193" s="3"/>
      <c r="AZ193" s="3"/>
      <c r="BA193" s="3"/>
      <c r="BB193" s="3"/>
      <c r="BC193" s="3"/>
      <c r="BD193" s="3"/>
      <c r="BE193" s="3"/>
      <c r="BF193" s="3"/>
    </row>
    <row r="194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20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  <c r="AG194" s="3"/>
      <c r="AH194" s="3"/>
      <c r="AI194" s="3"/>
      <c r="AJ194" s="3"/>
      <c r="AK194" s="3"/>
      <c r="AL194" s="3"/>
      <c r="AM194" s="3"/>
      <c r="AN194" s="3"/>
      <c r="AO194" s="3"/>
      <c r="AP194" s="3"/>
      <c r="AQ194" s="3"/>
      <c r="AR194" s="3"/>
      <c r="AS194" s="3"/>
      <c r="AT194" s="3"/>
      <c r="AU194" s="3"/>
      <c r="AV194" s="3"/>
      <c r="AW194" s="3"/>
      <c r="AX194" s="3"/>
      <c r="AY194" s="3"/>
      <c r="AZ194" s="3"/>
      <c r="BA194" s="3"/>
      <c r="BB194" s="3"/>
      <c r="BC194" s="3"/>
      <c r="BD194" s="3"/>
      <c r="BE194" s="3"/>
      <c r="BF194" s="3"/>
    </row>
    <row r="195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20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  <c r="AG195" s="3"/>
      <c r="AH195" s="3"/>
      <c r="AI195" s="3"/>
      <c r="AJ195" s="3"/>
      <c r="AK195" s="3"/>
      <c r="AL195" s="3"/>
      <c r="AM195" s="3"/>
      <c r="AN195" s="3"/>
      <c r="AO195" s="3"/>
      <c r="AP195" s="3"/>
      <c r="AQ195" s="3"/>
      <c r="AR195" s="3"/>
      <c r="AS195" s="3"/>
      <c r="AT195" s="3"/>
      <c r="AU195" s="3"/>
      <c r="AV195" s="3"/>
      <c r="AW195" s="3"/>
      <c r="AX195" s="3"/>
      <c r="AY195" s="3"/>
      <c r="AZ195" s="3"/>
      <c r="BA195" s="3"/>
      <c r="BB195" s="3"/>
      <c r="BC195" s="3"/>
      <c r="BD195" s="3"/>
      <c r="BE195" s="3"/>
      <c r="BF195" s="3"/>
    </row>
    <row r="19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20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  <c r="AG196" s="3"/>
      <c r="AH196" s="3"/>
      <c r="AI196" s="3"/>
      <c r="AJ196" s="3"/>
      <c r="AK196" s="3"/>
      <c r="AL196" s="3"/>
      <c r="AM196" s="3"/>
      <c r="AN196" s="3"/>
      <c r="AO196" s="3"/>
      <c r="AP196" s="3"/>
      <c r="AQ196" s="3"/>
      <c r="AR196" s="3"/>
      <c r="AS196" s="3"/>
      <c r="AT196" s="3"/>
      <c r="AU196" s="3"/>
      <c r="AV196" s="3"/>
      <c r="AW196" s="3"/>
      <c r="AX196" s="3"/>
      <c r="AY196" s="3"/>
      <c r="AZ196" s="3"/>
      <c r="BA196" s="3"/>
      <c r="BB196" s="3"/>
      <c r="BC196" s="3"/>
      <c r="BD196" s="3"/>
      <c r="BE196" s="3"/>
      <c r="BF196" s="3"/>
    </row>
    <row r="197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20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  <c r="AG197" s="3"/>
      <c r="AH197" s="3"/>
      <c r="AI197" s="3"/>
      <c r="AJ197" s="3"/>
      <c r="AK197" s="3"/>
      <c r="AL197" s="3"/>
      <c r="AM197" s="3"/>
      <c r="AN197" s="3"/>
      <c r="AO197" s="3"/>
      <c r="AP197" s="3"/>
      <c r="AQ197" s="3"/>
      <c r="AR197" s="3"/>
      <c r="AS197" s="3"/>
      <c r="AT197" s="3"/>
      <c r="AU197" s="3"/>
      <c r="AV197" s="3"/>
      <c r="AW197" s="3"/>
      <c r="AX197" s="3"/>
      <c r="AY197" s="3"/>
      <c r="AZ197" s="3"/>
      <c r="BA197" s="3"/>
      <c r="BB197" s="3"/>
      <c r="BC197" s="3"/>
      <c r="BD197" s="3"/>
      <c r="BE197" s="3"/>
      <c r="BF197" s="3"/>
    </row>
    <row r="198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20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  <c r="AG198" s="3"/>
      <c r="AH198" s="3"/>
      <c r="AI198" s="3"/>
      <c r="AJ198" s="3"/>
      <c r="AK198" s="3"/>
      <c r="AL198" s="3"/>
      <c r="AM198" s="3"/>
      <c r="AN198" s="3"/>
      <c r="AO198" s="3"/>
      <c r="AP198" s="3"/>
      <c r="AQ198" s="3"/>
      <c r="AR198" s="3"/>
      <c r="AS198" s="3"/>
      <c r="AT198" s="3"/>
      <c r="AU198" s="3"/>
      <c r="AV198" s="3"/>
      <c r="AW198" s="3"/>
      <c r="AX198" s="3"/>
      <c r="AY198" s="3"/>
      <c r="AZ198" s="3"/>
      <c r="BA198" s="3"/>
      <c r="BB198" s="3"/>
      <c r="BC198" s="3"/>
      <c r="BD198" s="3"/>
      <c r="BE198" s="3"/>
      <c r="BF198" s="3"/>
    </row>
    <row r="199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20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  <c r="AG199" s="3"/>
      <c r="AH199" s="3"/>
      <c r="AI199" s="3"/>
      <c r="AJ199" s="3"/>
      <c r="AK199" s="3"/>
      <c r="AL199" s="3"/>
      <c r="AM199" s="3"/>
      <c r="AN199" s="3"/>
      <c r="AO199" s="3"/>
      <c r="AP199" s="3"/>
      <c r="AQ199" s="3"/>
      <c r="AR199" s="3"/>
      <c r="AS199" s="3"/>
      <c r="AT199" s="3"/>
      <c r="AU199" s="3"/>
      <c r="AV199" s="3"/>
      <c r="AW199" s="3"/>
      <c r="AX199" s="3"/>
      <c r="AY199" s="3"/>
      <c r="AZ199" s="3"/>
      <c r="BA199" s="3"/>
      <c r="BB199" s="3"/>
      <c r="BC199" s="3"/>
      <c r="BD199" s="3"/>
      <c r="BE199" s="3"/>
      <c r="BF199" s="3"/>
    </row>
    <row r="200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20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  <c r="AG200" s="3"/>
      <c r="AH200" s="3"/>
      <c r="AI200" s="3"/>
      <c r="AJ200" s="3"/>
      <c r="AK200" s="3"/>
      <c r="AL200" s="3"/>
      <c r="AM200" s="3"/>
      <c r="AN200" s="3"/>
      <c r="AO200" s="3"/>
      <c r="AP200" s="3"/>
      <c r="AQ200" s="3"/>
      <c r="AR200" s="3"/>
      <c r="AS200" s="3"/>
      <c r="AT200" s="3"/>
      <c r="AU200" s="3"/>
      <c r="AV200" s="3"/>
      <c r="AW200" s="3"/>
      <c r="AX200" s="3"/>
      <c r="AY200" s="3"/>
      <c r="AZ200" s="3"/>
      <c r="BA200" s="3"/>
      <c r="BB200" s="3"/>
      <c r="BC200" s="3"/>
      <c r="BD200" s="3"/>
      <c r="BE200" s="3"/>
      <c r="BF200" s="3"/>
    </row>
    <row r="20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20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  <c r="AG201" s="3"/>
      <c r="AH201" s="3"/>
      <c r="AI201" s="3"/>
      <c r="AJ201" s="3"/>
      <c r="AK201" s="3"/>
      <c r="AL201" s="3"/>
      <c r="AM201" s="3"/>
      <c r="AN201" s="3"/>
      <c r="AO201" s="3"/>
      <c r="AP201" s="3"/>
      <c r="AQ201" s="3"/>
      <c r="AR201" s="3"/>
      <c r="AS201" s="3"/>
      <c r="AT201" s="3"/>
      <c r="AU201" s="3"/>
      <c r="AV201" s="3"/>
      <c r="AW201" s="3"/>
      <c r="AX201" s="3"/>
      <c r="AY201" s="3"/>
      <c r="AZ201" s="3"/>
      <c r="BA201" s="3"/>
      <c r="BB201" s="3"/>
      <c r="BC201" s="3"/>
      <c r="BD201" s="3"/>
      <c r="BE201" s="3"/>
      <c r="BF201" s="3"/>
    </row>
    <row r="202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20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  <c r="AG202" s="3"/>
      <c r="AH202" s="3"/>
      <c r="AI202" s="3"/>
      <c r="AJ202" s="3"/>
      <c r="AK202" s="3"/>
      <c r="AL202" s="3"/>
      <c r="AM202" s="3"/>
      <c r="AN202" s="3"/>
      <c r="AO202" s="3"/>
      <c r="AP202" s="3"/>
      <c r="AQ202" s="3"/>
      <c r="AR202" s="3"/>
      <c r="AS202" s="3"/>
      <c r="AT202" s="3"/>
      <c r="AU202" s="3"/>
      <c r="AV202" s="3"/>
      <c r="AW202" s="3"/>
      <c r="AX202" s="3"/>
      <c r="AY202" s="3"/>
      <c r="AZ202" s="3"/>
      <c r="BA202" s="3"/>
      <c r="BB202" s="3"/>
      <c r="BC202" s="3"/>
      <c r="BD202" s="3"/>
      <c r="BE202" s="3"/>
      <c r="BF202" s="3"/>
    </row>
    <row r="20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20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  <c r="AG203" s="3"/>
      <c r="AH203" s="3"/>
      <c r="AI203" s="3"/>
      <c r="AJ203" s="3"/>
      <c r="AK203" s="3"/>
      <c r="AL203" s="3"/>
      <c r="AM203" s="3"/>
      <c r="AN203" s="3"/>
      <c r="AO203" s="3"/>
      <c r="AP203" s="3"/>
      <c r="AQ203" s="3"/>
      <c r="AR203" s="3"/>
      <c r="AS203" s="3"/>
      <c r="AT203" s="3"/>
      <c r="AU203" s="3"/>
      <c r="AV203" s="3"/>
      <c r="AW203" s="3"/>
      <c r="AX203" s="3"/>
      <c r="AY203" s="3"/>
      <c r="AZ203" s="3"/>
      <c r="BA203" s="3"/>
      <c r="BB203" s="3"/>
      <c r="BC203" s="3"/>
      <c r="BD203" s="3"/>
      <c r="BE203" s="3"/>
      <c r="BF203" s="3"/>
    </row>
    <row r="204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20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  <c r="AG204" s="3"/>
      <c r="AH204" s="3"/>
      <c r="AI204" s="3"/>
      <c r="AJ204" s="3"/>
      <c r="AK204" s="3"/>
      <c r="AL204" s="3"/>
      <c r="AM204" s="3"/>
      <c r="AN204" s="3"/>
      <c r="AO204" s="3"/>
      <c r="AP204" s="3"/>
      <c r="AQ204" s="3"/>
      <c r="AR204" s="3"/>
      <c r="AS204" s="3"/>
      <c r="AT204" s="3"/>
      <c r="AU204" s="3"/>
      <c r="AV204" s="3"/>
      <c r="AW204" s="3"/>
      <c r="AX204" s="3"/>
      <c r="AY204" s="3"/>
      <c r="AZ204" s="3"/>
      <c r="BA204" s="3"/>
      <c r="BB204" s="3"/>
      <c r="BC204" s="3"/>
      <c r="BD204" s="3"/>
      <c r="BE204" s="3"/>
      <c r="BF204" s="3"/>
    </row>
    <row r="205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20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  <c r="AG205" s="3"/>
      <c r="AH205" s="3"/>
      <c r="AI205" s="3"/>
      <c r="AJ205" s="3"/>
      <c r="AK205" s="3"/>
      <c r="AL205" s="3"/>
      <c r="AM205" s="3"/>
      <c r="AN205" s="3"/>
      <c r="AO205" s="3"/>
      <c r="AP205" s="3"/>
      <c r="AQ205" s="3"/>
      <c r="AR205" s="3"/>
      <c r="AS205" s="3"/>
      <c r="AT205" s="3"/>
      <c r="AU205" s="3"/>
      <c r="AV205" s="3"/>
      <c r="AW205" s="3"/>
      <c r="AX205" s="3"/>
      <c r="AY205" s="3"/>
      <c r="AZ205" s="3"/>
      <c r="BA205" s="3"/>
      <c r="BB205" s="3"/>
      <c r="BC205" s="3"/>
      <c r="BD205" s="3"/>
      <c r="BE205" s="3"/>
      <c r="BF205" s="3"/>
    </row>
    <row r="20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20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  <c r="AG206" s="3"/>
      <c r="AH206" s="3"/>
      <c r="AI206" s="3"/>
      <c r="AJ206" s="3"/>
      <c r="AK206" s="3"/>
      <c r="AL206" s="3"/>
      <c r="AM206" s="3"/>
      <c r="AN206" s="3"/>
      <c r="AO206" s="3"/>
      <c r="AP206" s="3"/>
      <c r="AQ206" s="3"/>
      <c r="AR206" s="3"/>
      <c r="AS206" s="3"/>
      <c r="AT206" s="3"/>
      <c r="AU206" s="3"/>
      <c r="AV206" s="3"/>
      <c r="AW206" s="3"/>
      <c r="AX206" s="3"/>
      <c r="AY206" s="3"/>
      <c r="AZ206" s="3"/>
      <c r="BA206" s="3"/>
      <c r="BB206" s="3"/>
      <c r="BC206" s="3"/>
      <c r="BD206" s="3"/>
      <c r="BE206" s="3"/>
      <c r="BF206" s="3"/>
    </row>
    <row r="207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20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  <c r="AG207" s="3"/>
      <c r="AH207" s="3"/>
      <c r="AI207" s="3"/>
      <c r="AJ207" s="3"/>
      <c r="AK207" s="3"/>
      <c r="AL207" s="3"/>
      <c r="AM207" s="3"/>
      <c r="AN207" s="3"/>
      <c r="AO207" s="3"/>
      <c r="AP207" s="3"/>
      <c r="AQ207" s="3"/>
      <c r="AR207" s="3"/>
      <c r="AS207" s="3"/>
      <c r="AT207" s="3"/>
      <c r="AU207" s="3"/>
      <c r="AV207" s="3"/>
      <c r="AW207" s="3"/>
      <c r="AX207" s="3"/>
      <c r="AY207" s="3"/>
      <c r="AZ207" s="3"/>
      <c r="BA207" s="3"/>
      <c r="BB207" s="3"/>
      <c r="BC207" s="3"/>
      <c r="BD207" s="3"/>
      <c r="BE207" s="3"/>
      <c r="BF207" s="3"/>
    </row>
    <row r="208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20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  <c r="AG208" s="3"/>
      <c r="AH208" s="3"/>
      <c r="AI208" s="3"/>
      <c r="AJ208" s="3"/>
      <c r="AK208" s="3"/>
      <c r="AL208" s="3"/>
      <c r="AM208" s="3"/>
      <c r="AN208" s="3"/>
      <c r="AO208" s="3"/>
      <c r="AP208" s="3"/>
      <c r="AQ208" s="3"/>
      <c r="AR208" s="3"/>
      <c r="AS208" s="3"/>
      <c r="AT208" s="3"/>
      <c r="AU208" s="3"/>
      <c r="AV208" s="3"/>
      <c r="AW208" s="3"/>
      <c r="AX208" s="3"/>
      <c r="AY208" s="3"/>
      <c r="AZ208" s="3"/>
      <c r="BA208" s="3"/>
      <c r="BB208" s="3"/>
      <c r="BC208" s="3"/>
      <c r="BD208" s="3"/>
      <c r="BE208" s="3"/>
      <c r="BF208" s="3"/>
    </row>
    <row r="209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20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  <c r="AG209" s="3"/>
      <c r="AH209" s="3"/>
      <c r="AI209" s="3"/>
      <c r="AJ209" s="3"/>
      <c r="AK209" s="3"/>
      <c r="AL209" s="3"/>
      <c r="AM209" s="3"/>
      <c r="AN209" s="3"/>
      <c r="AO209" s="3"/>
      <c r="AP209" s="3"/>
      <c r="AQ209" s="3"/>
      <c r="AR209" s="3"/>
      <c r="AS209" s="3"/>
      <c r="AT209" s="3"/>
      <c r="AU209" s="3"/>
      <c r="AV209" s="3"/>
      <c r="AW209" s="3"/>
      <c r="AX209" s="3"/>
      <c r="AY209" s="3"/>
      <c r="AZ209" s="3"/>
      <c r="BA209" s="3"/>
      <c r="BB209" s="3"/>
      <c r="BC209" s="3"/>
      <c r="BD209" s="3"/>
      <c r="BE209" s="3"/>
      <c r="BF209" s="3"/>
    </row>
    <row r="210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20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  <c r="AG210" s="3"/>
      <c r="AH210" s="3"/>
      <c r="AI210" s="3"/>
      <c r="AJ210" s="3"/>
      <c r="AK210" s="3"/>
      <c r="AL210" s="3"/>
      <c r="AM210" s="3"/>
      <c r="AN210" s="3"/>
      <c r="AO210" s="3"/>
      <c r="AP210" s="3"/>
      <c r="AQ210" s="3"/>
      <c r="AR210" s="3"/>
      <c r="AS210" s="3"/>
      <c r="AT210" s="3"/>
      <c r="AU210" s="3"/>
      <c r="AV210" s="3"/>
      <c r="AW210" s="3"/>
      <c r="AX210" s="3"/>
      <c r="AY210" s="3"/>
      <c r="AZ210" s="3"/>
      <c r="BA210" s="3"/>
      <c r="BB210" s="3"/>
      <c r="BC210" s="3"/>
      <c r="BD210" s="3"/>
      <c r="BE210" s="3"/>
      <c r="BF210" s="3"/>
    </row>
    <row r="21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20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  <c r="AG211" s="3"/>
      <c r="AH211" s="3"/>
      <c r="AI211" s="3"/>
      <c r="AJ211" s="3"/>
      <c r="AK211" s="3"/>
      <c r="AL211" s="3"/>
      <c r="AM211" s="3"/>
      <c r="AN211" s="3"/>
      <c r="AO211" s="3"/>
      <c r="AP211" s="3"/>
      <c r="AQ211" s="3"/>
      <c r="AR211" s="3"/>
      <c r="AS211" s="3"/>
      <c r="AT211" s="3"/>
      <c r="AU211" s="3"/>
      <c r="AV211" s="3"/>
      <c r="AW211" s="3"/>
      <c r="AX211" s="3"/>
      <c r="AY211" s="3"/>
      <c r="AZ211" s="3"/>
      <c r="BA211" s="3"/>
      <c r="BB211" s="3"/>
      <c r="BC211" s="3"/>
      <c r="BD211" s="3"/>
      <c r="BE211" s="3"/>
      <c r="BF211" s="3"/>
    </row>
    <row r="212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20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  <c r="AG212" s="3"/>
      <c r="AH212" s="3"/>
      <c r="AI212" s="3"/>
      <c r="AJ212" s="3"/>
      <c r="AK212" s="3"/>
      <c r="AL212" s="3"/>
      <c r="AM212" s="3"/>
      <c r="AN212" s="3"/>
      <c r="AO212" s="3"/>
      <c r="AP212" s="3"/>
      <c r="AQ212" s="3"/>
      <c r="AR212" s="3"/>
      <c r="AS212" s="3"/>
      <c r="AT212" s="3"/>
      <c r="AU212" s="3"/>
      <c r="AV212" s="3"/>
      <c r="AW212" s="3"/>
      <c r="AX212" s="3"/>
      <c r="AY212" s="3"/>
      <c r="AZ212" s="3"/>
      <c r="BA212" s="3"/>
      <c r="BB212" s="3"/>
      <c r="BC212" s="3"/>
      <c r="BD212" s="3"/>
      <c r="BE212" s="3"/>
      <c r="BF212" s="3"/>
    </row>
    <row r="21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20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  <c r="AG213" s="3"/>
      <c r="AH213" s="3"/>
      <c r="AI213" s="3"/>
      <c r="AJ213" s="3"/>
      <c r="AK213" s="3"/>
      <c r="AL213" s="3"/>
      <c r="AM213" s="3"/>
      <c r="AN213" s="3"/>
      <c r="AO213" s="3"/>
      <c r="AP213" s="3"/>
      <c r="AQ213" s="3"/>
      <c r="AR213" s="3"/>
      <c r="AS213" s="3"/>
      <c r="AT213" s="3"/>
      <c r="AU213" s="3"/>
      <c r="AV213" s="3"/>
      <c r="AW213" s="3"/>
      <c r="AX213" s="3"/>
      <c r="AY213" s="3"/>
      <c r="AZ213" s="3"/>
      <c r="BA213" s="3"/>
      <c r="BB213" s="3"/>
      <c r="BC213" s="3"/>
      <c r="BD213" s="3"/>
      <c r="BE213" s="3"/>
      <c r="BF213" s="3"/>
    </row>
    <row r="214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20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  <c r="AG214" s="3"/>
      <c r="AH214" s="3"/>
      <c r="AI214" s="3"/>
      <c r="AJ214" s="3"/>
      <c r="AK214" s="3"/>
      <c r="AL214" s="3"/>
      <c r="AM214" s="3"/>
      <c r="AN214" s="3"/>
      <c r="AO214" s="3"/>
      <c r="AP214" s="3"/>
      <c r="AQ214" s="3"/>
      <c r="AR214" s="3"/>
      <c r="AS214" s="3"/>
      <c r="AT214" s="3"/>
      <c r="AU214" s="3"/>
      <c r="AV214" s="3"/>
      <c r="AW214" s="3"/>
      <c r="AX214" s="3"/>
      <c r="AY214" s="3"/>
      <c r="AZ214" s="3"/>
      <c r="BA214" s="3"/>
      <c r="BB214" s="3"/>
      <c r="BC214" s="3"/>
      <c r="BD214" s="3"/>
      <c r="BE214" s="3"/>
      <c r="BF214" s="3"/>
    </row>
    <row r="215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20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  <c r="AG215" s="3"/>
      <c r="AH215" s="3"/>
      <c r="AI215" s="3"/>
      <c r="AJ215" s="3"/>
      <c r="AK215" s="3"/>
      <c r="AL215" s="3"/>
      <c r="AM215" s="3"/>
      <c r="AN215" s="3"/>
      <c r="AO215" s="3"/>
      <c r="AP215" s="3"/>
      <c r="AQ215" s="3"/>
      <c r="AR215" s="3"/>
      <c r="AS215" s="3"/>
      <c r="AT215" s="3"/>
      <c r="AU215" s="3"/>
      <c r="AV215" s="3"/>
      <c r="AW215" s="3"/>
      <c r="AX215" s="3"/>
      <c r="AY215" s="3"/>
      <c r="AZ215" s="3"/>
      <c r="BA215" s="3"/>
      <c r="BB215" s="3"/>
      <c r="BC215" s="3"/>
      <c r="BD215" s="3"/>
      <c r="BE215" s="3"/>
      <c r="BF215" s="3"/>
    </row>
    <row r="21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20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  <c r="AG216" s="3"/>
      <c r="AH216" s="3"/>
      <c r="AI216" s="3"/>
      <c r="AJ216" s="3"/>
      <c r="AK216" s="3"/>
      <c r="AL216" s="3"/>
      <c r="AM216" s="3"/>
      <c r="AN216" s="3"/>
      <c r="AO216" s="3"/>
      <c r="AP216" s="3"/>
      <c r="AQ216" s="3"/>
      <c r="AR216" s="3"/>
      <c r="AS216" s="3"/>
      <c r="AT216" s="3"/>
      <c r="AU216" s="3"/>
      <c r="AV216" s="3"/>
      <c r="AW216" s="3"/>
      <c r="AX216" s="3"/>
      <c r="AY216" s="3"/>
      <c r="AZ216" s="3"/>
      <c r="BA216" s="3"/>
      <c r="BB216" s="3"/>
      <c r="BC216" s="3"/>
      <c r="BD216" s="3"/>
      <c r="BE216" s="3"/>
      <c r="BF216" s="3"/>
    </row>
    <row r="217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20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  <c r="AG217" s="3"/>
      <c r="AH217" s="3"/>
      <c r="AI217" s="3"/>
      <c r="AJ217" s="3"/>
      <c r="AK217" s="3"/>
      <c r="AL217" s="3"/>
      <c r="AM217" s="3"/>
      <c r="AN217" s="3"/>
      <c r="AO217" s="3"/>
      <c r="AP217" s="3"/>
      <c r="AQ217" s="3"/>
      <c r="AR217" s="3"/>
      <c r="AS217" s="3"/>
      <c r="AT217" s="3"/>
      <c r="AU217" s="3"/>
      <c r="AV217" s="3"/>
      <c r="AW217" s="3"/>
      <c r="AX217" s="3"/>
      <c r="AY217" s="3"/>
      <c r="AZ217" s="3"/>
      <c r="BA217" s="3"/>
      <c r="BB217" s="3"/>
      <c r="BC217" s="3"/>
      <c r="BD217" s="3"/>
      <c r="BE217" s="3"/>
      <c r="BF217" s="3"/>
    </row>
    <row r="218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20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  <c r="AG218" s="3"/>
      <c r="AH218" s="3"/>
      <c r="AI218" s="3"/>
      <c r="AJ218" s="3"/>
      <c r="AK218" s="3"/>
      <c r="AL218" s="3"/>
      <c r="AM218" s="3"/>
      <c r="AN218" s="3"/>
      <c r="AO218" s="3"/>
      <c r="AP218" s="3"/>
      <c r="AQ218" s="3"/>
      <c r="AR218" s="3"/>
      <c r="AS218" s="3"/>
      <c r="AT218" s="3"/>
      <c r="AU218" s="3"/>
      <c r="AV218" s="3"/>
      <c r="AW218" s="3"/>
      <c r="AX218" s="3"/>
      <c r="AY218" s="3"/>
      <c r="AZ218" s="3"/>
      <c r="BA218" s="3"/>
      <c r="BB218" s="3"/>
      <c r="BC218" s="3"/>
      <c r="BD218" s="3"/>
      <c r="BE218" s="3"/>
      <c r="BF218" s="3"/>
    </row>
    <row r="219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20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  <c r="AG219" s="3"/>
      <c r="AH219" s="3"/>
      <c r="AI219" s="3"/>
      <c r="AJ219" s="3"/>
      <c r="AK219" s="3"/>
      <c r="AL219" s="3"/>
      <c r="AM219" s="3"/>
      <c r="AN219" s="3"/>
      <c r="AO219" s="3"/>
      <c r="AP219" s="3"/>
      <c r="AQ219" s="3"/>
      <c r="AR219" s="3"/>
      <c r="AS219" s="3"/>
      <c r="AT219" s="3"/>
      <c r="AU219" s="3"/>
      <c r="AV219" s="3"/>
      <c r="AW219" s="3"/>
      <c r="AX219" s="3"/>
      <c r="AY219" s="3"/>
      <c r="AZ219" s="3"/>
      <c r="BA219" s="3"/>
      <c r="BB219" s="3"/>
      <c r="BC219" s="3"/>
      <c r="BD219" s="3"/>
      <c r="BE219" s="3"/>
      <c r="BF219" s="3"/>
    </row>
    <row r="220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20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  <c r="AG220" s="3"/>
      <c r="AH220" s="3"/>
      <c r="AI220" s="3"/>
      <c r="AJ220" s="3"/>
      <c r="AK220" s="3"/>
      <c r="AL220" s="3"/>
      <c r="AM220" s="3"/>
      <c r="AN220" s="3"/>
      <c r="AO220" s="3"/>
      <c r="AP220" s="3"/>
      <c r="AQ220" s="3"/>
      <c r="AR220" s="3"/>
      <c r="AS220" s="3"/>
      <c r="AT220" s="3"/>
      <c r="AU220" s="3"/>
      <c r="AV220" s="3"/>
      <c r="AW220" s="3"/>
      <c r="AX220" s="3"/>
      <c r="AY220" s="3"/>
      <c r="AZ220" s="3"/>
      <c r="BA220" s="3"/>
      <c r="BB220" s="3"/>
      <c r="BC220" s="3"/>
      <c r="BD220" s="3"/>
      <c r="BE220" s="3"/>
      <c r="BF220" s="3"/>
    </row>
    <row r="22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20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  <c r="AG221" s="3"/>
      <c r="AH221" s="3"/>
      <c r="AI221" s="3"/>
      <c r="AJ221" s="3"/>
      <c r="AK221" s="3"/>
      <c r="AL221" s="3"/>
      <c r="AM221" s="3"/>
      <c r="AN221" s="3"/>
      <c r="AO221" s="3"/>
      <c r="AP221" s="3"/>
      <c r="AQ221" s="3"/>
      <c r="AR221" s="3"/>
      <c r="AS221" s="3"/>
      <c r="AT221" s="3"/>
      <c r="AU221" s="3"/>
      <c r="AV221" s="3"/>
      <c r="AW221" s="3"/>
      <c r="AX221" s="3"/>
      <c r="AY221" s="3"/>
      <c r="AZ221" s="3"/>
      <c r="BA221" s="3"/>
      <c r="BB221" s="3"/>
      <c r="BC221" s="3"/>
      <c r="BD221" s="3"/>
      <c r="BE221" s="3"/>
      <c r="BF221" s="3"/>
    </row>
    <row r="222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20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  <c r="AG222" s="3"/>
      <c r="AH222" s="3"/>
      <c r="AI222" s="3"/>
      <c r="AJ222" s="3"/>
      <c r="AK222" s="3"/>
      <c r="AL222" s="3"/>
      <c r="AM222" s="3"/>
      <c r="AN222" s="3"/>
      <c r="AO222" s="3"/>
      <c r="AP222" s="3"/>
      <c r="AQ222" s="3"/>
      <c r="AR222" s="3"/>
      <c r="AS222" s="3"/>
      <c r="AT222" s="3"/>
      <c r="AU222" s="3"/>
      <c r="AV222" s="3"/>
      <c r="AW222" s="3"/>
      <c r="AX222" s="3"/>
      <c r="AY222" s="3"/>
      <c r="AZ222" s="3"/>
      <c r="BA222" s="3"/>
      <c r="BB222" s="3"/>
      <c r="BC222" s="3"/>
      <c r="BD222" s="3"/>
      <c r="BE222" s="3"/>
      <c r="BF222" s="3"/>
    </row>
    <row r="22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20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  <c r="AG223" s="3"/>
      <c r="AH223" s="3"/>
      <c r="AI223" s="3"/>
      <c r="AJ223" s="3"/>
      <c r="AK223" s="3"/>
      <c r="AL223" s="3"/>
      <c r="AM223" s="3"/>
      <c r="AN223" s="3"/>
      <c r="AO223" s="3"/>
      <c r="AP223" s="3"/>
      <c r="AQ223" s="3"/>
      <c r="AR223" s="3"/>
      <c r="AS223" s="3"/>
      <c r="AT223" s="3"/>
      <c r="AU223" s="3"/>
      <c r="AV223" s="3"/>
      <c r="AW223" s="3"/>
      <c r="AX223" s="3"/>
      <c r="AY223" s="3"/>
      <c r="AZ223" s="3"/>
      <c r="BA223" s="3"/>
      <c r="BB223" s="3"/>
      <c r="BC223" s="3"/>
      <c r="BD223" s="3"/>
      <c r="BE223" s="3"/>
      <c r="BF223" s="3"/>
    </row>
    <row r="224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20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  <c r="AG224" s="3"/>
      <c r="AH224" s="3"/>
      <c r="AI224" s="3"/>
      <c r="AJ224" s="3"/>
      <c r="AK224" s="3"/>
      <c r="AL224" s="3"/>
      <c r="AM224" s="3"/>
      <c r="AN224" s="3"/>
      <c r="AO224" s="3"/>
      <c r="AP224" s="3"/>
      <c r="AQ224" s="3"/>
      <c r="AR224" s="3"/>
      <c r="AS224" s="3"/>
      <c r="AT224" s="3"/>
      <c r="AU224" s="3"/>
      <c r="AV224" s="3"/>
      <c r="AW224" s="3"/>
      <c r="AX224" s="3"/>
      <c r="AY224" s="3"/>
      <c r="AZ224" s="3"/>
      <c r="BA224" s="3"/>
      <c r="BB224" s="3"/>
      <c r="BC224" s="3"/>
      <c r="BD224" s="3"/>
      <c r="BE224" s="3"/>
      <c r="BF224" s="3"/>
    </row>
    <row r="225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20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  <c r="AG225" s="3"/>
      <c r="AH225" s="3"/>
      <c r="AI225" s="3"/>
      <c r="AJ225" s="3"/>
      <c r="AK225" s="3"/>
      <c r="AL225" s="3"/>
      <c r="AM225" s="3"/>
      <c r="AN225" s="3"/>
      <c r="AO225" s="3"/>
      <c r="AP225" s="3"/>
      <c r="AQ225" s="3"/>
      <c r="AR225" s="3"/>
      <c r="AS225" s="3"/>
      <c r="AT225" s="3"/>
      <c r="AU225" s="3"/>
      <c r="AV225" s="3"/>
      <c r="AW225" s="3"/>
      <c r="AX225" s="3"/>
      <c r="AY225" s="3"/>
      <c r="AZ225" s="3"/>
      <c r="BA225" s="3"/>
      <c r="BB225" s="3"/>
      <c r="BC225" s="3"/>
      <c r="BD225" s="3"/>
      <c r="BE225" s="3"/>
      <c r="BF225" s="3"/>
    </row>
    <row r="2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20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  <c r="AG226" s="3"/>
      <c r="AH226" s="3"/>
      <c r="AI226" s="3"/>
      <c r="AJ226" s="3"/>
      <c r="AK226" s="3"/>
      <c r="AL226" s="3"/>
      <c r="AM226" s="3"/>
      <c r="AN226" s="3"/>
      <c r="AO226" s="3"/>
      <c r="AP226" s="3"/>
      <c r="AQ226" s="3"/>
      <c r="AR226" s="3"/>
      <c r="AS226" s="3"/>
      <c r="AT226" s="3"/>
      <c r="AU226" s="3"/>
      <c r="AV226" s="3"/>
      <c r="AW226" s="3"/>
      <c r="AX226" s="3"/>
      <c r="AY226" s="3"/>
      <c r="AZ226" s="3"/>
      <c r="BA226" s="3"/>
      <c r="BB226" s="3"/>
      <c r="BC226" s="3"/>
      <c r="BD226" s="3"/>
      <c r="BE226" s="3"/>
      <c r="BF226" s="3"/>
    </row>
    <row r="227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20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  <c r="AG227" s="3"/>
      <c r="AH227" s="3"/>
      <c r="AI227" s="3"/>
      <c r="AJ227" s="3"/>
      <c r="AK227" s="3"/>
      <c r="AL227" s="3"/>
      <c r="AM227" s="3"/>
      <c r="AN227" s="3"/>
      <c r="AO227" s="3"/>
      <c r="AP227" s="3"/>
      <c r="AQ227" s="3"/>
      <c r="AR227" s="3"/>
      <c r="AS227" s="3"/>
      <c r="AT227" s="3"/>
      <c r="AU227" s="3"/>
      <c r="AV227" s="3"/>
      <c r="AW227" s="3"/>
      <c r="AX227" s="3"/>
      <c r="AY227" s="3"/>
      <c r="AZ227" s="3"/>
      <c r="BA227" s="3"/>
      <c r="BB227" s="3"/>
      <c r="BC227" s="3"/>
      <c r="BD227" s="3"/>
      <c r="BE227" s="3"/>
      <c r="BF227" s="3"/>
    </row>
    <row r="228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20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  <c r="AG228" s="3"/>
      <c r="AH228" s="3"/>
      <c r="AI228" s="3"/>
      <c r="AJ228" s="3"/>
      <c r="AK228" s="3"/>
      <c r="AL228" s="3"/>
      <c r="AM228" s="3"/>
      <c r="AN228" s="3"/>
      <c r="AO228" s="3"/>
      <c r="AP228" s="3"/>
      <c r="AQ228" s="3"/>
      <c r="AR228" s="3"/>
      <c r="AS228" s="3"/>
      <c r="AT228" s="3"/>
      <c r="AU228" s="3"/>
      <c r="AV228" s="3"/>
      <c r="AW228" s="3"/>
      <c r="AX228" s="3"/>
      <c r="AY228" s="3"/>
      <c r="AZ228" s="3"/>
      <c r="BA228" s="3"/>
      <c r="BB228" s="3"/>
      <c r="BC228" s="3"/>
      <c r="BD228" s="3"/>
      <c r="BE228" s="3"/>
      <c r="BF228" s="3"/>
    </row>
    <row r="229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20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  <c r="AG229" s="3"/>
      <c r="AH229" s="3"/>
      <c r="AI229" s="3"/>
      <c r="AJ229" s="3"/>
      <c r="AK229" s="3"/>
      <c r="AL229" s="3"/>
      <c r="AM229" s="3"/>
      <c r="AN229" s="3"/>
      <c r="AO229" s="3"/>
      <c r="AP229" s="3"/>
      <c r="AQ229" s="3"/>
      <c r="AR229" s="3"/>
      <c r="AS229" s="3"/>
      <c r="AT229" s="3"/>
      <c r="AU229" s="3"/>
      <c r="AV229" s="3"/>
      <c r="AW229" s="3"/>
      <c r="AX229" s="3"/>
      <c r="AY229" s="3"/>
      <c r="AZ229" s="3"/>
      <c r="BA229" s="3"/>
      <c r="BB229" s="3"/>
      <c r="BC229" s="3"/>
      <c r="BD229" s="3"/>
      <c r="BE229" s="3"/>
      <c r="BF229" s="3"/>
    </row>
    <row r="230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20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  <c r="AG230" s="3"/>
      <c r="AH230" s="3"/>
      <c r="AI230" s="3"/>
      <c r="AJ230" s="3"/>
      <c r="AK230" s="3"/>
      <c r="AL230" s="3"/>
      <c r="AM230" s="3"/>
      <c r="AN230" s="3"/>
      <c r="AO230" s="3"/>
      <c r="AP230" s="3"/>
      <c r="AQ230" s="3"/>
      <c r="AR230" s="3"/>
      <c r="AS230" s="3"/>
      <c r="AT230" s="3"/>
      <c r="AU230" s="3"/>
      <c r="AV230" s="3"/>
      <c r="AW230" s="3"/>
      <c r="AX230" s="3"/>
      <c r="AY230" s="3"/>
      <c r="AZ230" s="3"/>
      <c r="BA230" s="3"/>
      <c r="BB230" s="3"/>
      <c r="BC230" s="3"/>
      <c r="BD230" s="3"/>
      <c r="BE230" s="3"/>
      <c r="BF230" s="3"/>
    </row>
    <row r="23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20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  <c r="AG231" s="3"/>
      <c r="AH231" s="3"/>
      <c r="AI231" s="3"/>
      <c r="AJ231" s="3"/>
      <c r="AK231" s="3"/>
      <c r="AL231" s="3"/>
      <c r="AM231" s="3"/>
      <c r="AN231" s="3"/>
      <c r="AO231" s="3"/>
      <c r="AP231" s="3"/>
      <c r="AQ231" s="3"/>
      <c r="AR231" s="3"/>
      <c r="AS231" s="3"/>
      <c r="AT231" s="3"/>
      <c r="AU231" s="3"/>
      <c r="AV231" s="3"/>
      <c r="AW231" s="3"/>
      <c r="AX231" s="3"/>
      <c r="AY231" s="3"/>
      <c r="AZ231" s="3"/>
      <c r="BA231" s="3"/>
      <c r="BB231" s="3"/>
      <c r="BC231" s="3"/>
      <c r="BD231" s="3"/>
      <c r="BE231" s="3"/>
      <c r="BF231" s="3"/>
    </row>
    <row r="232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20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  <c r="AG232" s="3"/>
      <c r="AH232" s="3"/>
      <c r="AI232" s="3"/>
      <c r="AJ232" s="3"/>
      <c r="AK232" s="3"/>
      <c r="AL232" s="3"/>
      <c r="AM232" s="3"/>
      <c r="AN232" s="3"/>
      <c r="AO232" s="3"/>
      <c r="AP232" s="3"/>
      <c r="AQ232" s="3"/>
      <c r="AR232" s="3"/>
      <c r="AS232" s="3"/>
      <c r="AT232" s="3"/>
      <c r="AU232" s="3"/>
      <c r="AV232" s="3"/>
      <c r="AW232" s="3"/>
      <c r="AX232" s="3"/>
      <c r="AY232" s="3"/>
      <c r="AZ232" s="3"/>
      <c r="BA232" s="3"/>
      <c r="BB232" s="3"/>
      <c r="BC232" s="3"/>
      <c r="BD232" s="3"/>
      <c r="BE232" s="3"/>
      <c r="BF232" s="3"/>
    </row>
    <row r="23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20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  <c r="AG233" s="3"/>
      <c r="AH233" s="3"/>
      <c r="AI233" s="3"/>
      <c r="AJ233" s="3"/>
      <c r="AK233" s="3"/>
      <c r="AL233" s="3"/>
      <c r="AM233" s="3"/>
      <c r="AN233" s="3"/>
      <c r="AO233" s="3"/>
      <c r="AP233" s="3"/>
      <c r="AQ233" s="3"/>
      <c r="AR233" s="3"/>
      <c r="AS233" s="3"/>
      <c r="AT233" s="3"/>
      <c r="AU233" s="3"/>
      <c r="AV233" s="3"/>
      <c r="AW233" s="3"/>
      <c r="AX233" s="3"/>
      <c r="AY233" s="3"/>
      <c r="AZ233" s="3"/>
      <c r="BA233" s="3"/>
      <c r="BB233" s="3"/>
      <c r="BC233" s="3"/>
      <c r="BD233" s="3"/>
      <c r="BE233" s="3"/>
      <c r="BF233" s="3"/>
    </row>
    <row r="234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20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  <c r="AG234" s="3"/>
      <c r="AH234" s="3"/>
      <c r="AI234" s="3"/>
      <c r="AJ234" s="3"/>
      <c r="AK234" s="3"/>
      <c r="AL234" s="3"/>
      <c r="AM234" s="3"/>
      <c r="AN234" s="3"/>
      <c r="AO234" s="3"/>
      <c r="AP234" s="3"/>
      <c r="AQ234" s="3"/>
      <c r="AR234" s="3"/>
      <c r="AS234" s="3"/>
      <c r="AT234" s="3"/>
      <c r="AU234" s="3"/>
      <c r="AV234" s="3"/>
      <c r="AW234" s="3"/>
      <c r="AX234" s="3"/>
      <c r="AY234" s="3"/>
      <c r="AZ234" s="3"/>
      <c r="BA234" s="3"/>
      <c r="BB234" s="3"/>
      <c r="BC234" s="3"/>
      <c r="BD234" s="3"/>
      <c r="BE234" s="3"/>
      <c r="BF234" s="3"/>
    </row>
    <row r="235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20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  <c r="AG235" s="3"/>
      <c r="AH235" s="3"/>
      <c r="AI235" s="3"/>
      <c r="AJ235" s="3"/>
      <c r="AK235" s="3"/>
      <c r="AL235" s="3"/>
      <c r="AM235" s="3"/>
      <c r="AN235" s="3"/>
      <c r="AO235" s="3"/>
      <c r="AP235" s="3"/>
      <c r="AQ235" s="3"/>
      <c r="AR235" s="3"/>
      <c r="AS235" s="3"/>
      <c r="AT235" s="3"/>
      <c r="AU235" s="3"/>
      <c r="AV235" s="3"/>
      <c r="AW235" s="3"/>
      <c r="AX235" s="3"/>
      <c r="AY235" s="3"/>
      <c r="AZ235" s="3"/>
      <c r="BA235" s="3"/>
      <c r="BB235" s="3"/>
      <c r="BC235" s="3"/>
      <c r="BD235" s="3"/>
      <c r="BE235" s="3"/>
      <c r="BF235" s="3"/>
    </row>
    <row r="23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20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  <c r="AG236" s="3"/>
      <c r="AH236" s="3"/>
      <c r="AI236" s="3"/>
      <c r="AJ236" s="3"/>
      <c r="AK236" s="3"/>
      <c r="AL236" s="3"/>
      <c r="AM236" s="3"/>
      <c r="AN236" s="3"/>
      <c r="AO236" s="3"/>
      <c r="AP236" s="3"/>
      <c r="AQ236" s="3"/>
      <c r="AR236" s="3"/>
      <c r="AS236" s="3"/>
      <c r="AT236" s="3"/>
      <c r="AU236" s="3"/>
      <c r="AV236" s="3"/>
      <c r="AW236" s="3"/>
      <c r="AX236" s="3"/>
      <c r="AY236" s="3"/>
      <c r="AZ236" s="3"/>
      <c r="BA236" s="3"/>
      <c r="BB236" s="3"/>
      <c r="BC236" s="3"/>
      <c r="BD236" s="3"/>
      <c r="BE236" s="3"/>
      <c r="BF236" s="3"/>
    </row>
    <row r="237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20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  <c r="AG237" s="3"/>
      <c r="AH237" s="3"/>
      <c r="AI237" s="3"/>
      <c r="AJ237" s="3"/>
      <c r="AK237" s="3"/>
      <c r="AL237" s="3"/>
      <c r="AM237" s="3"/>
      <c r="AN237" s="3"/>
      <c r="AO237" s="3"/>
      <c r="AP237" s="3"/>
      <c r="AQ237" s="3"/>
      <c r="AR237" s="3"/>
      <c r="AS237" s="3"/>
      <c r="AT237" s="3"/>
      <c r="AU237" s="3"/>
      <c r="AV237" s="3"/>
      <c r="AW237" s="3"/>
      <c r="AX237" s="3"/>
      <c r="AY237" s="3"/>
      <c r="AZ237" s="3"/>
      <c r="BA237" s="3"/>
      <c r="BB237" s="3"/>
      <c r="BC237" s="3"/>
      <c r="BD237" s="3"/>
      <c r="BE237" s="3"/>
      <c r="BF237" s="3"/>
    </row>
    <row r="238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20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  <c r="AG238" s="3"/>
      <c r="AH238" s="3"/>
      <c r="AI238" s="3"/>
      <c r="AJ238" s="3"/>
      <c r="AK238" s="3"/>
      <c r="AL238" s="3"/>
      <c r="AM238" s="3"/>
      <c r="AN238" s="3"/>
      <c r="AO238" s="3"/>
      <c r="AP238" s="3"/>
      <c r="AQ238" s="3"/>
      <c r="AR238" s="3"/>
      <c r="AS238" s="3"/>
      <c r="AT238" s="3"/>
      <c r="AU238" s="3"/>
      <c r="AV238" s="3"/>
      <c r="AW238" s="3"/>
      <c r="AX238" s="3"/>
      <c r="AY238" s="3"/>
      <c r="AZ238" s="3"/>
      <c r="BA238" s="3"/>
      <c r="BB238" s="3"/>
      <c r="BC238" s="3"/>
      <c r="BD238" s="3"/>
      <c r="BE238" s="3"/>
      <c r="BF238" s="3"/>
    </row>
    <row r="239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20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  <c r="AG239" s="3"/>
      <c r="AH239" s="3"/>
      <c r="AI239" s="3"/>
      <c r="AJ239" s="3"/>
      <c r="AK239" s="3"/>
      <c r="AL239" s="3"/>
      <c r="AM239" s="3"/>
      <c r="AN239" s="3"/>
      <c r="AO239" s="3"/>
      <c r="AP239" s="3"/>
      <c r="AQ239" s="3"/>
      <c r="AR239" s="3"/>
      <c r="AS239" s="3"/>
      <c r="AT239" s="3"/>
      <c r="AU239" s="3"/>
      <c r="AV239" s="3"/>
      <c r="AW239" s="3"/>
      <c r="AX239" s="3"/>
      <c r="AY239" s="3"/>
      <c r="AZ239" s="3"/>
      <c r="BA239" s="3"/>
      <c r="BB239" s="3"/>
      <c r="BC239" s="3"/>
      <c r="BD239" s="3"/>
      <c r="BE239" s="3"/>
      <c r="BF239" s="3"/>
    </row>
    <row r="240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20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  <c r="AG240" s="3"/>
      <c r="AH240" s="3"/>
      <c r="AI240" s="3"/>
      <c r="AJ240" s="3"/>
      <c r="AK240" s="3"/>
      <c r="AL240" s="3"/>
      <c r="AM240" s="3"/>
      <c r="AN240" s="3"/>
      <c r="AO240" s="3"/>
      <c r="AP240" s="3"/>
      <c r="AQ240" s="3"/>
      <c r="AR240" s="3"/>
      <c r="AS240" s="3"/>
      <c r="AT240" s="3"/>
      <c r="AU240" s="3"/>
      <c r="AV240" s="3"/>
      <c r="AW240" s="3"/>
      <c r="AX240" s="3"/>
      <c r="AY240" s="3"/>
      <c r="AZ240" s="3"/>
      <c r="BA240" s="3"/>
      <c r="BB240" s="3"/>
      <c r="BC240" s="3"/>
      <c r="BD240" s="3"/>
      <c r="BE240" s="3"/>
      <c r="BF240" s="3"/>
    </row>
    <row r="24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20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  <c r="AG241" s="3"/>
      <c r="AH241" s="3"/>
      <c r="AI241" s="3"/>
      <c r="AJ241" s="3"/>
      <c r="AK241" s="3"/>
      <c r="AL241" s="3"/>
      <c r="AM241" s="3"/>
      <c r="AN241" s="3"/>
      <c r="AO241" s="3"/>
      <c r="AP241" s="3"/>
      <c r="AQ241" s="3"/>
      <c r="AR241" s="3"/>
      <c r="AS241" s="3"/>
      <c r="AT241" s="3"/>
      <c r="AU241" s="3"/>
      <c r="AV241" s="3"/>
      <c r="AW241" s="3"/>
      <c r="AX241" s="3"/>
      <c r="AY241" s="3"/>
      <c r="AZ241" s="3"/>
      <c r="BA241" s="3"/>
      <c r="BB241" s="3"/>
      <c r="BC241" s="3"/>
      <c r="BD241" s="3"/>
      <c r="BE241" s="3"/>
      <c r="BF241" s="3"/>
    </row>
    <row r="242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20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  <c r="AG242" s="3"/>
      <c r="AH242" s="3"/>
      <c r="AI242" s="3"/>
      <c r="AJ242" s="3"/>
      <c r="AK242" s="3"/>
      <c r="AL242" s="3"/>
      <c r="AM242" s="3"/>
      <c r="AN242" s="3"/>
      <c r="AO242" s="3"/>
      <c r="AP242" s="3"/>
      <c r="AQ242" s="3"/>
      <c r="AR242" s="3"/>
      <c r="AS242" s="3"/>
      <c r="AT242" s="3"/>
      <c r="AU242" s="3"/>
      <c r="AV242" s="3"/>
      <c r="AW242" s="3"/>
      <c r="AX242" s="3"/>
      <c r="AY242" s="3"/>
      <c r="AZ242" s="3"/>
      <c r="BA242" s="3"/>
      <c r="BB242" s="3"/>
      <c r="BC242" s="3"/>
      <c r="BD242" s="3"/>
      <c r="BE242" s="3"/>
      <c r="BF242" s="3"/>
    </row>
    <row r="24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20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  <c r="AG243" s="3"/>
      <c r="AH243" s="3"/>
      <c r="AI243" s="3"/>
      <c r="AJ243" s="3"/>
      <c r="AK243" s="3"/>
      <c r="AL243" s="3"/>
      <c r="AM243" s="3"/>
      <c r="AN243" s="3"/>
      <c r="AO243" s="3"/>
      <c r="AP243" s="3"/>
      <c r="AQ243" s="3"/>
      <c r="AR243" s="3"/>
      <c r="AS243" s="3"/>
      <c r="AT243" s="3"/>
      <c r="AU243" s="3"/>
      <c r="AV243" s="3"/>
      <c r="AW243" s="3"/>
      <c r="AX243" s="3"/>
      <c r="AY243" s="3"/>
      <c r="AZ243" s="3"/>
      <c r="BA243" s="3"/>
      <c r="BB243" s="3"/>
      <c r="BC243" s="3"/>
      <c r="BD243" s="3"/>
      <c r="BE243" s="3"/>
      <c r="BF243" s="3"/>
    </row>
    <row r="244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20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  <c r="AG244" s="3"/>
      <c r="AH244" s="3"/>
      <c r="AI244" s="3"/>
      <c r="AJ244" s="3"/>
      <c r="AK244" s="3"/>
      <c r="AL244" s="3"/>
      <c r="AM244" s="3"/>
      <c r="AN244" s="3"/>
      <c r="AO244" s="3"/>
      <c r="AP244" s="3"/>
      <c r="AQ244" s="3"/>
      <c r="AR244" s="3"/>
      <c r="AS244" s="3"/>
      <c r="AT244" s="3"/>
      <c r="AU244" s="3"/>
      <c r="AV244" s="3"/>
      <c r="AW244" s="3"/>
      <c r="AX244" s="3"/>
      <c r="AY244" s="3"/>
      <c r="AZ244" s="3"/>
      <c r="BA244" s="3"/>
      <c r="BB244" s="3"/>
      <c r="BC244" s="3"/>
      <c r="BD244" s="3"/>
      <c r="BE244" s="3"/>
      <c r="BF244" s="3"/>
    </row>
    <row r="245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20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  <c r="AG245" s="3"/>
      <c r="AH245" s="3"/>
      <c r="AI245" s="3"/>
      <c r="AJ245" s="3"/>
      <c r="AK245" s="3"/>
      <c r="AL245" s="3"/>
      <c r="AM245" s="3"/>
      <c r="AN245" s="3"/>
      <c r="AO245" s="3"/>
      <c r="AP245" s="3"/>
      <c r="AQ245" s="3"/>
      <c r="AR245" s="3"/>
      <c r="AS245" s="3"/>
      <c r="AT245" s="3"/>
      <c r="AU245" s="3"/>
      <c r="AV245" s="3"/>
      <c r="AW245" s="3"/>
      <c r="AX245" s="3"/>
      <c r="AY245" s="3"/>
      <c r="AZ245" s="3"/>
      <c r="BA245" s="3"/>
      <c r="BB245" s="3"/>
      <c r="BC245" s="3"/>
      <c r="BD245" s="3"/>
      <c r="BE245" s="3"/>
      <c r="BF245" s="3"/>
    </row>
    <row r="24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20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  <c r="AG246" s="3"/>
      <c r="AH246" s="3"/>
      <c r="AI246" s="3"/>
      <c r="AJ246" s="3"/>
      <c r="AK246" s="3"/>
      <c r="AL246" s="3"/>
      <c r="AM246" s="3"/>
      <c r="AN246" s="3"/>
      <c r="AO246" s="3"/>
      <c r="AP246" s="3"/>
      <c r="AQ246" s="3"/>
      <c r="AR246" s="3"/>
      <c r="AS246" s="3"/>
      <c r="AT246" s="3"/>
      <c r="AU246" s="3"/>
      <c r="AV246" s="3"/>
      <c r="AW246" s="3"/>
      <c r="AX246" s="3"/>
      <c r="AY246" s="3"/>
      <c r="AZ246" s="3"/>
      <c r="BA246" s="3"/>
      <c r="BB246" s="3"/>
      <c r="BC246" s="3"/>
      <c r="BD246" s="3"/>
      <c r="BE246" s="3"/>
      <c r="BF246" s="3"/>
    </row>
    <row r="247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20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  <c r="AG247" s="3"/>
      <c r="AH247" s="3"/>
      <c r="AI247" s="3"/>
      <c r="AJ247" s="3"/>
      <c r="AK247" s="3"/>
      <c r="AL247" s="3"/>
      <c r="AM247" s="3"/>
      <c r="AN247" s="3"/>
      <c r="AO247" s="3"/>
      <c r="AP247" s="3"/>
      <c r="AQ247" s="3"/>
      <c r="AR247" s="3"/>
      <c r="AS247" s="3"/>
      <c r="AT247" s="3"/>
      <c r="AU247" s="3"/>
      <c r="AV247" s="3"/>
      <c r="AW247" s="3"/>
      <c r="AX247" s="3"/>
      <c r="AY247" s="3"/>
      <c r="AZ247" s="3"/>
      <c r="BA247" s="3"/>
      <c r="BB247" s="3"/>
      <c r="BC247" s="3"/>
      <c r="BD247" s="3"/>
      <c r="BE247" s="3"/>
      <c r="BF247" s="3"/>
    </row>
    <row r="248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20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  <c r="AG248" s="3"/>
      <c r="AH248" s="3"/>
      <c r="AI248" s="3"/>
      <c r="AJ248" s="3"/>
      <c r="AK248" s="3"/>
      <c r="AL248" s="3"/>
      <c r="AM248" s="3"/>
      <c r="AN248" s="3"/>
      <c r="AO248" s="3"/>
      <c r="AP248" s="3"/>
      <c r="AQ248" s="3"/>
      <c r="AR248" s="3"/>
      <c r="AS248" s="3"/>
      <c r="AT248" s="3"/>
      <c r="AU248" s="3"/>
      <c r="AV248" s="3"/>
      <c r="AW248" s="3"/>
      <c r="AX248" s="3"/>
      <c r="AY248" s="3"/>
      <c r="AZ248" s="3"/>
      <c r="BA248" s="3"/>
      <c r="BB248" s="3"/>
      <c r="BC248" s="3"/>
      <c r="BD248" s="3"/>
      <c r="BE248" s="3"/>
      <c r="BF248" s="3"/>
    </row>
    <row r="249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20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  <c r="AG249" s="3"/>
      <c r="AH249" s="3"/>
      <c r="AI249" s="3"/>
      <c r="AJ249" s="3"/>
      <c r="AK249" s="3"/>
      <c r="AL249" s="3"/>
      <c r="AM249" s="3"/>
      <c r="AN249" s="3"/>
      <c r="AO249" s="3"/>
      <c r="AP249" s="3"/>
      <c r="AQ249" s="3"/>
      <c r="AR249" s="3"/>
      <c r="AS249" s="3"/>
      <c r="AT249" s="3"/>
      <c r="AU249" s="3"/>
      <c r="AV249" s="3"/>
      <c r="AW249" s="3"/>
      <c r="AX249" s="3"/>
      <c r="AY249" s="3"/>
      <c r="AZ249" s="3"/>
      <c r="BA249" s="3"/>
      <c r="BB249" s="3"/>
      <c r="BC249" s="3"/>
      <c r="BD249" s="3"/>
      <c r="BE249" s="3"/>
      <c r="BF249" s="3"/>
    </row>
    <row r="250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20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  <c r="AG250" s="3"/>
      <c r="AH250" s="3"/>
      <c r="AI250" s="3"/>
      <c r="AJ250" s="3"/>
      <c r="AK250" s="3"/>
      <c r="AL250" s="3"/>
      <c r="AM250" s="3"/>
      <c r="AN250" s="3"/>
      <c r="AO250" s="3"/>
      <c r="AP250" s="3"/>
      <c r="AQ250" s="3"/>
      <c r="AR250" s="3"/>
      <c r="AS250" s="3"/>
      <c r="AT250" s="3"/>
      <c r="AU250" s="3"/>
      <c r="AV250" s="3"/>
      <c r="AW250" s="3"/>
      <c r="AX250" s="3"/>
      <c r="AY250" s="3"/>
      <c r="AZ250" s="3"/>
      <c r="BA250" s="3"/>
      <c r="BB250" s="3"/>
      <c r="BC250" s="3"/>
      <c r="BD250" s="3"/>
      <c r="BE250" s="3"/>
      <c r="BF250" s="3"/>
    </row>
    <row r="25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20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  <c r="AG251" s="3"/>
      <c r="AH251" s="3"/>
      <c r="AI251" s="3"/>
      <c r="AJ251" s="3"/>
      <c r="AK251" s="3"/>
      <c r="AL251" s="3"/>
      <c r="AM251" s="3"/>
      <c r="AN251" s="3"/>
      <c r="AO251" s="3"/>
      <c r="AP251" s="3"/>
      <c r="AQ251" s="3"/>
      <c r="AR251" s="3"/>
      <c r="AS251" s="3"/>
      <c r="AT251" s="3"/>
      <c r="AU251" s="3"/>
      <c r="AV251" s="3"/>
      <c r="AW251" s="3"/>
      <c r="AX251" s="3"/>
      <c r="AY251" s="3"/>
      <c r="AZ251" s="3"/>
      <c r="BA251" s="3"/>
      <c r="BB251" s="3"/>
      <c r="BC251" s="3"/>
      <c r="BD251" s="3"/>
      <c r="BE251" s="3"/>
      <c r="BF251" s="3"/>
    </row>
    <row r="252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20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  <c r="AG252" s="3"/>
      <c r="AH252" s="3"/>
      <c r="AI252" s="3"/>
      <c r="AJ252" s="3"/>
      <c r="AK252" s="3"/>
      <c r="AL252" s="3"/>
      <c r="AM252" s="3"/>
      <c r="AN252" s="3"/>
      <c r="AO252" s="3"/>
      <c r="AP252" s="3"/>
      <c r="AQ252" s="3"/>
      <c r="AR252" s="3"/>
      <c r="AS252" s="3"/>
      <c r="AT252" s="3"/>
      <c r="AU252" s="3"/>
      <c r="AV252" s="3"/>
      <c r="AW252" s="3"/>
      <c r="AX252" s="3"/>
      <c r="AY252" s="3"/>
      <c r="AZ252" s="3"/>
      <c r="BA252" s="3"/>
      <c r="BB252" s="3"/>
      <c r="BC252" s="3"/>
      <c r="BD252" s="3"/>
      <c r="BE252" s="3"/>
      <c r="BF252" s="3"/>
    </row>
    <row r="25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20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  <c r="AG253" s="3"/>
      <c r="AH253" s="3"/>
      <c r="AI253" s="3"/>
      <c r="AJ253" s="3"/>
      <c r="AK253" s="3"/>
      <c r="AL253" s="3"/>
      <c r="AM253" s="3"/>
      <c r="AN253" s="3"/>
      <c r="AO253" s="3"/>
      <c r="AP253" s="3"/>
      <c r="AQ253" s="3"/>
      <c r="AR253" s="3"/>
      <c r="AS253" s="3"/>
      <c r="AT253" s="3"/>
      <c r="AU253" s="3"/>
      <c r="AV253" s="3"/>
      <c r="AW253" s="3"/>
      <c r="AX253" s="3"/>
      <c r="AY253" s="3"/>
      <c r="AZ253" s="3"/>
      <c r="BA253" s="3"/>
      <c r="BB253" s="3"/>
      <c r="BC253" s="3"/>
      <c r="BD253" s="3"/>
      <c r="BE253" s="3"/>
      <c r="BF253" s="3"/>
    </row>
    <row r="254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20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  <c r="AG254" s="3"/>
      <c r="AH254" s="3"/>
      <c r="AI254" s="3"/>
      <c r="AJ254" s="3"/>
      <c r="AK254" s="3"/>
      <c r="AL254" s="3"/>
      <c r="AM254" s="3"/>
      <c r="AN254" s="3"/>
      <c r="AO254" s="3"/>
      <c r="AP254" s="3"/>
      <c r="AQ254" s="3"/>
      <c r="AR254" s="3"/>
      <c r="AS254" s="3"/>
      <c r="AT254" s="3"/>
      <c r="AU254" s="3"/>
      <c r="AV254" s="3"/>
      <c r="AW254" s="3"/>
      <c r="AX254" s="3"/>
      <c r="AY254" s="3"/>
      <c r="AZ254" s="3"/>
      <c r="BA254" s="3"/>
      <c r="BB254" s="3"/>
      <c r="BC254" s="3"/>
      <c r="BD254" s="3"/>
      <c r="BE254" s="3"/>
      <c r="BF254" s="3"/>
    </row>
    <row r="255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20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  <c r="AG255" s="3"/>
      <c r="AH255" s="3"/>
      <c r="AI255" s="3"/>
      <c r="AJ255" s="3"/>
      <c r="AK255" s="3"/>
      <c r="AL255" s="3"/>
      <c r="AM255" s="3"/>
      <c r="AN255" s="3"/>
      <c r="AO255" s="3"/>
      <c r="AP255" s="3"/>
      <c r="AQ255" s="3"/>
      <c r="AR255" s="3"/>
      <c r="AS255" s="3"/>
      <c r="AT255" s="3"/>
      <c r="AU255" s="3"/>
      <c r="AV255" s="3"/>
      <c r="AW255" s="3"/>
      <c r="AX255" s="3"/>
      <c r="AY255" s="3"/>
      <c r="AZ255" s="3"/>
      <c r="BA255" s="3"/>
      <c r="BB255" s="3"/>
      <c r="BC255" s="3"/>
      <c r="BD255" s="3"/>
      <c r="BE255" s="3"/>
      <c r="BF255" s="3"/>
    </row>
    <row r="25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20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  <c r="AG256" s="3"/>
      <c r="AH256" s="3"/>
      <c r="AI256" s="3"/>
      <c r="AJ256" s="3"/>
      <c r="AK256" s="3"/>
      <c r="AL256" s="3"/>
      <c r="AM256" s="3"/>
      <c r="AN256" s="3"/>
      <c r="AO256" s="3"/>
      <c r="AP256" s="3"/>
      <c r="AQ256" s="3"/>
      <c r="AR256" s="3"/>
      <c r="AS256" s="3"/>
      <c r="AT256" s="3"/>
      <c r="AU256" s="3"/>
      <c r="AV256" s="3"/>
      <c r="AW256" s="3"/>
      <c r="AX256" s="3"/>
      <c r="AY256" s="3"/>
      <c r="AZ256" s="3"/>
      <c r="BA256" s="3"/>
      <c r="BB256" s="3"/>
      <c r="BC256" s="3"/>
      <c r="BD256" s="3"/>
      <c r="BE256" s="3"/>
      <c r="BF256" s="3"/>
    </row>
    <row r="257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20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  <c r="AG257" s="3"/>
      <c r="AH257" s="3"/>
      <c r="AI257" s="3"/>
      <c r="AJ257" s="3"/>
      <c r="AK257" s="3"/>
      <c r="AL257" s="3"/>
      <c r="AM257" s="3"/>
      <c r="AN257" s="3"/>
      <c r="AO257" s="3"/>
      <c r="AP257" s="3"/>
      <c r="AQ257" s="3"/>
      <c r="AR257" s="3"/>
      <c r="AS257" s="3"/>
      <c r="AT257" s="3"/>
      <c r="AU257" s="3"/>
      <c r="AV257" s="3"/>
      <c r="AW257" s="3"/>
      <c r="AX257" s="3"/>
      <c r="AY257" s="3"/>
      <c r="AZ257" s="3"/>
      <c r="BA257" s="3"/>
      <c r="BB257" s="3"/>
      <c r="BC257" s="3"/>
      <c r="BD257" s="3"/>
      <c r="BE257" s="3"/>
      <c r="BF257" s="3"/>
    </row>
    <row r="258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20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  <c r="AG258" s="3"/>
      <c r="AH258" s="3"/>
      <c r="AI258" s="3"/>
      <c r="AJ258" s="3"/>
      <c r="AK258" s="3"/>
      <c r="AL258" s="3"/>
      <c r="AM258" s="3"/>
      <c r="AN258" s="3"/>
      <c r="AO258" s="3"/>
      <c r="AP258" s="3"/>
      <c r="AQ258" s="3"/>
      <c r="AR258" s="3"/>
      <c r="AS258" s="3"/>
      <c r="AT258" s="3"/>
      <c r="AU258" s="3"/>
      <c r="AV258" s="3"/>
      <c r="AW258" s="3"/>
      <c r="AX258" s="3"/>
      <c r="AY258" s="3"/>
      <c r="AZ258" s="3"/>
      <c r="BA258" s="3"/>
      <c r="BB258" s="3"/>
      <c r="BC258" s="3"/>
      <c r="BD258" s="3"/>
      <c r="BE258" s="3"/>
      <c r="BF258" s="3"/>
    </row>
    <row r="259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20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  <c r="AG259" s="3"/>
      <c r="AH259" s="3"/>
      <c r="AI259" s="3"/>
      <c r="AJ259" s="3"/>
      <c r="AK259" s="3"/>
      <c r="AL259" s="3"/>
      <c r="AM259" s="3"/>
      <c r="AN259" s="3"/>
      <c r="AO259" s="3"/>
      <c r="AP259" s="3"/>
      <c r="AQ259" s="3"/>
      <c r="AR259" s="3"/>
      <c r="AS259" s="3"/>
      <c r="AT259" s="3"/>
      <c r="AU259" s="3"/>
      <c r="AV259" s="3"/>
      <c r="AW259" s="3"/>
      <c r="AX259" s="3"/>
      <c r="AY259" s="3"/>
      <c r="AZ259" s="3"/>
      <c r="BA259" s="3"/>
      <c r="BB259" s="3"/>
      <c r="BC259" s="3"/>
      <c r="BD259" s="3"/>
      <c r="BE259" s="3"/>
      <c r="BF259" s="3"/>
    </row>
    <row r="260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20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  <c r="AG260" s="3"/>
      <c r="AH260" s="3"/>
      <c r="AI260" s="3"/>
      <c r="AJ260" s="3"/>
      <c r="AK260" s="3"/>
      <c r="AL260" s="3"/>
      <c r="AM260" s="3"/>
      <c r="AN260" s="3"/>
      <c r="AO260" s="3"/>
      <c r="AP260" s="3"/>
      <c r="AQ260" s="3"/>
      <c r="AR260" s="3"/>
      <c r="AS260" s="3"/>
      <c r="AT260" s="3"/>
      <c r="AU260" s="3"/>
      <c r="AV260" s="3"/>
      <c r="AW260" s="3"/>
      <c r="AX260" s="3"/>
      <c r="AY260" s="3"/>
      <c r="AZ260" s="3"/>
      <c r="BA260" s="3"/>
      <c r="BB260" s="3"/>
      <c r="BC260" s="3"/>
      <c r="BD260" s="3"/>
      <c r="BE260" s="3"/>
      <c r="BF260" s="3"/>
    </row>
    <row r="26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20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  <c r="AG261" s="3"/>
      <c r="AH261" s="3"/>
      <c r="AI261" s="3"/>
      <c r="AJ261" s="3"/>
      <c r="AK261" s="3"/>
      <c r="AL261" s="3"/>
      <c r="AM261" s="3"/>
      <c r="AN261" s="3"/>
      <c r="AO261" s="3"/>
      <c r="AP261" s="3"/>
      <c r="AQ261" s="3"/>
      <c r="AR261" s="3"/>
      <c r="AS261" s="3"/>
      <c r="AT261" s="3"/>
      <c r="AU261" s="3"/>
      <c r="AV261" s="3"/>
      <c r="AW261" s="3"/>
      <c r="AX261" s="3"/>
      <c r="AY261" s="3"/>
      <c r="AZ261" s="3"/>
      <c r="BA261" s="3"/>
      <c r="BB261" s="3"/>
      <c r="BC261" s="3"/>
      <c r="BD261" s="3"/>
      <c r="BE261" s="3"/>
      <c r="BF261" s="3"/>
    </row>
    <row r="262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20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  <c r="AG262" s="3"/>
      <c r="AH262" s="3"/>
      <c r="AI262" s="3"/>
      <c r="AJ262" s="3"/>
      <c r="AK262" s="3"/>
      <c r="AL262" s="3"/>
      <c r="AM262" s="3"/>
      <c r="AN262" s="3"/>
      <c r="AO262" s="3"/>
      <c r="AP262" s="3"/>
      <c r="AQ262" s="3"/>
      <c r="AR262" s="3"/>
      <c r="AS262" s="3"/>
      <c r="AT262" s="3"/>
      <c r="AU262" s="3"/>
      <c r="AV262" s="3"/>
      <c r="AW262" s="3"/>
      <c r="AX262" s="3"/>
      <c r="AY262" s="3"/>
      <c r="AZ262" s="3"/>
      <c r="BA262" s="3"/>
      <c r="BB262" s="3"/>
      <c r="BC262" s="3"/>
      <c r="BD262" s="3"/>
      <c r="BE262" s="3"/>
      <c r="BF262" s="3"/>
    </row>
    <row r="26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20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  <c r="AG263" s="3"/>
      <c r="AH263" s="3"/>
      <c r="AI263" s="3"/>
      <c r="AJ263" s="3"/>
      <c r="AK263" s="3"/>
      <c r="AL263" s="3"/>
      <c r="AM263" s="3"/>
      <c r="AN263" s="3"/>
      <c r="AO263" s="3"/>
      <c r="AP263" s="3"/>
      <c r="AQ263" s="3"/>
      <c r="AR263" s="3"/>
      <c r="AS263" s="3"/>
      <c r="AT263" s="3"/>
      <c r="AU263" s="3"/>
      <c r="AV263" s="3"/>
      <c r="AW263" s="3"/>
      <c r="AX263" s="3"/>
      <c r="AY263" s="3"/>
      <c r="AZ263" s="3"/>
      <c r="BA263" s="3"/>
      <c r="BB263" s="3"/>
      <c r="BC263" s="3"/>
      <c r="BD263" s="3"/>
      <c r="BE263" s="3"/>
      <c r="BF263" s="3"/>
    </row>
    <row r="264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20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  <c r="AG264" s="3"/>
      <c r="AH264" s="3"/>
      <c r="AI264" s="3"/>
      <c r="AJ264" s="3"/>
      <c r="AK264" s="3"/>
      <c r="AL264" s="3"/>
      <c r="AM264" s="3"/>
      <c r="AN264" s="3"/>
      <c r="AO264" s="3"/>
      <c r="AP264" s="3"/>
      <c r="AQ264" s="3"/>
      <c r="AR264" s="3"/>
      <c r="AS264" s="3"/>
      <c r="AT264" s="3"/>
      <c r="AU264" s="3"/>
      <c r="AV264" s="3"/>
      <c r="AW264" s="3"/>
      <c r="AX264" s="3"/>
      <c r="AY264" s="3"/>
      <c r="AZ264" s="3"/>
      <c r="BA264" s="3"/>
      <c r="BB264" s="3"/>
      <c r="BC264" s="3"/>
      <c r="BD264" s="3"/>
      <c r="BE264" s="3"/>
      <c r="BF264" s="3"/>
    </row>
    <row r="265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20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  <c r="AG265" s="3"/>
      <c r="AH265" s="3"/>
      <c r="AI265" s="3"/>
      <c r="AJ265" s="3"/>
      <c r="AK265" s="3"/>
      <c r="AL265" s="3"/>
      <c r="AM265" s="3"/>
      <c r="AN265" s="3"/>
      <c r="AO265" s="3"/>
      <c r="AP265" s="3"/>
      <c r="AQ265" s="3"/>
      <c r="AR265" s="3"/>
      <c r="AS265" s="3"/>
      <c r="AT265" s="3"/>
      <c r="AU265" s="3"/>
      <c r="AV265" s="3"/>
      <c r="AW265" s="3"/>
      <c r="AX265" s="3"/>
      <c r="AY265" s="3"/>
      <c r="AZ265" s="3"/>
      <c r="BA265" s="3"/>
      <c r="BB265" s="3"/>
      <c r="BC265" s="3"/>
      <c r="BD265" s="3"/>
      <c r="BE265" s="3"/>
      <c r="BF265" s="3"/>
    </row>
    <row r="26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20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  <c r="AG266" s="3"/>
      <c r="AH266" s="3"/>
      <c r="AI266" s="3"/>
      <c r="AJ266" s="3"/>
      <c r="AK266" s="3"/>
      <c r="AL266" s="3"/>
      <c r="AM266" s="3"/>
      <c r="AN266" s="3"/>
      <c r="AO266" s="3"/>
      <c r="AP266" s="3"/>
      <c r="AQ266" s="3"/>
      <c r="AR266" s="3"/>
      <c r="AS266" s="3"/>
      <c r="AT266" s="3"/>
      <c r="AU266" s="3"/>
      <c r="AV266" s="3"/>
      <c r="AW266" s="3"/>
      <c r="AX266" s="3"/>
      <c r="AY266" s="3"/>
      <c r="AZ266" s="3"/>
      <c r="BA266" s="3"/>
      <c r="BB266" s="3"/>
      <c r="BC266" s="3"/>
      <c r="BD266" s="3"/>
      <c r="BE266" s="3"/>
      <c r="BF266" s="3"/>
    </row>
    <row r="267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20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  <c r="AG267" s="3"/>
      <c r="AH267" s="3"/>
      <c r="AI267" s="3"/>
      <c r="AJ267" s="3"/>
      <c r="AK267" s="3"/>
      <c r="AL267" s="3"/>
      <c r="AM267" s="3"/>
      <c r="AN267" s="3"/>
      <c r="AO267" s="3"/>
      <c r="AP267" s="3"/>
      <c r="AQ267" s="3"/>
      <c r="AR267" s="3"/>
      <c r="AS267" s="3"/>
      <c r="AT267" s="3"/>
      <c r="AU267" s="3"/>
      <c r="AV267" s="3"/>
      <c r="AW267" s="3"/>
      <c r="AX267" s="3"/>
      <c r="AY267" s="3"/>
      <c r="AZ267" s="3"/>
      <c r="BA267" s="3"/>
      <c r="BB267" s="3"/>
      <c r="BC267" s="3"/>
      <c r="BD267" s="3"/>
      <c r="BE267" s="3"/>
      <c r="BF267" s="3"/>
    </row>
    <row r="268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20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  <c r="AG268" s="3"/>
      <c r="AH268" s="3"/>
      <c r="AI268" s="3"/>
      <c r="AJ268" s="3"/>
      <c r="AK268" s="3"/>
      <c r="AL268" s="3"/>
      <c r="AM268" s="3"/>
      <c r="AN268" s="3"/>
      <c r="AO268" s="3"/>
      <c r="AP268" s="3"/>
      <c r="AQ268" s="3"/>
      <c r="AR268" s="3"/>
      <c r="AS268" s="3"/>
      <c r="AT268" s="3"/>
      <c r="AU268" s="3"/>
      <c r="AV268" s="3"/>
      <c r="AW268" s="3"/>
      <c r="AX268" s="3"/>
      <c r="AY268" s="3"/>
      <c r="AZ268" s="3"/>
      <c r="BA268" s="3"/>
      <c r="BB268" s="3"/>
      <c r="BC268" s="3"/>
      <c r="BD268" s="3"/>
      <c r="BE268" s="3"/>
      <c r="BF268" s="3"/>
    </row>
    <row r="269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20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  <c r="AG269" s="3"/>
      <c r="AH269" s="3"/>
      <c r="AI269" s="3"/>
      <c r="AJ269" s="3"/>
      <c r="AK269" s="3"/>
      <c r="AL269" s="3"/>
      <c r="AM269" s="3"/>
      <c r="AN269" s="3"/>
      <c r="AO269" s="3"/>
      <c r="AP269" s="3"/>
      <c r="AQ269" s="3"/>
      <c r="AR269" s="3"/>
      <c r="AS269" s="3"/>
      <c r="AT269" s="3"/>
      <c r="AU269" s="3"/>
      <c r="AV269" s="3"/>
      <c r="AW269" s="3"/>
      <c r="AX269" s="3"/>
      <c r="AY269" s="3"/>
      <c r="AZ269" s="3"/>
      <c r="BA269" s="3"/>
      <c r="BB269" s="3"/>
      <c r="BC269" s="3"/>
      <c r="BD269" s="3"/>
      <c r="BE269" s="3"/>
      <c r="BF269" s="3"/>
    </row>
    <row r="270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20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  <c r="AG270" s="3"/>
      <c r="AH270" s="3"/>
      <c r="AI270" s="3"/>
      <c r="AJ270" s="3"/>
      <c r="AK270" s="3"/>
      <c r="AL270" s="3"/>
      <c r="AM270" s="3"/>
      <c r="AN270" s="3"/>
      <c r="AO270" s="3"/>
      <c r="AP270" s="3"/>
      <c r="AQ270" s="3"/>
      <c r="AR270" s="3"/>
      <c r="AS270" s="3"/>
      <c r="AT270" s="3"/>
      <c r="AU270" s="3"/>
      <c r="AV270" s="3"/>
      <c r="AW270" s="3"/>
      <c r="AX270" s="3"/>
      <c r="AY270" s="3"/>
      <c r="AZ270" s="3"/>
      <c r="BA270" s="3"/>
      <c r="BB270" s="3"/>
      <c r="BC270" s="3"/>
      <c r="BD270" s="3"/>
      <c r="BE270" s="3"/>
      <c r="BF270" s="3"/>
    </row>
    <row r="27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20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  <c r="AG271" s="3"/>
      <c r="AH271" s="3"/>
      <c r="AI271" s="3"/>
      <c r="AJ271" s="3"/>
      <c r="AK271" s="3"/>
      <c r="AL271" s="3"/>
      <c r="AM271" s="3"/>
      <c r="AN271" s="3"/>
      <c r="AO271" s="3"/>
      <c r="AP271" s="3"/>
      <c r="AQ271" s="3"/>
      <c r="AR271" s="3"/>
      <c r="AS271" s="3"/>
      <c r="AT271" s="3"/>
      <c r="AU271" s="3"/>
      <c r="AV271" s="3"/>
      <c r="AW271" s="3"/>
      <c r="AX271" s="3"/>
      <c r="AY271" s="3"/>
      <c r="AZ271" s="3"/>
      <c r="BA271" s="3"/>
      <c r="BB271" s="3"/>
      <c r="BC271" s="3"/>
      <c r="BD271" s="3"/>
      <c r="BE271" s="3"/>
      <c r="BF271" s="3"/>
    </row>
    <row r="272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20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  <c r="AG272" s="3"/>
      <c r="AH272" s="3"/>
      <c r="AI272" s="3"/>
      <c r="AJ272" s="3"/>
      <c r="AK272" s="3"/>
      <c r="AL272" s="3"/>
      <c r="AM272" s="3"/>
      <c r="AN272" s="3"/>
      <c r="AO272" s="3"/>
      <c r="AP272" s="3"/>
      <c r="AQ272" s="3"/>
      <c r="AR272" s="3"/>
      <c r="AS272" s="3"/>
      <c r="AT272" s="3"/>
      <c r="AU272" s="3"/>
      <c r="AV272" s="3"/>
      <c r="AW272" s="3"/>
      <c r="AX272" s="3"/>
      <c r="AY272" s="3"/>
      <c r="AZ272" s="3"/>
      <c r="BA272" s="3"/>
      <c r="BB272" s="3"/>
      <c r="BC272" s="3"/>
      <c r="BD272" s="3"/>
      <c r="BE272" s="3"/>
      <c r="BF272" s="3"/>
    </row>
    <row r="27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20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  <c r="AG273" s="3"/>
      <c r="AH273" s="3"/>
      <c r="AI273" s="3"/>
      <c r="AJ273" s="3"/>
      <c r="AK273" s="3"/>
      <c r="AL273" s="3"/>
      <c r="AM273" s="3"/>
      <c r="AN273" s="3"/>
      <c r="AO273" s="3"/>
      <c r="AP273" s="3"/>
      <c r="AQ273" s="3"/>
      <c r="AR273" s="3"/>
      <c r="AS273" s="3"/>
      <c r="AT273" s="3"/>
      <c r="AU273" s="3"/>
      <c r="AV273" s="3"/>
      <c r="AW273" s="3"/>
      <c r="AX273" s="3"/>
      <c r="AY273" s="3"/>
      <c r="AZ273" s="3"/>
      <c r="BA273" s="3"/>
      <c r="BB273" s="3"/>
      <c r="BC273" s="3"/>
      <c r="BD273" s="3"/>
      <c r="BE273" s="3"/>
      <c r="BF273" s="3"/>
    </row>
    <row r="274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20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  <c r="AG274" s="3"/>
      <c r="AH274" s="3"/>
      <c r="AI274" s="3"/>
      <c r="AJ274" s="3"/>
      <c r="AK274" s="3"/>
      <c r="AL274" s="3"/>
      <c r="AM274" s="3"/>
      <c r="AN274" s="3"/>
      <c r="AO274" s="3"/>
      <c r="AP274" s="3"/>
      <c r="AQ274" s="3"/>
      <c r="AR274" s="3"/>
      <c r="AS274" s="3"/>
      <c r="AT274" s="3"/>
      <c r="AU274" s="3"/>
      <c r="AV274" s="3"/>
      <c r="AW274" s="3"/>
      <c r="AX274" s="3"/>
      <c r="AY274" s="3"/>
      <c r="AZ274" s="3"/>
      <c r="BA274" s="3"/>
      <c r="BB274" s="3"/>
      <c r="BC274" s="3"/>
      <c r="BD274" s="3"/>
      <c r="BE274" s="3"/>
      <c r="BF274" s="3"/>
    </row>
    <row r="275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20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  <c r="AG275" s="3"/>
      <c r="AH275" s="3"/>
      <c r="AI275" s="3"/>
      <c r="AJ275" s="3"/>
      <c r="AK275" s="3"/>
      <c r="AL275" s="3"/>
      <c r="AM275" s="3"/>
      <c r="AN275" s="3"/>
      <c r="AO275" s="3"/>
      <c r="AP275" s="3"/>
      <c r="AQ275" s="3"/>
      <c r="AR275" s="3"/>
      <c r="AS275" s="3"/>
      <c r="AT275" s="3"/>
      <c r="AU275" s="3"/>
      <c r="AV275" s="3"/>
      <c r="AW275" s="3"/>
      <c r="AX275" s="3"/>
      <c r="AY275" s="3"/>
      <c r="AZ275" s="3"/>
      <c r="BA275" s="3"/>
      <c r="BB275" s="3"/>
      <c r="BC275" s="3"/>
      <c r="BD275" s="3"/>
      <c r="BE275" s="3"/>
      <c r="BF275" s="3"/>
    </row>
    <row r="27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20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  <c r="AG276" s="3"/>
      <c r="AH276" s="3"/>
      <c r="AI276" s="3"/>
      <c r="AJ276" s="3"/>
      <c r="AK276" s="3"/>
      <c r="AL276" s="3"/>
      <c r="AM276" s="3"/>
      <c r="AN276" s="3"/>
      <c r="AO276" s="3"/>
      <c r="AP276" s="3"/>
      <c r="AQ276" s="3"/>
      <c r="AR276" s="3"/>
      <c r="AS276" s="3"/>
      <c r="AT276" s="3"/>
      <c r="AU276" s="3"/>
      <c r="AV276" s="3"/>
      <c r="AW276" s="3"/>
      <c r="AX276" s="3"/>
      <c r="AY276" s="3"/>
      <c r="AZ276" s="3"/>
      <c r="BA276" s="3"/>
      <c r="BB276" s="3"/>
      <c r="BC276" s="3"/>
      <c r="BD276" s="3"/>
      <c r="BE276" s="3"/>
      <c r="BF276" s="3"/>
    </row>
    <row r="277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20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  <c r="AG277" s="3"/>
      <c r="AH277" s="3"/>
      <c r="AI277" s="3"/>
      <c r="AJ277" s="3"/>
      <c r="AK277" s="3"/>
      <c r="AL277" s="3"/>
      <c r="AM277" s="3"/>
      <c r="AN277" s="3"/>
      <c r="AO277" s="3"/>
      <c r="AP277" s="3"/>
      <c r="AQ277" s="3"/>
      <c r="AR277" s="3"/>
      <c r="AS277" s="3"/>
      <c r="AT277" s="3"/>
      <c r="AU277" s="3"/>
      <c r="AV277" s="3"/>
      <c r="AW277" s="3"/>
      <c r="AX277" s="3"/>
      <c r="AY277" s="3"/>
      <c r="AZ277" s="3"/>
      <c r="BA277" s="3"/>
      <c r="BB277" s="3"/>
      <c r="BC277" s="3"/>
      <c r="BD277" s="3"/>
      <c r="BE277" s="3"/>
      <c r="BF277" s="3"/>
    </row>
    <row r="278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20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  <c r="AG278" s="3"/>
      <c r="AH278" s="3"/>
      <c r="AI278" s="3"/>
      <c r="AJ278" s="3"/>
      <c r="AK278" s="3"/>
      <c r="AL278" s="3"/>
      <c r="AM278" s="3"/>
      <c r="AN278" s="3"/>
      <c r="AO278" s="3"/>
      <c r="AP278" s="3"/>
      <c r="AQ278" s="3"/>
      <c r="AR278" s="3"/>
      <c r="AS278" s="3"/>
      <c r="AT278" s="3"/>
      <c r="AU278" s="3"/>
      <c r="AV278" s="3"/>
      <c r="AW278" s="3"/>
      <c r="AX278" s="3"/>
      <c r="AY278" s="3"/>
      <c r="AZ278" s="3"/>
      <c r="BA278" s="3"/>
      <c r="BB278" s="3"/>
      <c r="BC278" s="3"/>
      <c r="BD278" s="3"/>
      <c r="BE278" s="3"/>
      <c r="BF278" s="3"/>
    </row>
    <row r="279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20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  <c r="AG279" s="3"/>
      <c r="AH279" s="3"/>
      <c r="AI279" s="3"/>
      <c r="AJ279" s="3"/>
      <c r="AK279" s="3"/>
      <c r="AL279" s="3"/>
      <c r="AM279" s="3"/>
      <c r="AN279" s="3"/>
      <c r="AO279" s="3"/>
      <c r="AP279" s="3"/>
      <c r="AQ279" s="3"/>
      <c r="AR279" s="3"/>
      <c r="AS279" s="3"/>
      <c r="AT279" s="3"/>
      <c r="AU279" s="3"/>
      <c r="AV279" s="3"/>
      <c r="AW279" s="3"/>
      <c r="AX279" s="3"/>
      <c r="AY279" s="3"/>
      <c r="AZ279" s="3"/>
      <c r="BA279" s="3"/>
      <c r="BB279" s="3"/>
      <c r="BC279" s="3"/>
      <c r="BD279" s="3"/>
      <c r="BE279" s="3"/>
      <c r="BF279" s="3"/>
    </row>
    <row r="280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20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  <c r="AG280" s="3"/>
      <c r="AH280" s="3"/>
      <c r="AI280" s="3"/>
      <c r="AJ280" s="3"/>
      <c r="AK280" s="3"/>
      <c r="AL280" s="3"/>
      <c r="AM280" s="3"/>
      <c r="AN280" s="3"/>
      <c r="AO280" s="3"/>
      <c r="AP280" s="3"/>
      <c r="AQ280" s="3"/>
      <c r="AR280" s="3"/>
      <c r="AS280" s="3"/>
      <c r="AT280" s="3"/>
      <c r="AU280" s="3"/>
      <c r="AV280" s="3"/>
      <c r="AW280" s="3"/>
      <c r="AX280" s="3"/>
      <c r="AY280" s="3"/>
      <c r="AZ280" s="3"/>
      <c r="BA280" s="3"/>
      <c r="BB280" s="3"/>
      <c r="BC280" s="3"/>
      <c r="BD280" s="3"/>
      <c r="BE280" s="3"/>
      <c r="BF280" s="3"/>
    </row>
    <row r="28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20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  <c r="AG281" s="3"/>
      <c r="AH281" s="3"/>
      <c r="AI281" s="3"/>
      <c r="AJ281" s="3"/>
      <c r="AK281" s="3"/>
      <c r="AL281" s="3"/>
      <c r="AM281" s="3"/>
      <c r="AN281" s="3"/>
      <c r="AO281" s="3"/>
      <c r="AP281" s="3"/>
      <c r="AQ281" s="3"/>
      <c r="AR281" s="3"/>
      <c r="AS281" s="3"/>
      <c r="AT281" s="3"/>
      <c r="AU281" s="3"/>
      <c r="AV281" s="3"/>
      <c r="AW281" s="3"/>
      <c r="AX281" s="3"/>
      <c r="AY281" s="3"/>
      <c r="AZ281" s="3"/>
      <c r="BA281" s="3"/>
      <c r="BB281" s="3"/>
      <c r="BC281" s="3"/>
      <c r="BD281" s="3"/>
      <c r="BE281" s="3"/>
      <c r="BF281" s="3"/>
    </row>
    <row r="282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20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  <c r="AG282" s="3"/>
      <c r="AH282" s="3"/>
      <c r="AI282" s="3"/>
      <c r="AJ282" s="3"/>
      <c r="AK282" s="3"/>
      <c r="AL282" s="3"/>
      <c r="AM282" s="3"/>
      <c r="AN282" s="3"/>
      <c r="AO282" s="3"/>
      <c r="AP282" s="3"/>
      <c r="AQ282" s="3"/>
      <c r="AR282" s="3"/>
      <c r="AS282" s="3"/>
      <c r="AT282" s="3"/>
      <c r="AU282" s="3"/>
      <c r="AV282" s="3"/>
      <c r="AW282" s="3"/>
      <c r="AX282" s="3"/>
      <c r="AY282" s="3"/>
      <c r="AZ282" s="3"/>
      <c r="BA282" s="3"/>
      <c r="BB282" s="3"/>
      <c r="BC282" s="3"/>
      <c r="BD282" s="3"/>
      <c r="BE282" s="3"/>
      <c r="BF282" s="3"/>
    </row>
    <row r="28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20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  <c r="AG283" s="3"/>
      <c r="AH283" s="3"/>
      <c r="AI283" s="3"/>
      <c r="AJ283" s="3"/>
      <c r="AK283" s="3"/>
      <c r="AL283" s="3"/>
      <c r="AM283" s="3"/>
      <c r="AN283" s="3"/>
      <c r="AO283" s="3"/>
      <c r="AP283" s="3"/>
      <c r="AQ283" s="3"/>
      <c r="AR283" s="3"/>
      <c r="AS283" s="3"/>
      <c r="AT283" s="3"/>
      <c r="AU283" s="3"/>
      <c r="AV283" s="3"/>
      <c r="AW283" s="3"/>
      <c r="AX283" s="3"/>
      <c r="AY283" s="3"/>
      <c r="AZ283" s="3"/>
      <c r="BA283" s="3"/>
      <c r="BB283" s="3"/>
      <c r="BC283" s="3"/>
      <c r="BD283" s="3"/>
      <c r="BE283" s="3"/>
      <c r="BF283" s="3"/>
    </row>
    <row r="284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20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  <c r="AG284" s="3"/>
      <c r="AH284" s="3"/>
      <c r="AI284" s="3"/>
      <c r="AJ284" s="3"/>
      <c r="AK284" s="3"/>
      <c r="AL284" s="3"/>
      <c r="AM284" s="3"/>
      <c r="AN284" s="3"/>
      <c r="AO284" s="3"/>
      <c r="AP284" s="3"/>
      <c r="AQ284" s="3"/>
      <c r="AR284" s="3"/>
      <c r="AS284" s="3"/>
      <c r="AT284" s="3"/>
      <c r="AU284" s="3"/>
      <c r="AV284" s="3"/>
      <c r="AW284" s="3"/>
      <c r="AX284" s="3"/>
      <c r="AY284" s="3"/>
      <c r="AZ284" s="3"/>
      <c r="BA284" s="3"/>
      <c r="BB284" s="3"/>
      <c r="BC284" s="3"/>
      <c r="BD284" s="3"/>
      <c r="BE284" s="3"/>
      <c r="BF284" s="3"/>
    </row>
    <row r="285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20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  <c r="AG285" s="3"/>
      <c r="AH285" s="3"/>
      <c r="AI285" s="3"/>
      <c r="AJ285" s="3"/>
      <c r="AK285" s="3"/>
      <c r="AL285" s="3"/>
      <c r="AM285" s="3"/>
      <c r="AN285" s="3"/>
      <c r="AO285" s="3"/>
      <c r="AP285" s="3"/>
      <c r="AQ285" s="3"/>
      <c r="AR285" s="3"/>
      <c r="AS285" s="3"/>
      <c r="AT285" s="3"/>
      <c r="AU285" s="3"/>
      <c r="AV285" s="3"/>
      <c r="AW285" s="3"/>
      <c r="AX285" s="3"/>
      <c r="AY285" s="3"/>
      <c r="AZ285" s="3"/>
      <c r="BA285" s="3"/>
      <c r="BB285" s="3"/>
      <c r="BC285" s="3"/>
      <c r="BD285" s="3"/>
      <c r="BE285" s="3"/>
      <c r="BF285" s="3"/>
    </row>
    <row r="28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20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  <c r="AG286" s="3"/>
      <c r="AH286" s="3"/>
      <c r="AI286" s="3"/>
      <c r="AJ286" s="3"/>
      <c r="AK286" s="3"/>
      <c r="AL286" s="3"/>
      <c r="AM286" s="3"/>
      <c r="AN286" s="3"/>
      <c r="AO286" s="3"/>
      <c r="AP286" s="3"/>
      <c r="AQ286" s="3"/>
      <c r="AR286" s="3"/>
      <c r="AS286" s="3"/>
      <c r="AT286" s="3"/>
      <c r="AU286" s="3"/>
      <c r="AV286" s="3"/>
      <c r="AW286" s="3"/>
      <c r="AX286" s="3"/>
      <c r="AY286" s="3"/>
      <c r="AZ286" s="3"/>
      <c r="BA286" s="3"/>
      <c r="BB286" s="3"/>
      <c r="BC286" s="3"/>
      <c r="BD286" s="3"/>
      <c r="BE286" s="3"/>
      <c r="BF286" s="3"/>
    </row>
    <row r="287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20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  <c r="AG287" s="3"/>
      <c r="AH287" s="3"/>
      <c r="AI287" s="3"/>
      <c r="AJ287" s="3"/>
      <c r="AK287" s="3"/>
      <c r="AL287" s="3"/>
      <c r="AM287" s="3"/>
      <c r="AN287" s="3"/>
      <c r="AO287" s="3"/>
      <c r="AP287" s="3"/>
      <c r="AQ287" s="3"/>
      <c r="AR287" s="3"/>
      <c r="AS287" s="3"/>
      <c r="AT287" s="3"/>
      <c r="AU287" s="3"/>
      <c r="AV287" s="3"/>
      <c r="AW287" s="3"/>
      <c r="AX287" s="3"/>
      <c r="AY287" s="3"/>
      <c r="AZ287" s="3"/>
      <c r="BA287" s="3"/>
      <c r="BB287" s="3"/>
      <c r="BC287" s="3"/>
      <c r="BD287" s="3"/>
      <c r="BE287" s="3"/>
      <c r="BF287" s="3"/>
    </row>
    <row r="288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20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  <c r="AG288" s="3"/>
      <c r="AH288" s="3"/>
      <c r="AI288" s="3"/>
      <c r="AJ288" s="3"/>
      <c r="AK288" s="3"/>
      <c r="AL288" s="3"/>
      <c r="AM288" s="3"/>
      <c r="AN288" s="3"/>
      <c r="AO288" s="3"/>
      <c r="AP288" s="3"/>
      <c r="AQ288" s="3"/>
      <c r="AR288" s="3"/>
      <c r="AS288" s="3"/>
      <c r="AT288" s="3"/>
      <c r="AU288" s="3"/>
      <c r="AV288" s="3"/>
      <c r="AW288" s="3"/>
      <c r="AX288" s="3"/>
      <c r="AY288" s="3"/>
      <c r="AZ288" s="3"/>
      <c r="BA288" s="3"/>
      <c r="BB288" s="3"/>
      <c r="BC288" s="3"/>
      <c r="BD288" s="3"/>
      <c r="BE288" s="3"/>
      <c r="BF288" s="3"/>
    </row>
    <row r="289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20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  <c r="AG289" s="3"/>
      <c r="AH289" s="3"/>
      <c r="AI289" s="3"/>
      <c r="AJ289" s="3"/>
      <c r="AK289" s="3"/>
      <c r="AL289" s="3"/>
      <c r="AM289" s="3"/>
      <c r="AN289" s="3"/>
      <c r="AO289" s="3"/>
      <c r="AP289" s="3"/>
      <c r="AQ289" s="3"/>
      <c r="AR289" s="3"/>
      <c r="AS289" s="3"/>
      <c r="AT289" s="3"/>
      <c r="AU289" s="3"/>
      <c r="AV289" s="3"/>
      <c r="AW289" s="3"/>
      <c r="AX289" s="3"/>
      <c r="AY289" s="3"/>
      <c r="AZ289" s="3"/>
      <c r="BA289" s="3"/>
      <c r="BB289" s="3"/>
      <c r="BC289" s="3"/>
      <c r="BD289" s="3"/>
      <c r="BE289" s="3"/>
      <c r="BF289" s="3"/>
    </row>
    <row r="290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20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  <c r="AG290" s="3"/>
      <c r="AH290" s="3"/>
      <c r="AI290" s="3"/>
      <c r="AJ290" s="3"/>
      <c r="AK290" s="3"/>
      <c r="AL290" s="3"/>
      <c r="AM290" s="3"/>
      <c r="AN290" s="3"/>
      <c r="AO290" s="3"/>
      <c r="AP290" s="3"/>
      <c r="AQ290" s="3"/>
      <c r="AR290" s="3"/>
      <c r="AS290" s="3"/>
      <c r="AT290" s="3"/>
      <c r="AU290" s="3"/>
      <c r="AV290" s="3"/>
      <c r="AW290" s="3"/>
      <c r="AX290" s="3"/>
      <c r="AY290" s="3"/>
      <c r="AZ290" s="3"/>
      <c r="BA290" s="3"/>
      <c r="BB290" s="3"/>
      <c r="BC290" s="3"/>
      <c r="BD290" s="3"/>
      <c r="BE290" s="3"/>
      <c r="BF290" s="3"/>
    </row>
    <row r="29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20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  <c r="AG291" s="3"/>
      <c r="AH291" s="3"/>
      <c r="AI291" s="3"/>
      <c r="AJ291" s="3"/>
      <c r="AK291" s="3"/>
      <c r="AL291" s="3"/>
      <c r="AM291" s="3"/>
      <c r="AN291" s="3"/>
      <c r="AO291" s="3"/>
      <c r="AP291" s="3"/>
      <c r="AQ291" s="3"/>
      <c r="AR291" s="3"/>
      <c r="AS291" s="3"/>
      <c r="AT291" s="3"/>
      <c r="AU291" s="3"/>
      <c r="AV291" s="3"/>
      <c r="AW291" s="3"/>
      <c r="AX291" s="3"/>
      <c r="AY291" s="3"/>
      <c r="AZ291" s="3"/>
      <c r="BA291" s="3"/>
      <c r="BB291" s="3"/>
      <c r="BC291" s="3"/>
      <c r="BD291" s="3"/>
      <c r="BE291" s="3"/>
      <c r="BF291" s="3"/>
    </row>
    <row r="292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20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  <c r="AG292" s="3"/>
      <c r="AH292" s="3"/>
      <c r="AI292" s="3"/>
      <c r="AJ292" s="3"/>
      <c r="AK292" s="3"/>
      <c r="AL292" s="3"/>
      <c r="AM292" s="3"/>
      <c r="AN292" s="3"/>
      <c r="AO292" s="3"/>
      <c r="AP292" s="3"/>
      <c r="AQ292" s="3"/>
      <c r="AR292" s="3"/>
      <c r="AS292" s="3"/>
      <c r="AT292" s="3"/>
      <c r="AU292" s="3"/>
      <c r="AV292" s="3"/>
      <c r="AW292" s="3"/>
      <c r="AX292" s="3"/>
      <c r="AY292" s="3"/>
      <c r="AZ292" s="3"/>
      <c r="BA292" s="3"/>
      <c r="BB292" s="3"/>
      <c r="BC292" s="3"/>
      <c r="BD292" s="3"/>
      <c r="BE292" s="3"/>
      <c r="BF292" s="3"/>
    </row>
    <row r="29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20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  <c r="AG293" s="3"/>
      <c r="AH293" s="3"/>
      <c r="AI293" s="3"/>
      <c r="AJ293" s="3"/>
      <c r="AK293" s="3"/>
      <c r="AL293" s="3"/>
      <c r="AM293" s="3"/>
      <c r="AN293" s="3"/>
      <c r="AO293" s="3"/>
      <c r="AP293" s="3"/>
      <c r="AQ293" s="3"/>
      <c r="AR293" s="3"/>
      <c r="AS293" s="3"/>
      <c r="AT293" s="3"/>
      <c r="AU293" s="3"/>
      <c r="AV293" s="3"/>
      <c r="AW293" s="3"/>
      <c r="AX293" s="3"/>
      <c r="AY293" s="3"/>
      <c r="AZ293" s="3"/>
      <c r="BA293" s="3"/>
      <c r="BB293" s="3"/>
      <c r="BC293" s="3"/>
      <c r="BD293" s="3"/>
      <c r="BE293" s="3"/>
      <c r="BF293" s="3"/>
    </row>
    <row r="294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20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  <c r="AG294" s="3"/>
      <c r="AH294" s="3"/>
      <c r="AI294" s="3"/>
      <c r="AJ294" s="3"/>
      <c r="AK294" s="3"/>
      <c r="AL294" s="3"/>
      <c r="AM294" s="3"/>
      <c r="AN294" s="3"/>
      <c r="AO294" s="3"/>
      <c r="AP294" s="3"/>
      <c r="AQ294" s="3"/>
      <c r="AR294" s="3"/>
      <c r="AS294" s="3"/>
      <c r="AT294" s="3"/>
      <c r="AU294" s="3"/>
      <c r="AV294" s="3"/>
      <c r="AW294" s="3"/>
      <c r="AX294" s="3"/>
      <c r="AY294" s="3"/>
      <c r="AZ294" s="3"/>
      <c r="BA294" s="3"/>
      <c r="BB294" s="3"/>
      <c r="BC294" s="3"/>
      <c r="BD294" s="3"/>
      <c r="BE294" s="3"/>
      <c r="BF294" s="3"/>
    </row>
    <row r="295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20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  <c r="AG295" s="3"/>
      <c r="AH295" s="3"/>
      <c r="AI295" s="3"/>
      <c r="AJ295" s="3"/>
      <c r="AK295" s="3"/>
      <c r="AL295" s="3"/>
      <c r="AM295" s="3"/>
      <c r="AN295" s="3"/>
      <c r="AO295" s="3"/>
      <c r="AP295" s="3"/>
      <c r="AQ295" s="3"/>
      <c r="AR295" s="3"/>
      <c r="AS295" s="3"/>
      <c r="AT295" s="3"/>
      <c r="AU295" s="3"/>
      <c r="AV295" s="3"/>
      <c r="AW295" s="3"/>
      <c r="AX295" s="3"/>
      <c r="AY295" s="3"/>
      <c r="AZ295" s="3"/>
      <c r="BA295" s="3"/>
      <c r="BB295" s="3"/>
      <c r="BC295" s="3"/>
      <c r="BD295" s="3"/>
      <c r="BE295" s="3"/>
      <c r="BF295" s="3"/>
    </row>
    <row r="29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20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  <c r="AG296" s="3"/>
      <c r="AH296" s="3"/>
      <c r="AI296" s="3"/>
      <c r="AJ296" s="3"/>
      <c r="AK296" s="3"/>
      <c r="AL296" s="3"/>
      <c r="AM296" s="3"/>
      <c r="AN296" s="3"/>
      <c r="AO296" s="3"/>
      <c r="AP296" s="3"/>
      <c r="AQ296" s="3"/>
      <c r="AR296" s="3"/>
      <c r="AS296" s="3"/>
      <c r="AT296" s="3"/>
      <c r="AU296" s="3"/>
      <c r="AV296" s="3"/>
      <c r="AW296" s="3"/>
      <c r="AX296" s="3"/>
      <c r="AY296" s="3"/>
      <c r="AZ296" s="3"/>
      <c r="BA296" s="3"/>
      <c r="BB296" s="3"/>
      <c r="BC296" s="3"/>
      <c r="BD296" s="3"/>
      <c r="BE296" s="3"/>
      <c r="BF296" s="3"/>
    </row>
    <row r="297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20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  <c r="AG297" s="3"/>
      <c r="AH297" s="3"/>
      <c r="AI297" s="3"/>
      <c r="AJ297" s="3"/>
      <c r="AK297" s="3"/>
      <c r="AL297" s="3"/>
      <c r="AM297" s="3"/>
      <c r="AN297" s="3"/>
      <c r="AO297" s="3"/>
      <c r="AP297" s="3"/>
      <c r="AQ297" s="3"/>
      <c r="AR297" s="3"/>
      <c r="AS297" s="3"/>
      <c r="AT297" s="3"/>
      <c r="AU297" s="3"/>
      <c r="AV297" s="3"/>
      <c r="AW297" s="3"/>
      <c r="AX297" s="3"/>
      <c r="AY297" s="3"/>
      <c r="AZ297" s="3"/>
      <c r="BA297" s="3"/>
      <c r="BB297" s="3"/>
      <c r="BC297" s="3"/>
      <c r="BD297" s="3"/>
      <c r="BE297" s="3"/>
      <c r="BF297" s="3"/>
    </row>
    <row r="298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20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  <c r="AG298" s="3"/>
      <c r="AH298" s="3"/>
      <c r="AI298" s="3"/>
      <c r="AJ298" s="3"/>
      <c r="AK298" s="3"/>
      <c r="AL298" s="3"/>
      <c r="AM298" s="3"/>
      <c r="AN298" s="3"/>
      <c r="AO298" s="3"/>
      <c r="AP298" s="3"/>
      <c r="AQ298" s="3"/>
      <c r="AR298" s="3"/>
      <c r="AS298" s="3"/>
      <c r="AT298" s="3"/>
      <c r="AU298" s="3"/>
      <c r="AV298" s="3"/>
      <c r="AW298" s="3"/>
      <c r="AX298" s="3"/>
      <c r="AY298" s="3"/>
      <c r="AZ298" s="3"/>
      <c r="BA298" s="3"/>
      <c r="BB298" s="3"/>
      <c r="BC298" s="3"/>
      <c r="BD298" s="3"/>
      <c r="BE298" s="3"/>
      <c r="BF298" s="3"/>
    </row>
    <row r="299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20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  <c r="AG299" s="3"/>
      <c r="AH299" s="3"/>
      <c r="AI299" s="3"/>
      <c r="AJ299" s="3"/>
      <c r="AK299" s="3"/>
      <c r="AL299" s="3"/>
      <c r="AM299" s="3"/>
      <c r="AN299" s="3"/>
      <c r="AO299" s="3"/>
      <c r="AP299" s="3"/>
      <c r="AQ299" s="3"/>
      <c r="AR299" s="3"/>
      <c r="AS299" s="3"/>
      <c r="AT299" s="3"/>
      <c r="AU299" s="3"/>
      <c r="AV299" s="3"/>
      <c r="AW299" s="3"/>
      <c r="AX299" s="3"/>
      <c r="AY299" s="3"/>
      <c r="AZ299" s="3"/>
      <c r="BA299" s="3"/>
      <c r="BB299" s="3"/>
      <c r="BC299" s="3"/>
      <c r="BD299" s="3"/>
      <c r="BE299" s="3"/>
      <c r="BF299" s="3"/>
    </row>
    <row r="300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20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  <c r="AG300" s="3"/>
      <c r="AH300" s="3"/>
      <c r="AI300" s="3"/>
      <c r="AJ300" s="3"/>
      <c r="AK300" s="3"/>
      <c r="AL300" s="3"/>
      <c r="AM300" s="3"/>
      <c r="AN300" s="3"/>
      <c r="AO300" s="3"/>
      <c r="AP300" s="3"/>
      <c r="AQ300" s="3"/>
      <c r="AR300" s="3"/>
      <c r="AS300" s="3"/>
      <c r="AT300" s="3"/>
      <c r="AU300" s="3"/>
      <c r="AV300" s="3"/>
      <c r="AW300" s="3"/>
      <c r="AX300" s="3"/>
      <c r="AY300" s="3"/>
      <c r="AZ300" s="3"/>
      <c r="BA300" s="3"/>
      <c r="BB300" s="3"/>
      <c r="BC300" s="3"/>
      <c r="BD300" s="3"/>
      <c r="BE300" s="3"/>
      <c r="BF300" s="3"/>
    </row>
    <row r="30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20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  <c r="AG301" s="3"/>
      <c r="AH301" s="3"/>
      <c r="AI301" s="3"/>
      <c r="AJ301" s="3"/>
      <c r="AK301" s="3"/>
      <c r="AL301" s="3"/>
      <c r="AM301" s="3"/>
      <c r="AN301" s="3"/>
      <c r="AO301" s="3"/>
      <c r="AP301" s="3"/>
      <c r="AQ301" s="3"/>
      <c r="AR301" s="3"/>
      <c r="AS301" s="3"/>
      <c r="AT301" s="3"/>
      <c r="AU301" s="3"/>
      <c r="AV301" s="3"/>
      <c r="AW301" s="3"/>
      <c r="AX301" s="3"/>
      <c r="AY301" s="3"/>
      <c r="AZ301" s="3"/>
      <c r="BA301" s="3"/>
      <c r="BB301" s="3"/>
      <c r="BC301" s="3"/>
      <c r="BD301" s="3"/>
      <c r="BE301" s="3"/>
      <c r="BF301" s="3"/>
    </row>
    <row r="302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20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  <c r="AG302" s="3"/>
      <c r="AH302" s="3"/>
      <c r="AI302" s="3"/>
      <c r="AJ302" s="3"/>
      <c r="AK302" s="3"/>
      <c r="AL302" s="3"/>
      <c r="AM302" s="3"/>
      <c r="AN302" s="3"/>
      <c r="AO302" s="3"/>
      <c r="AP302" s="3"/>
      <c r="AQ302" s="3"/>
      <c r="AR302" s="3"/>
      <c r="AS302" s="3"/>
      <c r="AT302" s="3"/>
      <c r="AU302" s="3"/>
      <c r="AV302" s="3"/>
      <c r="AW302" s="3"/>
      <c r="AX302" s="3"/>
      <c r="AY302" s="3"/>
      <c r="AZ302" s="3"/>
      <c r="BA302" s="3"/>
      <c r="BB302" s="3"/>
      <c r="BC302" s="3"/>
      <c r="BD302" s="3"/>
      <c r="BE302" s="3"/>
      <c r="BF302" s="3"/>
    </row>
    <row r="30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20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  <c r="AG303" s="3"/>
      <c r="AH303" s="3"/>
      <c r="AI303" s="3"/>
      <c r="AJ303" s="3"/>
      <c r="AK303" s="3"/>
      <c r="AL303" s="3"/>
      <c r="AM303" s="3"/>
      <c r="AN303" s="3"/>
      <c r="AO303" s="3"/>
      <c r="AP303" s="3"/>
      <c r="AQ303" s="3"/>
      <c r="AR303" s="3"/>
      <c r="AS303" s="3"/>
      <c r="AT303" s="3"/>
      <c r="AU303" s="3"/>
      <c r="AV303" s="3"/>
      <c r="AW303" s="3"/>
      <c r="AX303" s="3"/>
      <c r="AY303" s="3"/>
      <c r="AZ303" s="3"/>
      <c r="BA303" s="3"/>
      <c r="BB303" s="3"/>
      <c r="BC303" s="3"/>
      <c r="BD303" s="3"/>
      <c r="BE303" s="3"/>
      <c r="BF303" s="3"/>
    </row>
    <row r="304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20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  <c r="AG304" s="3"/>
      <c r="AH304" s="3"/>
      <c r="AI304" s="3"/>
      <c r="AJ304" s="3"/>
      <c r="AK304" s="3"/>
      <c r="AL304" s="3"/>
      <c r="AM304" s="3"/>
      <c r="AN304" s="3"/>
      <c r="AO304" s="3"/>
      <c r="AP304" s="3"/>
      <c r="AQ304" s="3"/>
      <c r="AR304" s="3"/>
      <c r="AS304" s="3"/>
      <c r="AT304" s="3"/>
      <c r="AU304" s="3"/>
      <c r="AV304" s="3"/>
      <c r="AW304" s="3"/>
      <c r="AX304" s="3"/>
      <c r="AY304" s="3"/>
      <c r="AZ304" s="3"/>
      <c r="BA304" s="3"/>
      <c r="BB304" s="3"/>
      <c r="BC304" s="3"/>
      <c r="BD304" s="3"/>
      <c r="BE304" s="3"/>
      <c r="BF304" s="3"/>
    </row>
    <row r="305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20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  <c r="AG305" s="3"/>
      <c r="AH305" s="3"/>
      <c r="AI305" s="3"/>
      <c r="AJ305" s="3"/>
      <c r="AK305" s="3"/>
      <c r="AL305" s="3"/>
      <c r="AM305" s="3"/>
      <c r="AN305" s="3"/>
      <c r="AO305" s="3"/>
      <c r="AP305" s="3"/>
      <c r="AQ305" s="3"/>
      <c r="AR305" s="3"/>
      <c r="AS305" s="3"/>
      <c r="AT305" s="3"/>
      <c r="AU305" s="3"/>
      <c r="AV305" s="3"/>
      <c r="AW305" s="3"/>
      <c r="AX305" s="3"/>
      <c r="AY305" s="3"/>
      <c r="AZ305" s="3"/>
      <c r="BA305" s="3"/>
      <c r="BB305" s="3"/>
      <c r="BC305" s="3"/>
      <c r="BD305" s="3"/>
      <c r="BE305" s="3"/>
      <c r="BF305" s="3"/>
    </row>
    <row r="30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20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  <c r="AG306" s="3"/>
      <c r="AH306" s="3"/>
      <c r="AI306" s="3"/>
      <c r="AJ306" s="3"/>
      <c r="AK306" s="3"/>
      <c r="AL306" s="3"/>
      <c r="AM306" s="3"/>
      <c r="AN306" s="3"/>
      <c r="AO306" s="3"/>
      <c r="AP306" s="3"/>
      <c r="AQ306" s="3"/>
      <c r="AR306" s="3"/>
      <c r="AS306" s="3"/>
      <c r="AT306" s="3"/>
      <c r="AU306" s="3"/>
      <c r="AV306" s="3"/>
      <c r="AW306" s="3"/>
      <c r="AX306" s="3"/>
      <c r="AY306" s="3"/>
      <c r="AZ306" s="3"/>
      <c r="BA306" s="3"/>
      <c r="BB306" s="3"/>
      <c r="BC306" s="3"/>
      <c r="BD306" s="3"/>
      <c r="BE306" s="3"/>
      <c r="BF306" s="3"/>
    </row>
    <row r="307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20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  <c r="AG307" s="3"/>
      <c r="AH307" s="3"/>
      <c r="AI307" s="3"/>
      <c r="AJ307" s="3"/>
      <c r="AK307" s="3"/>
      <c r="AL307" s="3"/>
      <c r="AM307" s="3"/>
      <c r="AN307" s="3"/>
      <c r="AO307" s="3"/>
      <c r="AP307" s="3"/>
      <c r="AQ307" s="3"/>
      <c r="AR307" s="3"/>
      <c r="AS307" s="3"/>
      <c r="AT307" s="3"/>
      <c r="AU307" s="3"/>
      <c r="AV307" s="3"/>
      <c r="AW307" s="3"/>
      <c r="AX307" s="3"/>
      <c r="AY307" s="3"/>
      <c r="AZ307" s="3"/>
      <c r="BA307" s="3"/>
      <c r="BB307" s="3"/>
      <c r="BC307" s="3"/>
      <c r="BD307" s="3"/>
      <c r="BE307" s="3"/>
      <c r="BF307" s="3"/>
    </row>
    <row r="308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20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  <c r="AG308" s="3"/>
      <c r="AH308" s="3"/>
      <c r="AI308" s="3"/>
      <c r="AJ308" s="3"/>
      <c r="AK308" s="3"/>
      <c r="AL308" s="3"/>
      <c r="AM308" s="3"/>
      <c r="AN308" s="3"/>
      <c r="AO308" s="3"/>
      <c r="AP308" s="3"/>
      <c r="AQ308" s="3"/>
      <c r="AR308" s="3"/>
      <c r="AS308" s="3"/>
      <c r="AT308" s="3"/>
      <c r="AU308" s="3"/>
      <c r="AV308" s="3"/>
      <c r="AW308" s="3"/>
      <c r="AX308" s="3"/>
      <c r="AY308" s="3"/>
      <c r="AZ308" s="3"/>
      <c r="BA308" s="3"/>
      <c r="BB308" s="3"/>
      <c r="BC308" s="3"/>
      <c r="BD308" s="3"/>
      <c r="BE308" s="3"/>
      <c r="BF308" s="3"/>
    </row>
    <row r="309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20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  <c r="AG309" s="3"/>
      <c r="AH309" s="3"/>
      <c r="AI309" s="3"/>
      <c r="AJ309" s="3"/>
      <c r="AK309" s="3"/>
      <c r="AL309" s="3"/>
      <c r="AM309" s="3"/>
      <c r="AN309" s="3"/>
      <c r="AO309" s="3"/>
      <c r="AP309" s="3"/>
      <c r="AQ309" s="3"/>
      <c r="AR309" s="3"/>
      <c r="AS309" s="3"/>
      <c r="AT309" s="3"/>
      <c r="AU309" s="3"/>
      <c r="AV309" s="3"/>
      <c r="AW309" s="3"/>
      <c r="AX309" s="3"/>
      <c r="AY309" s="3"/>
      <c r="AZ309" s="3"/>
      <c r="BA309" s="3"/>
      <c r="BB309" s="3"/>
      <c r="BC309" s="3"/>
      <c r="BD309" s="3"/>
      <c r="BE309" s="3"/>
      <c r="BF309" s="3"/>
    </row>
    <row r="310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20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  <c r="AG310" s="3"/>
      <c r="AH310" s="3"/>
      <c r="AI310" s="3"/>
      <c r="AJ310" s="3"/>
      <c r="AK310" s="3"/>
      <c r="AL310" s="3"/>
      <c r="AM310" s="3"/>
      <c r="AN310" s="3"/>
      <c r="AO310" s="3"/>
      <c r="AP310" s="3"/>
      <c r="AQ310" s="3"/>
      <c r="AR310" s="3"/>
      <c r="AS310" s="3"/>
      <c r="AT310" s="3"/>
      <c r="AU310" s="3"/>
      <c r="AV310" s="3"/>
      <c r="AW310" s="3"/>
      <c r="AX310" s="3"/>
      <c r="AY310" s="3"/>
      <c r="AZ310" s="3"/>
      <c r="BA310" s="3"/>
      <c r="BB310" s="3"/>
      <c r="BC310" s="3"/>
      <c r="BD310" s="3"/>
      <c r="BE310" s="3"/>
      <c r="BF310" s="3"/>
    </row>
    <row r="31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20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  <c r="AG311" s="3"/>
      <c r="AH311" s="3"/>
      <c r="AI311" s="3"/>
      <c r="AJ311" s="3"/>
      <c r="AK311" s="3"/>
      <c r="AL311" s="3"/>
      <c r="AM311" s="3"/>
      <c r="AN311" s="3"/>
      <c r="AO311" s="3"/>
      <c r="AP311" s="3"/>
      <c r="AQ311" s="3"/>
      <c r="AR311" s="3"/>
      <c r="AS311" s="3"/>
      <c r="AT311" s="3"/>
      <c r="AU311" s="3"/>
      <c r="AV311" s="3"/>
      <c r="AW311" s="3"/>
      <c r="AX311" s="3"/>
      <c r="AY311" s="3"/>
      <c r="AZ311" s="3"/>
      <c r="BA311" s="3"/>
      <c r="BB311" s="3"/>
      <c r="BC311" s="3"/>
      <c r="BD311" s="3"/>
      <c r="BE311" s="3"/>
      <c r="BF311" s="3"/>
    </row>
    <row r="312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20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  <c r="AG312" s="3"/>
      <c r="AH312" s="3"/>
      <c r="AI312" s="3"/>
      <c r="AJ312" s="3"/>
      <c r="AK312" s="3"/>
      <c r="AL312" s="3"/>
      <c r="AM312" s="3"/>
      <c r="AN312" s="3"/>
      <c r="AO312" s="3"/>
      <c r="AP312" s="3"/>
      <c r="AQ312" s="3"/>
      <c r="AR312" s="3"/>
      <c r="AS312" s="3"/>
      <c r="AT312" s="3"/>
      <c r="AU312" s="3"/>
      <c r="AV312" s="3"/>
      <c r="AW312" s="3"/>
      <c r="AX312" s="3"/>
      <c r="AY312" s="3"/>
      <c r="AZ312" s="3"/>
      <c r="BA312" s="3"/>
      <c r="BB312" s="3"/>
      <c r="BC312" s="3"/>
      <c r="BD312" s="3"/>
      <c r="BE312" s="3"/>
      <c r="BF312" s="3"/>
    </row>
    <row r="31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20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  <c r="AG313" s="3"/>
      <c r="AH313" s="3"/>
      <c r="AI313" s="3"/>
      <c r="AJ313" s="3"/>
      <c r="AK313" s="3"/>
      <c r="AL313" s="3"/>
      <c r="AM313" s="3"/>
      <c r="AN313" s="3"/>
      <c r="AO313" s="3"/>
      <c r="AP313" s="3"/>
      <c r="AQ313" s="3"/>
      <c r="AR313" s="3"/>
      <c r="AS313" s="3"/>
      <c r="AT313" s="3"/>
      <c r="AU313" s="3"/>
      <c r="AV313" s="3"/>
      <c r="AW313" s="3"/>
      <c r="AX313" s="3"/>
      <c r="AY313" s="3"/>
      <c r="AZ313" s="3"/>
      <c r="BA313" s="3"/>
      <c r="BB313" s="3"/>
      <c r="BC313" s="3"/>
      <c r="BD313" s="3"/>
      <c r="BE313" s="3"/>
      <c r="BF313" s="3"/>
    </row>
    <row r="314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20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  <c r="AG314" s="3"/>
      <c r="AH314" s="3"/>
      <c r="AI314" s="3"/>
      <c r="AJ314" s="3"/>
      <c r="AK314" s="3"/>
      <c r="AL314" s="3"/>
      <c r="AM314" s="3"/>
      <c r="AN314" s="3"/>
      <c r="AO314" s="3"/>
      <c r="AP314" s="3"/>
      <c r="AQ314" s="3"/>
      <c r="AR314" s="3"/>
      <c r="AS314" s="3"/>
      <c r="AT314" s="3"/>
      <c r="AU314" s="3"/>
      <c r="AV314" s="3"/>
      <c r="AW314" s="3"/>
      <c r="AX314" s="3"/>
      <c r="AY314" s="3"/>
      <c r="AZ314" s="3"/>
      <c r="BA314" s="3"/>
      <c r="BB314" s="3"/>
      <c r="BC314" s="3"/>
      <c r="BD314" s="3"/>
      <c r="BE314" s="3"/>
      <c r="BF314" s="3"/>
    </row>
    <row r="315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20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  <c r="AG315" s="3"/>
      <c r="AH315" s="3"/>
      <c r="AI315" s="3"/>
      <c r="AJ315" s="3"/>
      <c r="AK315" s="3"/>
      <c r="AL315" s="3"/>
      <c r="AM315" s="3"/>
      <c r="AN315" s="3"/>
      <c r="AO315" s="3"/>
      <c r="AP315" s="3"/>
      <c r="AQ315" s="3"/>
      <c r="AR315" s="3"/>
      <c r="AS315" s="3"/>
      <c r="AT315" s="3"/>
      <c r="AU315" s="3"/>
      <c r="AV315" s="3"/>
      <c r="AW315" s="3"/>
      <c r="AX315" s="3"/>
      <c r="AY315" s="3"/>
      <c r="AZ315" s="3"/>
      <c r="BA315" s="3"/>
      <c r="BB315" s="3"/>
      <c r="BC315" s="3"/>
      <c r="BD315" s="3"/>
      <c r="BE315" s="3"/>
      <c r="BF315" s="3"/>
    </row>
    <row r="31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20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  <c r="AG316" s="3"/>
      <c r="AH316" s="3"/>
      <c r="AI316" s="3"/>
      <c r="AJ316" s="3"/>
      <c r="AK316" s="3"/>
      <c r="AL316" s="3"/>
      <c r="AM316" s="3"/>
      <c r="AN316" s="3"/>
      <c r="AO316" s="3"/>
      <c r="AP316" s="3"/>
      <c r="AQ316" s="3"/>
      <c r="AR316" s="3"/>
      <c r="AS316" s="3"/>
      <c r="AT316" s="3"/>
      <c r="AU316" s="3"/>
      <c r="AV316" s="3"/>
      <c r="AW316" s="3"/>
      <c r="AX316" s="3"/>
      <c r="AY316" s="3"/>
      <c r="AZ316" s="3"/>
      <c r="BA316" s="3"/>
      <c r="BB316" s="3"/>
      <c r="BC316" s="3"/>
      <c r="BD316" s="3"/>
      <c r="BE316" s="3"/>
      <c r="BF316" s="3"/>
    </row>
    <row r="317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20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  <c r="AG317" s="3"/>
      <c r="AH317" s="3"/>
      <c r="AI317" s="3"/>
      <c r="AJ317" s="3"/>
      <c r="AK317" s="3"/>
      <c r="AL317" s="3"/>
      <c r="AM317" s="3"/>
      <c r="AN317" s="3"/>
      <c r="AO317" s="3"/>
      <c r="AP317" s="3"/>
      <c r="AQ317" s="3"/>
      <c r="AR317" s="3"/>
      <c r="AS317" s="3"/>
      <c r="AT317" s="3"/>
      <c r="AU317" s="3"/>
      <c r="AV317" s="3"/>
      <c r="AW317" s="3"/>
      <c r="AX317" s="3"/>
      <c r="AY317" s="3"/>
      <c r="AZ317" s="3"/>
      <c r="BA317" s="3"/>
      <c r="BB317" s="3"/>
      <c r="BC317" s="3"/>
      <c r="BD317" s="3"/>
      <c r="BE317" s="3"/>
      <c r="BF317" s="3"/>
    </row>
    <row r="318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20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  <c r="AG318" s="3"/>
      <c r="AH318" s="3"/>
      <c r="AI318" s="3"/>
      <c r="AJ318" s="3"/>
      <c r="AK318" s="3"/>
      <c r="AL318" s="3"/>
      <c r="AM318" s="3"/>
      <c r="AN318" s="3"/>
      <c r="AO318" s="3"/>
      <c r="AP318" s="3"/>
      <c r="AQ318" s="3"/>
      <c r="AR318" s="3"/>
      <c r="AS318" s="3"/>
      <c r="AT318" s="3"/>
      <c r="AU318" s="3"/>
      <c r="AV318" s="3"/>
      <c r="AW318" s="3"/>
      <c r="AX318" s="3"/>
      <c r="AY318" s="3"/>
      <c r="AZ318" s="3"/>
      <c r="BA318" s="3"/>
      <c r="BB318" s="3"/>
      <c r="BC318" s="3"/>
      <c r="BD318" s="3"/>
      <c r="BE318" s="3"/>
      <c r="BF318" s="3"/>
    </row>
    <row r="319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20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  <c r="AG319" s="3"/>
      <c r="AH319" s="3"/>
      <c r="AI319" s="3"/>
      <c r="AJ319" s="3"/>
      <c r="AK319" s="3"/>
      <c r="AL319" s="3"/>
      <c r="AM319" s="3"/>
      <c r="AN319" s="3"/>
      <c r="AO319" s="3"/>
      <c r="AP319" s="3"/>
      <c r="AQ319" s="3"/>
      <c r="AR319" s="3"/>
      <c r="AS319" s="3"/>
      <c r="AT319" s="3"/>
      <c r="AU319" s="3"/>
      <c r="AV319" s="3"/>
      <c r="AW319" s="3"/>
      <c r="AX319" s="3"/>
      <c r="AY319" s="3"/>
      <c r="AZ319" s="3"/>
      <c r="BA319" s="3"/>
      <c r="BB319" s="3"/>
      <c r="BC319" s="3"/>
      <c r="BD319" s="3"/>
      <c r="BE319" s="3"/>
      <c r="BF319" s="3"/>
    </row>
    <row r="320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20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  <c r="AG320" s="3"/>
      <c r="AH320" s="3"/>
      <c r="AI320" s="3"/>
      <c r="AJ320" s="3"/>
      <c r="AK320" s="3"/>
      <c r="AL320" s="3"/>
      <c r="AM320" s="3"/>
      <c r="AN320" s="3"/>
      <c r="AO320" s="3"/>
      <c r="AP320" s="3"/>
      <c r="AQ320" s="3"/>
      <c r="AR320" s="3"/>
      <c r="AS320" s="3"/>
      <c r="AT320" s="3"/>
      <c r="AU320" s="3"/>
      <c r="AV320" s="3"/>
      <c r="AW320" s="3"/>
      <c r="AX320" s="3"/>
      <c r="AY320" s="3"/>
      <c r="AZ320" s="3"/>
      <c r="BA320" s="3"/>
      <c r="BB320" s="3"/>
      <c r="BC320" s="3"/>
      <c r="BD320" s="3"/>
      <c r="BE320" s="3"/>
      <c r="BF320" s="3"/>
    </row>
    <row r="32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20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  <c r="AG321" s="3"/>
      <c r="AH321" s="3"/>
      <c r="AI321" s="3"/>
      <c r="AJ321" s="3"/>
      <c r="AK321" s="3"/>
      <c r="AL321" s="3"/>
      <c r="AM321" s="3"/>
      <c r="AN321" s="3"/>
      <c r="AO321" s="3"/>
      <c r="AP321" s="3"/>
      <c r="AQ321" s="3"/>
      <c r="AR321" s="3"/>
      <c r="AS321" s="3"/>
      <c r="AT321" s="3"/>
      <c r="AU321" s="3"/>
      <c r="AV321" s="3"/>
      <c r="AW321" s="3"/>
      <c r="AX321" s="3"/>
      <c r="AY321" s="3"/>
      <c r="AZ321" s="3"/>
      <c r="BA321" s="3"/>
      <c r="BB321" s="3"/>
      <c r="BC321" s="3"/>
      <c r="BD321" s="3"/>
      <c r="BE321" s="3"/>
      <c r="BF321" s="3"/>
    </row>
    <row r="322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20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  <c r="AG322" s="3"/>
      <c r="AH322" s="3"/>
      <c r="AI322" s="3"/>
      <c r="AJ322" s="3"/>
      <c r="AK322" s="3"/>
      <c r="AL322" s="3"/>
      <c r="AM322" s="3"/>
      <c r="AN322" s="3"/>
      <c r="AO322" s="3"/>
      <c r="AP322" s="3"/>
      <c r="AQ322" s="3"/>
      <c r="AR322" s="3"/>
      <c r="AS322" s="3"/>
      <c r="AT322" s="3"/>
      <c r="AU322" s="3"/>
      <c r="AV322" s="3"/>
      <c r="AW322" s="3"/>
      <c r="AX322" s="3"/>
      <c r="AY322" s="3"/>
      <c r="AZ322" s="3"/>
      <c r="BA322" s="3"/>
      <c r="BB322" s="3"/>
      <c r="BC322" s="3"/>
      <c r="BD322" s="3"/>
      <c r="BE322" s="3"/>
      <c r="BF322" s="3"/>
    </row>
    <row r="32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20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  <c r="AG323" s="3"/>
      <c r="AH323" s="3"/>
      <c r="AI323" s="3"/>
      <c r="AJ323" s="3"/>
      <c r="AK323" s="3"/>
      <c r="AL323" s="3"/>
      <c r="AM323" s="3"/>
      <c r="AN323" s="3"/>
      <c r="AO323" s="3"/>
      <c r="AP323" s="3"/>
      <c r="AQ323" s="3"/>
      <c r="AR323" s="3"/>
      <c r="AS323" s="3"/>
      <c r="AT323" s="3"/>
      <c r="AU323" s="3"/>
      <c r="AV323" s="3"/>
      <c r="AW323" s="3"/>
      <c r="AX323" s="3"/>
      <c r="AY323" s="3"/>
      <c r="AZ323" s="3"/>
      <c r="BA323" s="3"/>
      <c r="BB323" s="3"/>
      <c r="BC323" s="3"/>
      <c r="BD323" s="3"/>
      <c r="BE323" s="3"/>
      <c r="BF323" s="3"/>
    </row>
    <row r="324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20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  <c r="AG324" s="3"/>
      <c r="AH324" s="3"/>
      <c r="AI324" s="3"/>
      <c r="AJ324" s="3"/>
      <c r="AK324" s="3"/>
      <c r="AL324" s="3"/>
      <c r="AM324" s="3"/>
      <c r="AN324" s="3"/>
      <c r="AO324" s="3"/>
      <c r="AP324" s="3"/>
      <c r="AQ324" s="3"/>
      <c r="AR324" s="3"/>
      <c r="AS324" s="3"/>
      <c r="AT324" s="3"/>
      <c r="AU324" s="3"/>
      <c r="AV324" s="3"/>
      <c r="AW324" s="3"/>
      <c r="AX324" s="3"/>
      <c r="AY324" s="3"/>
      <c r="AZ324" s="3"/>
      <c r="BA324" s="3"/>
      <c r="BB324" s="3"/>
      <c r="BC324" s="3"/>
      <c r="BD324" s="3"/>
      <c r="BE324" s="3"/>
      <c r="BF324" s="3"/>
    </row>
    <row r="325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20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  <c r="AG325" s="3"/>
      <c r="AH325" s="3"/>
      <c r="AI325" s="3"/>
      <c r="AJ325" s="3"/>
      <c r="AK325" s="3"/>
      <c r="AL325" s="3"/>
      <c r="AM325" s="3"/>
      <c r="AN325" s="3"/>
      <c r="AO325" s="3"/>
      <c r="AP325" s="3"/>
      <c r="AQ325" s="3"/>
      <c r="AR325" s="3"/>
      <c r="AS325" s="3"/>
      <c r="AT325" s="3"/>
      <c r="AU325" s="3"/>
      <c r="AV325" s="3"/>
      <c r="AW325" s="3"/>
      <c r="AX325" s="3"/>
      <c r="AY325" s="3"/>
      <c r="AZ325" s="3"/>
      <c r="BA325" s="3"/>
      <c r="BB325" s="3"/>
      <c r="BC325" s="3"/>
      <c r="BD325" s="3"/>
      <c r="BE325" s="3"/>
      <c r="BF325" s="3"/>
    </row>
    <row r="3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20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  <c r="AG326" s="3"/>
      <c r="AH326" s="3"/>
      <c r="AI326" s="3"/>
      <c r="AJ326" s="3"/>
      <c r="AK326" s="3"/>
      <c r="AL326" s="3"/>
      <c r="AM326" s="3"/>
      <c r="AN326" s="3"/>
      <c r="AO326" s="3"/>
      <c r="AP326" s="3"/>
      <c r="AQ326" s="3"/>
      <c r="AR326" s="3"/>
      <c r="AS326" s="3"/>
      <c r="AT326" s="3"/>
      <c r="AU326" s="3"/>
      <c r="AV326" s="3"/>
      <c r="AW326" s="3"/>
      <c r="AX326" s="3"/>
      <c r="AY326" s="3"/>
      <c r="AZ326" s="3"/>
      <c r="BA326" s="3"/>
      <c r="BB326" s="3"/>
      <c r="BC326" s="3"/>
      <c r="BD326" s="3"/>
      <c r="BE326" s="3"/>
      <c r="BF326" s="3"/>
    </row>
    <row r="327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20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  <c r="AG327" s="3"/>
      <c r="AH327" s="3"/>
      <c r="AI327" s="3"/>
      <c r="AJ327" s="3"/>
      <c r="AK327" s="3"/>
      <c r="AL327" s="3"/>
      <c r="AM327" s="3"/>
      <c r="AN327" s="3"/>
      <c r="AO327" s="3"/>
      <c r="AP327" s="3"/>
      <c r="AQ327" s="3"/>
      <c r="AR327" s="3"/>
      <c r="AS327" s="3"/>
      <c r="AT327" s="3"/>
      <c r="AU327" s="3"/>
      <c r="AV327" s="3"/>
      <c r="AW327" s="3"/>
      <c r="AX327" s="3"/>
      <c r="AY327" s="3"/>
      <c r="AZ327" s="3"/>
      <c r="BA327" s="3"/>
      <c r="BB327" s="3"/>
      <c r="BC327" s="3"/>
      <c r="BD327" s="3"/>
      <c r="BE327" s="3"/>
      <c r="BF327" s="3"/>
    </row>
    <row r="328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20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  <c r="AG328" s="3"/>
      <c r="AH328" s="3"/>
      <c r="AI328" s="3"/>
      <c r="AJ328" s="3"/>
      <c r="AK328" s="3"/>
      <c r="AL328" s="3"/>
      <c r="AM328" s="3"/>
      <c r="AN328" s="3"/>
      <c r="AO328" s="3"/>
      <c r="AP328" s="3"/>
      <c r="AQ328" s="3"/>
      <c r="AR328" s="3"/>
      <c r="AS328" s="3"/>
      <c r="AT328" s="3"/>
      <c r="AU328" s="3"/>
      <c r="AV328" s="3"/>
      <c r="AW328" s="3"/>
      <c r="AX328" s="3"/>
      <c r="AY328" s="3"/>
      <c r="AZ328" s="3"/>
      <c r="BA328" s="3"/>
      <c r="BB328" s="3"/>
      <c r="BC328" s="3"/>
      <c r="BD328" s="3"/>
      <c r="BE328" s="3"/>
      <c r="BF328" s="3"/>
    </row>
    <row r="329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20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  <c r="AG329" s="3"/>
      <c r="AH329" s="3"/>
      <c r="AI329" s="3"/>
      <c r="AJ329" s="3"/>
      <c r="AK329" s="3"/>
      <c r="AL329" s="3"/>
      <c r="AM329" s="3"/>
      <c r="AN329" s="3"/>
      <c r="AO329" s="3"/>
      <c r="AP329" s="3"/>
      <c r="AQ329" s="3"/>
      <c r="AR329" s="3"/>
      <c r="AS329" s="3"/>
      <c r="AT329" s="3"/>
      <c r="AU329" s="3"/>
      <c r="AV329" s="3"/>
      <c r="AW329" s="3"/>
      <c r="AX329" s="3"/>
      <c r="AY329" s="3"/>
      <c r="AZ329" s="3"/>
      <c r="BA329" s="3"/>
      <c r="BB329" s="3"/>
      <c r="BC329" s="3"/>
      <c r="BD329" s="3"/>
      <c r="BE329" s="3"/>
      <c r="BF329" s="3"/>
    </row>
    <row r="330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20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  <c r="AG330" s="3"/>
      <c r="AH330" s="3"/>
      <c r="AI330" s="3"/>
      <c r="AJ330" s="3"/>
      <c r="AK330" s="3"/>
      <c r="AL330" s="3"/>
      <c r="AM330" s="3"/>
      <c r="AN330" s="3"/>
      <c r="AO330" s="3"/>
      <c r="AP330" s="3"/>
      <c r="AQ330" s="3"/>
      <c r="AR330" s="3"/>
      <c r="AS330" s="3"/>
      <c r="AT330" s="3"/>
      <c r="AU330" s="3"/>
      <c r="AV330" s="3"/>
      <c r="AW330" s="3"/>
      <c r="AX330" s="3"/>
      <c r="AY330" s="3"/>
      <c r="AZ330" s="3"/>
      <c r="BA330" s="3"/>
      <c r="BB330" s="3"/>
      <c r="BC330" s="3"/>
      <c r="BD330" s="3"/>
      <c r="BE330" s="3"/>
      <c r="BF330" s="3"/>
    </row>
    <row r="33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20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  <c r="AG331" s="3"/>
      <c r="AH331" s="3"/>
      <c r="AI331" s="3"/>
      <c r="AJ331" s="3"/>
      <c r="AK331" s="3"/>
      <c r="AL331" s="3"/>
      <c r="AM331" s="3"/>
      <c r="AN331" s="3"/>
      <c r="AO331" s="3"/>
      <c r="AP331" s="3"/>
      <c r="AQ331" s="3"/>
      <c r="AR331" s="3"/>
      <c r="AS331" s="3"/>
      <c r="AT331" s="3"/>
      <c r="AU331" s="3"/>
      <c r="AV331" s="3"/>
      <c r="AW331" s="3"/>
      <c r="AX331" s="3"/>
      <c r="AY331" s="3"/>
      <c r="AZ331" s="3"/>
      <c r="BA331" s="3"/>
      <c r="BB331" s="3"/>
      <c r="BC331" s="3"/>
      <c r="BD331" s="3"/>
      <c r="BE331" s="3"/>
      <c r="BF331" s="3"/>
    </row>
    <row r="332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20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  <c r="AG332" s="3"/>
      <c r="AH332" s="3"/>
      <c r="AI332" s="3"/>
      <c r="AJ332" s="3"/>
      <c r="AK332" s="3"/>
      <c r="AL332" s="3"/>
      <c r="AM332" s="3"/>
      <c r="AN332" s="3"/>
      <c r="AO332" s="3"/>
      <c r="AP332" s="3"/>
      <c r="AQ332" s="3"/>
      <c r="AR332" s="3"/>
      <c r="AS332" s="3"/>
      <c r="AT332" s="3"/>
      <c r="AU332" s="3"/>
      <c r="AV332" s="3"/>
      <c r="AW332" s="3"/>
      <c r="AX332" s="3"/>
      <c r="AY332" s="3"/>
      <c r="AZ332" s="3"/>
      <c r="BA332" s="3"/>
      <c r="BB332" s="3"/>
      <c r="BC332" s="3"/>
      <c r="BD332" s="3"/>
      <c r="BE332" s="3"/>
      <c r="BF332" s="3"/>
    </row>
    <row r="33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20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  <c r="AG333" s="3"/>
      <c r="AH333" s="3"/>
      <c r="AI333" s="3"/>
      <c r="AJ333" s="3"/>
      <c r="AK333" s="3"/>
      <c r="AL333" s="3"/>
      <c r="AM333" s="3"/>
      <c r="AN333" s="3"/>
      <c r="AO333" s="3"/>
      <c r="AP333" s="3"/>
      <c r="AQ333" s="3"/>
      <c r="AR333" s="3"/>
      <c r="AS333" s="3"/>
      <c r="AT333" s="3"/>
      <c r="AU333" s="3"/>
      <c r="AV333" s="3"/>
      <c r="AW333" s="3"/>
      <c r="AX333" s="3"/>
      <c r="AY333" s="3"/>
      <c r="AZ333" s="3"/>
      <c r="BA333" s="3"/>
      <c r="BB333" s="3"/>
      <c r="BC333" s="3"/>
      <c r="BD333" s="3"/>
      <c r="BE333" s="3"/>
      <c r="BF333" s="3"/>
    </row>
    <row r="334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20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  <c r="AG334" s="3"/>
      <c r="AH334" s="3"/>
      <c r="AI334" s="3"/>
      <c r="AJ334" s="3"/>
      <c r="AK334" s="3"/>
      <c r="AL334" s="3"/>
      <c r="AM334" s="3"/>
      <c r="AN334" s="3"/>
      <c r="AO334" s="3"/>
      <c r="AP334" s="3"/>
      <c r="AQ334" s="3"/>
      <c r="AR334" s="3"/>
      <c r="AS334" s="3"/>
      <c r="AT334" s="3"/>
      <c r="AU334" s="3"/>
      <c r="AV334" s="3"/>
      <c r="AW334" s="3"/>
      <c r="AX334" s="3"/>
      <c r="AY334" s="3"/>
      <c r="AZ334" s="3"/>
      <c r="BA334" s="3"/>
      <c r="BB334" s="3"/>
      <c r="BC334" s="3"/>
      <c r="BD334" s="3"/>
      <c r="BE334" s="3"/>
      <c r="BF334" s="3"/>
    </row>
    <row r="335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20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  <c r="AG335" s="3"/>
      <c r="AH335" s="3"/>
      <c r="AI335" s="3"/>
      <c r="AJ335" s="3"/>
      <c r="AK335" s="3"/>
      <c r="AL335" s="3"/>
      <c r="AM335" s="3"/>
      <c r="AN335" s="3"/>
      <c r="AO335" s="3"/>
      <c r="AP335" s="3"/>
      <c r="AQ335" s="3"/>
      <c r="AR335" s="3"/>
      <c r="AS335" s="3"/>
      <c r="AT335" s="3"/>
      <c r="AU335" s="3"/>
      <c r="AV335" s="3"/>
      <c r="AW335" s="3"/>
      <c r="AX335" s="3"/>
      <c r="AY335" s="3"/>
      <c r="AZ335" s="3"/>
      <c r="BA335" s="3"/>
      <c r="BB335" s="3"/>
      <c r="BC335" s="3"/>
      <c r="BD335" s="3"/>
      <c r="BE335" s="3"/>
      <c r="BF335" s="3"/>
    </row>
    <row r="33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20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  <c r="AG336" s="3"/>
      <c r="AH336" s="3"/>
      <c r="AI336" s="3"/>
      <c r="AJ336" s="3"/>
      <c r="AK336" s="3"/>
      <c r="AL336" s="3"/>
      <c r="AM336" s="3"/>
      <c r="AN336" s="3"/>
      <c r="AO336" s="3"/>
      <c r="AP336" s="3"/>
      <c r="AQ336" s="3"/>
      <c r="AR336" s="3"/>
      <c r="AS336" s="3"/>
      <c r="AT336" s="3"/>
      <c r="AU336" s="3"/>
      <c r="AV336" s="3"/>
      <c r="AW336" s="3"/>
      <c r="AX336" s="3"/>
      <c r="AY336" s="3"/>
      <c r="AZ336" s="3"/>
      <c r="BA336" s="3"/>
      <c r="BB336" s="3"/>
      <c r="BC336" s="3"/>
      <c r="BD336" s="3"/>
      <c r="BE336" s="3"/>
      <c r="BF336" s="3"/>
    </row>
    <row r="337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20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  <c r="AG337" s="3"/>
      <c r="AH337" s="3"/>
      <c r="AI337" s="3"/>
      <c r="AJ337" s="3"/>
      <c r="AK337" s="3"/>
      <c r="AL337" s="3"/>
      <c r="AM337" s="3"/>
      <c r="AN337" s="3"/>
      <c r="AO337" s="3"/>
      <c r="AP337" s="3"/>
      <c r="AQ337" s="3"/>
      <c r="AR337" s="3"/>
      <c r="AS337" s="3"/>
      <c r="AT337" s="3"/>
      <c r="AU337" s="3"/>
      <c r="AV337" s="3"/>
      <c r="AW337" s="3"/>
      <c r="AX337" s="3"/>
      <c r="AY337" s="3"/>
      <c r="AZ337" s="3"/>
      <c r="BA337" s="3"/>
      <c r="BB337" s="3"/>
      <c r="BC337" s="3"/>
      <c r="BD337" s="3"/>
      <c r="BE337" s="3"/>
      <c r="BF337" s="3"/>
    </row>
    <row r="338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20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  <c r="AG338" s="3"/>
      <c r="AH338" s="3"/>
      <c r="AI338" s="3"/>
      <c r="AJ338" s="3"/>
      <c r="AK338" s="3"/>
      <c r="AL338" s="3"/>
      <c r="AM338" s="3"/>
      <c r="AN338" s="3"/>
      <c r="AO338" s="3"/>
      <c r="AP338" s="3"/>
      <c r="AQ338" s="3"/>
      <c r="AR338" s="3"/>
      <c r="AS338" s="3"/>
      <c r="AT338" s="3"/>
      <c r="AU338" s="3"/>
      <c r="AV338" s="3"/>
      <c r="AW338" s="3"/>
      <c r="AX338" s="3"/>
      <c r="AY338" s="3"/>
      <c r="AZ338" s="3"/>
      <c r="BA338" s="3"/>
      <c r="BB338" s="3"/>
      <c r="BC338" s="3"/>
      <c r="BD338" s="3"/>
      <c r="BE338" s="3"/>
      <c r="BF338" s="3"/>
    </row>
    <row r="339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20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  <c r="AG339" s="3"/>
      <c r="AH339" s="3"/>
      <c r="AI339" s="3"/>
      <c r="AJ339" s="3"/>
      <c r="AK339" s="3"/>
      <c r="AL339" s="3"/>
      <c r="AM339" s="3"/>
      <c r="AN339" s="3"/>
      <c r="AO339" s="3"/>
      <c r="AP339" s="3"/>
      <c r="AQ339" s="3"/>
      <c r="AR339" s="3"/>
      <c r="AS339" s="3"/>
      <c r="AT339" s="3"/>
      <c r="AU339" s="3"/>
      <c r="AV339" s="3"/>
      <c r="AW339" s="3"/>
      <c r="AX339" s="3"/>
      <c r="AY339" s="3"/>
      <c r="AZ339" s="3"/>
      <c r="BA339" s="3"/>
      <c r="BB339" s="3"/>
      <c r="BC339" s="3"/>
      <c r="BD339" s="3"/>
      <c r="BE339" s="3"/>
      <c r="BF339" s="3"/>
    </row>
    <row r="340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20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  <c r="AG340" s="3"/>
      <c r="AH340" s="3"/>
      <c r="AI340" s="3"/>
      <c r="AJ340" s="3"/>
      <c r="AK340" s="3"/>
      <c r="AL340" s="3"/>
      <c r="AM340" s="3"/>
      <c r="AN340" s="3"/>
      <c r="AO340" s="3"/>
      <c r="AP340" s="3"/>
      <c r="AQ340" s="3"/>
      <c r="AR340" s="3"/>
      <c r="AS340" s="3"/>
      <c r="AT340" s="3"/>
      <c r="AU340" s="3"/>
      <c r="AV340" s="3"/>
      <c r="AW340" s="3"/>
      <c r="AX340" s="3"/>
      <c r="AY340" s="3"/>
      <c r="AZ340" s="3"/>
      <c r="BA340" s="3"/>
      <c r="BB340" s="3"/>
      <c r="BC340" s="3"/>
      <c r="BD340" s="3"/>
      <c r="BE340" s="3"/>
      <c r="BF340" s="3"/>
    </row>
    <row r="34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20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  <c r="AG341" s="3"/>
      <c r="AH341" s="3"/>
      <c r="AI341" s="3"/>
      <c r="AJ341" s="3"/>
      <c r="AK341" s="3"/>
      <c r="AL341" s="3"/>
      <c r="AM341" s="3"/>
      <c r="AN341" s="3"/>
      <c r="AO341" s="3"/>
      <c r="AP341" s="3"/>
      <c r="AQ341" s="3"/>
      <c r="AR341" s="3"/>
      <c r="AS341" s="3"/>
      <c r="AT341" s="3"/>
      <c r="AU341" s="3"/>
      <c r="AV341" s="3"/>
      <c r="AW341" s="3"/>
      <c r="AX341" s="3"/>
      <c r="AY341" s="3"/>
      <c r="AZ341" s="3"/>
      <c r="BA341" s="3"/>
      <c r="BB341" s="3"/>
      <c r="BC341" s="3"/>
      <c r="BD341" s="3"/>
      <c r="BE341" s="3"/>
      <c r="BF341" s="3"/>
    </row>
    <row r="342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20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  <c r="AG342" s="3"/>
      <c r="AH342" s="3"/>
      <c r="AI342" s="3"/>
      <c r="AJ342" s="3"/>
      <c r="AK342" s="3"/>
      <c r="AL342" s="3"/>
      <c r="AM342" s="3"/>
      <c r="AN342" s="3"/>
      <c r="AO342" s="3"/>
      <c r="AP342" s="3"/>
      <c r="AQ342" s="3"/>
      <c r="AR342" s="3"/>
      <c r="AS342" s="3"/>
      <c r="AT342" s="3"/>
      <c r="AU342" s="3"/>
      <c r="AV342" s="3"/>
      <c r="AW342" s="3"/>
      <c r="AX342" s="3"/>
      <c r="AY342" s="3"/>
      <c r="AZ342" s="3"/>
      <c r="BA342" s="3"/>
      <c r="BB342" s="3"/>
      <c r="BC342" s="3"/>
      <c r="BD342" s="3"/>
      <c r="BE342" s="3"/>
      <c r="BF342" s="3"/>
    </row>
    <row r="34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20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  <c r="AG343" s="3"/>
      <c r="AH343" s="3"/>
      <c r="AI343" s="3"/>
      <c r="AJ343" s="3"/>
      <c r="AK343" s="3"/>
      <c r="AL343" s="3"/>
      <c r="AM343" s="3"/>
      <c r="AN343" s="3"/>
      <c r="AO343" s="3"/>
      <c r="AP343" s="3"/>
      <c r="AQ343" s="3"/>
      <c r="AR343" s="3"/>
      <c r="AS343" s="3"/>
      <c r="AT343" s="3"/>
      <c r="AU343" s="3"/>
      <c r="AV343" s="3"/>
      <c r="AW343" s="3"/>
      <c r="AX343" s="3"/>
      <c r="AY343" s="3"/>
      <c r="AZ343" s="3"/>
      <c r="BA343" s="3"/>
      <c r="BB343" s="3"/>
      <c r="BC343" s="3"/>
      <c r="BD343" s="3"/>
      <c r="BE343" s="3"/>
      <c r="BF343" s="3"/>
    </row>
    <row r="344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20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  <c r="AG344" s="3"/>
      <c r="AH344" s="3"/>
      <c r="AI344" s="3"/>
      <c r="AJ344" s="3"/>
      <c r="AK344" s="3"/>
      <c r="AL344" s="3"/>
      <c r="AM344" s="3"/>
      <c r="AN344" s="3"/>
      <c r="AO344" s="3"/>
      <c r="AP344" s="3"/>
      <c r="AQ344" s="3"/>
      <c r="AR344" s="3"/>
      <c r="AS344" s="3"/>
      <c r="AT344" s="3"/>
      <c r="AU344" s="3"/>
      <c r="AV344" s="3"/>
      <c r="AW344" s="3"/>
      <c r="AX344" s="3"/>
      <c r="AY344" s="3"/>
      <c r="AZ344" s="3"/>
      <c r="BA344" s="3"/>
      <c r="BB344" s="3"/>
      <c r="BC344" s="3"/>
      <c r="BD344" s="3"/>
      <c r="BE344" s="3"/>
      <c r="BF344" s="3"/>
    </row>
    <row r="345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20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  <c r="AG345" s="3"/>
      <c r="AH345" s="3"/>
      <c r="AI345" s="3"/>
      <c r="AJ345" s="3"/>
      <c r="AK345" s="3"/>
      <c r="AL345" s="3"/>
      <c r="AM345" s="3"/>
      <c r="AN345" s="3"/>
      <c r="AO345" s="3"/>
      <c r="AP345" s="3"/>
      <c r="AQ345" s="3"/>
      <c r="AR345" s="3"/>
      <c r="AS345" s="3"/>
      <c r="AT345" s="3"/>
      <c r="AU345" s="3"/>
      <c r="AV345" s="3"/>
      <c r="AW345" s="3"/>
      <c r="AX345" s="3"/>
      <c r="AY345" s="3"/>
      <c r="AZ345" s="3"/>
      <c r="BA345" s="3"/>
      <c r="BB345" s="3"/>
      <c r="BC345" s="3"/>
      <c r="BD345" s="3"/>
      <c r="BE345" s="3"/>
      <c r="BF345" s="3"/>
    </row>
    <row r="34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20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  <c r="AG346" s="3"/>
      <c r="AH346" s="3"/>
      <c r="AI346" s="3"/>
      <c r="AJ346" s="3"/>
      <c r="AK346" s="3"/>
      <c r="AL346" s="3"/>
      <c r="AM346" s="3"/>
      <c r="AN346" s="3"/>
      <c r="AO346" s="3"/>
      <c r="AP346" s="3"/>
      <c r="AQ346" s="3"/>
      <c r="AR346" s="3"/>
      <c r="AS346" s="3"/>
      <c r="AT346" s="3"/>
      <c r="AU346" s="3"/>
      <c r="AV346" s="3"/>
      <c r="AW346" s="3"/>
      <c r="AX346" s="3"/>
      <c r="AY346" s="3"/>
      <c r="AZ346" s="3"/>
      <c r="BA346" s="3"/>
      <c r="BB346" s="3"/>
      <c r="BC346" s="3"/>
      <c r="BD346" s="3"/>
      <c r="BE346" s="3"/>
      <c r="BF346" s="3"/>
    </row>
    <row r="347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20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  <c r="AG347" s="3"/>
      <c r="AH347" s="3"/>
      <c r="AI347" s="3"/>
      <c r="AJ347" s="3"/>
      <c r="AK347" s="3"/>
      <c r="AL347" s="3"/>
      <c r="AM347" s="3"/>
      <c r="AN347" s="3"/>
      <c r="AO347" s="3"/>
      <c r="AP347" s="3"/>
      <c r="AQ347" s="3"/>
      <c r="AR347" s="3"/>
      <c r="AS347" s="3"/>
      <c r="AT347" s="3"/>
      <c r="AU347" s="3"/>
      <c r="AV347" s="3"/>
      <c r="AW347" s="3"/>
      <c r="AX347" s="3"/>
      <c r="AY347" s="3"/>
      <c r="AZ347" s="3"/>
      <c r="BA347" s="3"/>
      <c r="BB347" s="3"/>
      <c r="BC347" s="3"/>
      <c r="BD347" s="3"/>
      <c r="BE347" s="3"/>
      <c r="BF347" s="3"/>
    </row>
    <row r="348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20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  <c r="AG348" s="3"/>
      <c r="AH348" s="3"/>
      <c r="AI348" s="3"/>
      <c r="AJ348" s="3"/>
      <c r="AK348" s="3"/>
      <c r="AL348" s="3"/>
      <c r="AM348" s="3"/>
      <c r="AN348" s="3"/>
      <c r="AO348" s="3"/>
      <c r="AP348" s="3"/>
      <c r="AQ348" s="3"/>
      <c r="AR348" s="3"/>
      <c r="AS348" s="3"/>
      <c r="AT348" s="3"/>
      <c r="AU348" s="3"/>
      <c r="AV348" s="3"/>
      <c r="AW348" s="3"/>
      <c r="AX348" s="3"/>
      <c r="AY348" s="3"/>
      <c r="AZ348" s="3"/>
      <c r="BA348" s="3"/>
      <c r="BB348" s="3"/>
      <c r="BC348" s="3"/>
      <c r="BD348" s="3"/>
      <c r="BE348" s="3"/>
      <c r="BF348" s="3"/>
    </row>
    <row r="349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20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  <c r="AG349" s="3"/>
      <c r="AH349" s="3"/>
      <c r="AI349" s="3"/>
      <c r="AJ349" s="3"/>
      <c r="AK349" s="3"/>
      <c r="AL349" s="3"/>
      <c r="AM349" s="3"/>
      <c r="AN349" s="3"/>
      <c r="AO349" s="3"/>
      <c r="AP349" s="3"/>
      <c r="AQ349" s="3"/>
      <c r="AR349" s="3"/>
      <c r="AS349" s="3"/>
      <c r="AT349" s="3"/>
      <c r="AU349" s="3"/>
      <c r="AV349" s="3"/>
      <c r="AW349" s="3"/>
      <c r="AX349" s="3"/>
      <c r="AY349" s="3"/>
      <c r="AZ349" s="3"/>
      <c r="BA349" s="3"/>
      <c r="BB349" s="3"/>
      <c r="BC349" s="3"/>
      <c r="BD349" s="3"/>
      <c r="BE349" s="3"/>
      <c r="BF349" s="3"/>
    </row>
    <row r="350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20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  <c r="AG350" s="3"/>
      <c r="AH350" s="3"/>
      <c r="AI350" s="3"/>
      <c r="AJ350" s="3"/>
      <c r="AK350" s="3"/>
      <c r="AL350" s="3"/>
      <c r="AM350" s="3"/>
      <c r="AN350" s="3"/>
      <c r="AO350" s="3"/>
      <c r="AP350" s="3"/>
      <c r="AQ350" s="3"/>
      <c r="AR350" s="3"/>
      <c r="AS350" s="3"/>
      <c r="AT350" s="3"/>
      <c r="AU350" s="3"/>
      <c r="AV350" s="3"/>
      <c r="AW350" s="3"/>
      <c r="AX350" s="3"/>
      <c r="AY350" s="3"/>
      <c r="AZ350" s="3"/>
      <c r="BA350" s="3"/>
      <c r="BB350" s="3"/>
      <c r="BC350" s="3"/>
      <c r="BD350" s="3"/>
      <c r="BE350" s="3"/>
      <c r="BF350" s="3"/>
    </row>
    <row r="35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20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  <c r="AG351" s="3"/>
      <c r="AH351" s="3"/>
      <c r="AI351" s="3"/>
      <c r="AJ351" s="3"/>
      <c r="AK351" s="3"/>
      <c r="AL351" s="3"/>
      <c r="AM351" s="3"/>
      <c r="AN351" s="3"/>
      <c r="AO351" s="3"/>
      <c r="AP351" s="3"/>
      <c r="AQ351" s="3"/>
      <c r="AR351" s="3"/>
      <c r="AS351" s="3"/>
      <c r="AT351" s="3"/>
      <c r="AU351" s="3"/>
      <c r="AV351" s="3"/>
      <c r="AW351" s="3"/>
      <c r="AX351" s="3"/>
      <c r="AY351" s="3"/>
      <c r="AZ351" s="3"/>
      <c r="BA351" s="3"/>
      <c r="BB351" s="3"/>
      <c r="BC351" s="3"/>
      <c r="BD351" s="3"/>
      <c r="BE351" s="3"/>
      <c r="BF351" s="3"/>
    </row>
    <row r="352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20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  <c r="AG352" s="3"/>
      <c r="AH352" s="3"/>
      <c r="AI352" s="3"/>
      <c r="AJ352" s="3"/>
      <c r="AK352" s="3"/>
      <c r="AL352" s="3"/>
      <c r="AM352" s="3"/>
      <c r="AN352" s="3"/>
      <c r="AO352" s="3"/>
      <c r="AP352" s="3"/>
      <c r="AQ352" s="3"/>
      <c r="AR352" s="3"/>
      <c r="AS352" s="3"/>
      <c r="AT352" s="3"/>
      <c r="AU352" s="3"/>
      <c r="AV352" s="3"/>
      <c r="AW352" s="3"/>
      <c r="AX352" s="3"/>
      <c r="AY352" s="3"/>
      <c r="AZ352" s="3"/>
      <c r="BA352" s="3"/>
      <c r="BB352" s="3"/>
      <c r="BC352" s="3"/>
      <c r="BD352" s="3"/>
      <c r="BE352" s="3"/>
      <c r="BF352" s="3"/>
    </row>
    <row r="35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20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  <c r="AG353" s="3"/>
      <c r="AH353" s="3"/>
      <c r="AI353" s="3"/>
      <c r="AJ353" s="3"/>
      <c r="AK353" s="3"/>
      <c r="AL353" s="3"/>
      <c r="AM353" s="3"/>
      <c r="AN353" s="3"/>
      <c r="AO353" s="3"/>
      <c r="AP353" s="3"/>
      <c r="AQ353" s="3"/>
      <c r="AR353" s="3"/>
      <c r="AS353" s="3"/>
      <c r="AT353" s="3"/>
      <c r="AU353" s="3"/>
      <c r="AV353" s="3"/>
      <c r="AW353" s="3"/>
      <c r="AX353" s="3"/>
      <c r="AY353" s="3"/>
      <c r="AZ353" s="3"/>
      <c r="BA353" s="3"/>
      <c r="BB353" s="3"/>
      <c r="BC353" s="3"/>
      <c r="BD353" s="3"/>
      <c r="BE353" s="3"/>
      <c r="BF353" s="3"/>
    </row>
    <row r="354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20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  <c r="AG354" s="3"/>
      <c r="AH354" s="3"/>
      <c r="AI354" s="3"/>
      <c r="AJ354" s="3"/>
      <c r="AK354" s="3"/>
      <c r="AL354" s="3"/>
      <c r="AM354" s="3"/>
      <c r="AN354" s="3"/>
      <c r="AO354" s="3"/>
      <c r="AP354" s="3"/>
      <c r="AQ354" s="3"/>
      <c r="AR354" s="3"/>
      <c r="AS354" s="3"/>
      <c r="AT354" s="3"/>
      <c r="AU354" s="3"/>
      <c r="AV354" s="3"/>
      <c r="AW354" s="3"/>
      <c r="AX354" s="3"/>
      <c r="AY354" s="3"/>
      <c r="AZ354" s="3"/>
      <c r="BA354" s="3"/>
      <c r="BB354" s="3"/>
      <c r="BC354" s="3"/>
      <c r="BD354" s="3"/>
      <c r="BE354" s="3"/>
      <c r="BF354" s="3"/>
    </row>
    <row r="355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20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  <c r="AG355" s="3"/>
      <c r="AH355" s="3"/>
      <c r="AI355" s="3"/>
      <c r="AJ355" s="3"/>
      <c r="AK355" s="3"/>
      <c r="AL355" s="3"/>
      <c r="AM355" s="3"/>
      <c r="AN355" s="3"/>
      <c r="AO355" s="3"/>
      <c r="AP355" s="3"/>
      <c r="AQ355" s="3"/>
      <c r="AR355" s="3"/>
      <c r="AS355" s="3"/>
      <c r="AT355" s="3"/>
      <c r="AU355" s="3"/>
      <c r="AV355" s="3"/>
      <c r="AW355" s="3"/>
      <c r="AX355" s="3"/>
      <c r="AY355" s="3"/>
      <c r="AZ355" s="3"/>
      <c r="BA355" s="3"/>
      <c r="BB355" s="3"/>
      <c r="BC355" s="3"/>
      <c r="BD355" s="3"/>
      <c r="BE355" s="3"/>
      <c r="BF355" s="3"/>
    </row>
    <row r="35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20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  <c r="AG356" s="3"/>
      <c r="AH356" s="3"/>
      <c r="AI356" s="3"/>
      <c r="AJ356" s="3"/>
      <c r="AK356" s="3"/>
      <c r="AL356" s="3"/>
      <c r="AM356" s="3"/>
      <c r="AN356" s="3"/>
      <c r="AO356" s="3"/>
      <c r="AP356" s="3"/>
      <c r="AQ356" s="3"/>
      <c r="AR356" s="3"/>
      <c r="AS356" s="3"/>
      <c r="AT356" s="3"/>
      <c r="AU356" s="3"/>
      <c r="AV356" s="3"/>
      <c r="AW356" s="3"/>
      <c r="AX356" s="3"/>
      <c r="AY356" s="3"/>
      <c r="AZ356" s="3"/>
      <c r="BA356" s="3"/>
      <c r="BB356" s="3"/>
      <c r="BC356" s="3"/>
      <c r="BD356" s="3"/>
      <c r="BE356" s="3"/>
      <c r="BF356" s="3"/>
    </row>
    <row r="357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20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  <c r="AG357" s="3"/>
      <c r="AH357" s="3"/>
      <c r="AI357" s="3"/>
      <c r="AJ357" s="3"/>
      <c r="AK357" s="3"/>
      <c r="AL357" s="3"/>
      <c r="AM357" s="3"/>
      <c r="AN357" s="3"/>
      <c r="AO357" s="3"/>
      <c r="AP357" s="3"/>
      <c r="AQ357" s="3"/>
      <c r="AR357" s="3"/>
      <c r="AS357" s="3"/>
      <c r="AT357" s="3"/>
      <c r="AU357" s="3"/>
      <c r="AV357" s="3"/>
      <c r="AW357" s="3"/>
      <c r="AX357" s="3"/>
      <c r="AY357" s="3"/>
      <c r="AZ357" s="3"/>
      <c r="BA357" s="3"/>
      <c r="BB357" s="3"/>
      <c r="BC357" s="3"/>
      <c r="BD357" s="3"/>
      <c r="BE357" s="3"/>
      <c r="BF357" s="3"/>
    </row>
    <row r="358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20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  <c r="AG358" s="3"/>
      <c r="AH358" s="3"/>
      <c r="AI358" s="3"/>
      <c r="AJ358" s="3"/>
      <c r="AK358" s="3"/>
      <c r="AL358" s="3"/>
      <c r="AM358" s="3"/>
      <c r="AN358" s="3"/>
      <c r="AO358" s="3"/>
      <c r="AP358" s="3"/>
      <c r="AQ358" s="3"/>
      <c r="AR358" s="3"/>
      <c r="AS358" s="3"/>
      <c r="AT358" s="3"/>
      <c r="AU358" s="3"/>
      <c r="AV358" s="3"/>
      <c r="AW358" s="3"/>
      <c r="AX358" s="3"/>
      <c r="AY358" s="3"/>
      <c r="AZ358" s="3"/>
      <c r="BA358" s="3"/>
      <c r="BB358" s="3"/>
      <c r="BC358" s="3"/>
      <c r="BD358" s="3"/>
      <c r="BE358" s="3"/>
      <c r="BF358" s="3"/>
    </row>
    <row r="359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20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  <c r="AG359" s="3"/>
      <c r="AH359" s="3"/>
      <c r="AI359" s="3"/>
      <c r="AJ359" s="3"/>
      <c r="AK359" s="3"/>
      <c r="AL359" s="3"/>
      <c r="AM359" s="3"/>
      <c r="AN359" s="3"/>
      <c r="AO359" s="3"/>
      <c r="AP359" s="3"/>
      <c r="AQ359" s="3"/>
      <c r="AR359" s="3"/>
      <c r="AS359" s="3"/>
      <c r="AT359" s="3"/>
      <c r="AU359" s="3"/>
      <c r="AV359" s="3"/>
      <c r="AW359" s="3"/>
      <c r="AX359" s="3"/>
      <c r="AY359" s="3"/>
      <c r="AZ359" s="3"/>
      <c r="BA359" s="3"/>
      <c r="BB359" s="3"/>
      <c r="BC359" s="3"/>
      <c r="BD359" s="3"/>
      <c r="BE359" s="3"/>
      <c r="BF359" s="3"/>
    </row>
    <row r="360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20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  <c r="AG360" s="3"/>
      <c r="AH360" s="3"/>
      <c r="AI360" s="3"/>
      <c r="AJ360" s="3"/>
      <c r="AK360" s="3"/>
      <c r="AL360" s="3"/>
      <c r="AM360" s="3"/>
      <c r="AN360" s="3"/>
      <c r="AO360" s="3"/>
      <c r="AP360" s="3"/>
      <c r="AQ360" s="3"/>
      <c r="AR360" s="3"/>
      <c r="AS360" s="3"/>
      <c r="AT360" s="3"/>
      <c r="AU360" s="3"/>
      <c r="AV360" s="3"/>
      <c r="AW360" s="3"/>
      <c r="AX360" s="3"/>
      <c r="AY360" s="3"/>
      <c r="AZ360" s="3"/>
      <c r="BA360" s="3"/>
      <c r="BB360" s="3"/>
      <c r="BC360" s="3"/>
      <c r="BD360" s="3"/>
      <c r="BE360" s="3"/>
      <c r="BF360" s="3"/>
    </row>
    <row r="36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20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  <c r="AG361" s="3"/>
      <c r="AH361" s="3"/>
      <c r="AI361" s="3"/>
      <c r="AJ361" s="3"/>
      <c r="AK361" s="3"/>
      <c r="AL361" s="3"/>
      <c r="AM361" s="3"/>
      <c r="AN361" s="3"/>
      <c r="AO361" s="3"/>
      <c r="AP361" s="3"/>
      <c r="AQ361" s="3"/>
      <c r="AR361" s="3"/>
      <c r="AS361" s="3"/>
      <c r="AT361" s="3"/>
      <c r="AU361" s="3"/>
      <c r="AV361" s="3"/>
      <c r="AW361" s="3"/>
      <c r="AX361" s="3"/>
      <c r="AY361" s="3"/>
      <c r="AZ361" s="3"/>
      <c r="BA361" s="3"/>
      <c r="BB361" s="3"/>
      <c r="BC361" s="3"/>
      <c r="BD361" s="3"/>
      <c r="BE361" s="3"/>
      <c r="BF361" s="3"/>
    </row>
    <row r="362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20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  <c r="AG362" s="3"/>
      <c r="AH362" s="3"/>
      <c r="AI362" s="3"/>
      <c r="AJ362" s="3"/>
      <c r="AK362" s="3"/>
      <c r="AL362" s="3"/>
      <c r="AM362" s="3"/>
      <c r="AN362" s="3"/>
      <c r="AO362" s="3"/>
      <c r="AP362" s="3"/>
      <c r="AQ362" s="3"/>
      <c r="AR362" s="3"/>
      <c r="AS362" s="3"/>
      <c r="AT362" s="3"/>
      <c r="AU362" s="3"/>
      <c r="AV362" s="3"/>
      <c r="AW362" s="3"/>
      <c r="AX362" s="3"/>
      <c r="AY362" s="3"/>
      <c r="AZ362" s="3"/>
      <c r="BA362" s="3"/>
      <c r="BB362" s="3"/>
      <c r="BC362" s="3"/>
      <c r="BD362" s="3"/>
      <c r="BE362" s="3"/>
      <c r="BF362" s="3"/>
    </row>
    <row r="36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20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  <c r="AG363" s="3"/>
      <c r="AH363" s="3"/>
      <c r="AI363" s="3"/>
      <c r="AJ363" s="3"/>
      <c r="AK363" s="3"/>
      <c r="AL363" s="3"/>
      <c r="AM363" s="3"/>
      <c r="AN363" s="3"/>
      <c r="AO363" s="3"/>
      <c r="AP363" s="3"/>
      <c r="AQ363" s="3"/>
      <c r="AR363" s="3"/>
      <c r="AS363" s="3"/>
      <c r="AT363" s="3"/>
      <c r="AU363" s="3"/>
      <c r="AV363" s="3"/>
      <c r="AW363" s="3"/>
      <c r="AX363" s="3"/>
      <c r="AY363" s="3"/>
      <c r="AZ363" s="3"/>
      <c r="BA363" s="3"/>
      <c r="BB363" s="3"/>
      <c r="BC363" s="3"/>
      <c r="BD363" s="3"/>
      <c r="BE363" s="3"/>
      <c r="BF363" s="3"/>
    </row>
    <row r="364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20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  <c r="AG364" s="3"/>
      <c r="AH364" s="3"/>
      <c r="AI364" s="3"/>
      <c r="AJ364" s="3"/>
      <c r="AK364" s="3"/>
      <c r="AL364" s="3"/>
      <c r="AM364" s="3"/>
      <c r="AN364" s="3"/>
      <c r="AO364" s="3"/>
      <c r="AP364" s="3"/>
      <c r="AQ364" s="3"/>
      <c r="AR364" s="3"/>
      <c r="AS364" s="3"/>
      <c r="AT364" s="3"/>
      <c r="AU364" s="3"/>
      <c r="AV364" s="3"/>
      <c r="AW364" s="3"/>
      <c r="AX364" s="3"/>
      <c r="AY364" s="3"/>
      <c r="AZ364" s="3"/>
      <c r="BA364" s="3"/>
      <c r="BB364" s="3"/>
      <c r="BC364" s="3"/>
      <c r="BD364" s="3"/>
      <c r="BE364" s="3"/>
      <c r="BF364" s="3"/>
    </row>
    <row r="365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20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  <c r="AG365" s="3"/>
      <c r="AH365" s="3"/>
      <c r="AI365" s="3"/>
      <c r="AJ365" s="3"/>
      <c r="AK365" s="3"/>
      <c r="AL365" s="3"/>
      <c r="AM365" s="3"/>
      <c r="AN365" s="3"/>
      <c r="AO365" s="3"/>
      <c r="AP365" s="3"/>
      <c r="AQ365" s="3"/>
      <c r="AR365" s="3"/>
      <c r="AS365" s="3"/>
      <c r="AT365" s="3"/>
      <c r="AU365" s="3"/>
      <c r="AV365" s="3"/>
      <c r="AW365" s="3"/>
      <c r="AX365" s="3"/>
      <c r="AY365" s="3"/>
      <c r="AZ365" s="3"/>
      <c r="BA365" s="3"/>
      <c r="BB365" s="3"/>
      <c r="BC365" s="3"/>
      <c r="BD365" s="3"/>
      <c r="BE365" s="3"/>
      <c r="BF365" s="3"/>
    </row>
    <row r="36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20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  <c r="AG366" s="3"/>
      <c r="AH366" s="3"/>
      <c r="AI366" s="3"/>
      <c r="AJ366" s="3"/>
      <c r="AK366" s="3"/>
      <c r="AL366" s="3"/>
      <c r="AM366" s="3"/>
      <c r="AN366" s="3"/>
      <c r="AO366" s="3"/>
      <c r="AP366" s="3"/>
      <c r="AQ366" s="3"/>
      <c r="AR366" s="3"/>
      <c r="AS366" s="3"/>
      <c r="AT366" s="3"/>
      <c r="AU366" s="3"/>
      <c r="AV366" s="3"/>
      <c r="AW366" s="3"/>
      <c r="AX366" s="3"/>
      <c r="AY366" s="3"/>
      <c r="AZ366" s="3"/>
      <c r="BA366" s="3"/>
      <c r="BB366" s="3"/>
      <c r="BC366" s="3"/>
      <c r="BD366" s="3"/>
      <c r="BE366" s="3"/>
      <c r="BF366" s="3"/>
    </row>
    <row r="367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20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  <c r="AG367" s="3"/>
      <c r="AH367" s="3"/>
      <c r="AI367" s="3"/>
      <c r="AJ367" s="3"/>
      <c r="AK367" s="3"/>
      <c r="AL367" s="3"/>
      <c r="AM367" s="3"/>
      <c r="AN367" s="3"/>
      <c r="AO367" s="3"/>
      <c r="AP367" s="3"/>
      <c r="AQ367" s="3"/>
      <c r="AR367" s="3"/>
      <c r="AS367" s="3"/>
      <c r="AT367" s="3"/>
      <c r="AU367" s="3"/>
      <c r="AV367" s="3"/>
      <c r="AW367" s="3"/>
      <c r="AX367" s="3"/>
      <c r="AY367" s="3"/>
      <c r="AZ367" s="3"/>
      <c r="BA367" s="3"/>
      <c r="BB367" s="3"/>
      <c r="BC367" s="3"/>
      <c r="BD367" s="3"/>
      <c r="BE367" s="3"/>
      <c r="BF367" s="3"/>
    </row>
    <row r="368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20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  <c r="AG368" s="3"/>
      <c r="AH368" s="3"/>
      <c r="AI368" s="3"/>
      <c r="AJ368" s="3"/>
      <c r="AK368" s="3"/>
      <c r="AL368" s="3"/>
      <c r="AM368" s="3"/>
      <c r="AN368" s="3"/>
      <c r="AO368" s="3"/>
      <c r="AP368" s="3"/>
      <c r="AQ368" s="3"/>
      <c r="AR368" s="3"/>
      <c r="AS368" s="3"/>
      <c r="AT368" s="3"/>
      <c r="AU368" s="3"/>
      <c r="AV368" s="3"/>
      <c r="AW368" s="3"/>
      <c r="AX368" s="3"/>
      <c r="AY368" s="3"/>
      <c r="AZ368" s="3"/>
      <c r="BA368" s="3"/>
      <c r="BB368" s="3"/>
      <c r="BC368" s="3"/>
      <c r="BD368" s="3"/>
      <c r="BE368" s="3"/>
      <c r="BF368" s="3"/>
    </row>
    <row r="369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20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  <c r="AG369" s="3"/>
      <c r="AH369" s="3"/>
      <c r="AI369" s="3"/>
      <c r="AJ369" s="3"/>
      <c r="AK369" s="3"/>
      <c r="AL369" s="3"/>
      <c r="AM369" s="3"/>
      <c r="AN369" s="3"/>
      <c r="AO369" s="3"/>
      <c r="AP369" s="3"/>
      <c r="AQ369" s="3"/>
      <c r="AR369" s="3"/>
      <c r="AS369" s="3"/>
      <c r="AT369" s="3"/>
      <c r="AU369" s="3"/>
      <c r="AV369" s="3"/>
      <c r="AW369" s="3"/>
      <c r="AX369" s="3"/>
      <c r="AY369" s="3"/>
      <c r="AZ369" s="3"/>
      <c r="BA369" s="3"/>
      <c r="BB369" s="3"/>
      <c r="BC369" s="3"/>
      <c r="BD369" s="3"/>
      <c r="BE369" s="3"/>
      <c r="BF369" s="3"/>
    </row>
    <row r="370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20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  <c r="AG370" s="3"/>
      <c r="AH370" s="3"/>
      <c r="AI370" s="3"/>
      <c r="AJ370" s="3"/>
      <c r="AK370" s="3"/>
      <c r="AL370" s="3"/>
      <c r="AM370" s="3"/>
      <c r="AN370" s="3"/>
      <c r="AO370" s="3"/>
      <c r="AP370" s="3"/>
      <c r="AQ370" s="3"/>
      <c r="AR370" s="3"/>
      <c r="AS370" s="3"/>
      <c r="AT370" s="3"/>
      <c r="AU370" s="3"/>
      <c r="AV370" s="3"/>
      <c r="AW370" s="3"/>
      <c r="AX370" s="3"/>
      <c r="AY370" s="3"/>
      <c r="AZ370" s="3"/>
      <c r="BA370" s="3"/>
      <c r="BB370" s="3"/>
      <c r="BC370" s="3"/>
      <c r="BD370" s="3"/>
      <c r="BE370" s="3"/>
      <c r="BF370" s="3"/>
    </row>
    <row r="37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20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  <c r="AG371" s="3"/>
      <c r="AH371" s="3"/>
      <c r="AI371" s="3"/>
      <c r="AJ371" s="3"/>
      <c r="AK371" s="3"/>
      <c r="AL371" s="3"/>
      <c r="AM371" s="3"/>
      <c r="AN371" s="3"/>
      <c r="AO371" s="3"/>
      <c r="AP371" s="3"/>
      <c r="AQ371" s="3"/>
      <c r="AR371" s="3"/>
      <c r="AS371" s="3"/>
      <c r="AT371" s="3"/>
      <c r="AU371" s="3"/>
      <c r="AV371" s="3"/>
      <c r="AW371" s="3"/>
      <c r="AX371" s="3"/>
      <c r="AY371" s="3"/>
      <c r="AZ371" s="3"/>
      <c r="BA371" s="3"/>
      <c r="BB371" s="3"/>
      <c r="BC371" s="3"/>
      <c r="BD371" s="3"/>
      <c r="BE371" s="3"/>
      <c r="BF371" s="3"/>
    </row>
    <row r="372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20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  <c r="AG372" s="3"/>
      <c r="AH372" s="3"/>
      <c r="AI372" s="3"/>
      <c r="AJ372" s="3"/>
      <c r="AK372" s="3"/>
      <c r="AL372" s="3"/>
      <c r="AM372" s="3"/>
      <c r="AN372" s="3"/>
      <c r="AO372" s="3"/>
      <c r="AP372" s="3"/>
      <c r="AQ372" s="3"/>
      <c r="AR372" s="3"/>
      <c r="AS372" s="3"/>
      <c r="AT372" s="3"/>
      <c r="AU372" s="3"/>
      <c r="AV372" s="3"/>
      <c r="AW372" s="3"/>
      <c r="AX372" s="3"/>
      <c r="AY372" s="3"/>
      <c r="AZ372" s="3"/>
      <c r="BA372" s="3"/>
      <c r="BB372" s="3"/>
      <c r="BC372" s="3"/>
      <c r="BD372" s="3"/>
      <c r="BE372" s="3"/>
      <c r="BF372" s="3"/>
    </row>
    <row r="37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20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  <c r="AG373" s="3"/>
      <c r="AH373" s="3"/>
      <c r="AI373" s="3"/>
      <c r="AJ373" s="3"/>
      <c r="AK373" s="3"/>
      <c r="AL373" s="3"/>
      <c r="AM373" s="3"/>
      <c r="AN373" s="3"/>
      <c r="AO373" s="3"/>
      <c r="AP373" s="3"/>
      <c r="AQ373" s="3"/>
      <c r="AR373" s="3"/>
      <c r="AS373" s="3"/>
      <c r="AT373" s="3"/>
      <c r="AU373" s="3"/>
      <c r="AV373" s="3"/>
      <c r="AW373" s="3"/>
      <c r="AX373" s="3"/>
      <c r="AY373" s="3"/>
      <c r="AZ373" s="3"/>
      <c r="BA373" s="3"/>
      <c r="BB373" s="3"/>
      <c r="BC373" s="3"/>
      <c r="BD373" s="3"/>
      <c r="BE373" s="3"/>
      <c r="BF373" s="3"/>
    </row>
    <row r="374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20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  <c r="AG374" s="3"/>
      <c r="AH374" s="3"/>
      <c r="AI374" s="3"/>
      <c r="AJ374" s="3"/>
      <c r="AK374" s="3"/>
      <c r="AL374" s="3"/>
      <c r="AM374" s="3"/>
      <c r="AN374" s="3"/>
      <c r="AO374" s="3"/>
      <c r="AP374" s="3"/>
      <c r="AQ374" s="3"/>
      <c r="AR374" s="3"/>
      <c r="AS374" s="3"/>
      <c r="AT374" s="3"/>
      <c r="AU374" s="3"/>
      <c r="AV374" s="3"/>
      <c r="AW374" s="3"/>
      <c r="AX374" s="3"/>
      <c r="AY374" s="3"/>
      <c r="AZ374" s="3"/>
      <c r="BA374" s="3"/>
      <c r="BB374" s="3"/>
      <c r="BC374" s="3"/>
      <c r="BD374" s="3"/>
      <c r="BE374" s="3"/>
      <c r="BF374" s="3"/>
    </row>
    <row r="375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20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  <c r="AG375" s="3"/>
      <c r="AH375" s="3"/>
      <c r="AI375" s="3"/>
      <c r="AJ375" s="3"/>
      <c r="AK375" s="3"/>
      <c r="AL375" s="3"/>
      <c r="AM375" s="3"/>
      <c r="AN375" s="3"/>
      <c r="AO375" s="3"/>
      <c r="AP375" s="3"/>
      <c r="AQ375" s="3"/>
      <c r="AR375" s="3"/>
      <c r="AS375" s="3"/>
      <c r="AT375" s="3"/>
      <c r="AU375" s="3"/>
      <c r="AV375" s="3"/>
      <c r="AW375" s="3"/>
      <c r="AX375" s="3"/>
      <c r="AY375" s="3"/>
      <c r="AZ375" s="3"/>
      <c r="BA375" s="3"/>
      <c r="BB375" s="3"/>
      <c r="BC375" s="3"/>
      <c r="BD375" s="3"/>
      <c r="BE375" s="3"/>
      <c r="BF375" s="3"/>
    </row>
    <row r="37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20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  <c r="AG376" s="3"/>
      <c r="AH376" s="3"/>
      <c r="AI376" s="3"/>
      <c r="AJ376" s="3"/>
      <c r="AK376" s="3"/>
      <c r="AL376" s="3"/>
      <c r="AM376" s="3"/>
      <c r="AN376" s="3"/>
      <c r="AO376" s="3"/>
      <c r="AP376" s="3"/>
      <c r="AQ376" s="3"/>
      <c r="AR376" s="3"/>
      <c r="AS376" s="3"/>
      <c r="AT376" s="3"/>
      <c r="AU376" s="3"/>
      <c r="AV376" s="3"/>
      <c r="AW376" s="3"/>
      <c r="AX376" s="3"/>
      <c r="AY376" s="3"/>
      <c r="AZ376" s="3"/>
      <c r="BA376" s="3"/>
      <c r="BB376" s="3"/>
      <c r="BC376" s="3"/>
      <c r="BD376" s="3"/>
      <c r="BE376" s="3"/>
      <c r="BF376" s="3"/>
    </row>
    <row r="377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20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  <c r="AG377" s="3"/>
      <c r="AH377" s="3"/>
      <c r="AI377" s="3"/>
      <c r="AJ377" s="3"/>
      <c r="AK377" s="3"/>
      <c r="AL377" s="3"/>
      <c r="AM377" s="3"/>
      <c r="AN377" s="3"/>
      <c r="AO377" s="3"/>
      <c r="AP377" s="3"/>
      <c r="AQ377" s="3"/>
      <c r="AR377" s="3"/>
      <c r="AS377" s="3"/>
      <c r="AT377" s="3"/>
      <c r="AU377" s="3"/>
      <c r="AV377" s="3"/>
      <c r="AW377" s="3"/>
      <c r="AX377" s="3"/>
      <c r="AY377" s="3"/>
      <c r="AZ377" s="3"/>
      <c r="BA377" s="3"/>
      <c r="BB377" s="3"/>
      <c r="BC377" s="3"/>
      <c r="BD377" s="3"/>
      <c r="BE377" s="3"/>
      <c r="BF377" s="3"/>
    </row>
    <row r="378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20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  <c r="AG378" s="3"/>
      <c r="AH378" s="3"/>
      <c r="AI378" s="3"/>
      <c r="AJ378" s="3"/>
      <c r="AK378" s="3"/>
      <c r="AL378" s="3"/>
      <c r="AM378" s="3"/>
      <c r="AN378" s="3"/>
      <c r="AO378" s="3"/>
      <c r="AP378" s="3"/>
      <c r="AQ378" s="3"/>
      <c r="AR378" s="3"/>
      <c r="AS378" s="3"/>
      <c r="AT378" s="3"/>
      <c r="AU378" s="3"/>
      <c r="AV378" s="3"/>
      <c r="AW378" s="3"/>
      <c r="AX378" s="3"/>
      <c r="AY378" s="3"/>
      <c r="AZ378" s="3"/>
      <c r="BA378" s="3"/>
      <c r="BB378" s="3"/>
      <c r="BC378" s="3"/>
      <c r="BD378" s="3"/>
      <c r="BE378" s="3"/>
      <c r="BF378" s="3"/>
    </row>
    <row r="379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20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  <c r="AG379" s="3"/>
      <c r="AH379" s="3"/>
      <c r="AI379" s="3"/>
      <c r="AJ379" s="3"/>
      <c r="AK379" s="3"/>
      <c r="AL379" s="3"/>
      <c r="AM379" s="3"/>
      <c r="AN379" s="3"/>
      <c r="AO379" s="3"/>
      <c r="AP379" s="3"/>
      <c r="AQ379" s="3"/>
      <c r="AR379" s="3"/>
      <c r="AS379" s="3"/>
      <c r="AT379" s="3"/>
      <c r="AU379" s="3"/>
      <c r="AV379" s="3"/>
      <c r="AW379" s="3"/>
      <c r="AX379" s="3"/>
      <c r="AY379" s="3"/>
      <c r="AZ379" s="3"/>
      <c r="BA379" s="3"/>
      <c r="BB379" s="3"/>
      <c r="BC379" s="3"/>
      <c r="BD379" s="3"/>
      <c r="BE379" s="3"/>
      <c r="BF379" s="3"/>
    </row>
    <row r="380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20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  <c r="AG380" s="3"/>
      <c r="AH380" s="3"/>
      <c r="AI380" s="3"/>
      <c r="AJ380" s="3"/>
      <c r="AK380" s="3"/>
      <c r="AL380" s="3"/>
      <c r="AM380" s="3"/>
      <c r="AN380" s="3"/>
      <c r="AO380" s="3"/>
      <c r="AP380" s="3"/>
      <c r="AQ380" s="3"/>
      <c r="AR380" s="3"/>
      <c r="AS380" s="3"/>
      <c r="AT380" s="3"/>
      <c r="AU380" s="3"/>
      <c r="AV380" s="3"/>
      <c r="AW380" s="3"/>
      <c r="AX380" s="3"/>
      <c r="AY380" s="3"/>
      <c r="AZ380" s="3"/>
      <c r="BA380" s="3"/>
      <c r="BB380" s="3"/>
      <c r="BC380" s="3"/>
      <c r="BD380" s="3"/>
      <c r="BE380" s="3"/>
      <c r="BF380" s="3"/>
    </row>
    <row r="38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20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  <c r="AG381" s="3"/>
      <c r="AH381" s="3"/>
      <c r="AI381" s="3"/>
      <c r="AJ381" s="3"/>
      <c r="AK381" s="3"/>
      <c r="AL381" s="3"/>
      <c r="AM381" s="3"/>
      <c r="AN381" s="3"/>
      <c r="AO381" s="3"/>
      <c r="AP381" s="3"/>
      <c r="AQ381" s="3"/>
      <c r="AR381" s="3"/>
      <c r="AS381" s="3"/>
      <c r="AT381" s="3"/>
      <c r="AU381" s="3"/>
      <c r="AV381" s="3"/>
      <c r="AW381" s="3"/>
      <c r="AX381" s="3"/>
      <c r="AY381" s="3"/>
      <c r="AZ381" s="3"/>
      <c r="BA381" s="3"/>
      <c r="BB381" s="3"/>
      <c r="BC381" s="3"/>
      <c r="BD381" s="3"/>
      <c r="BE381" s="3"/>
      <c r="BF381" s="3"/>
    </row>
    <row r="382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20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  <c r="AG382" s="3"/>
      <c r="AH382" s="3"/>
      <c r="AI382" s="3"/>
      <c r="AJ382" s="3"/>
      <c r="AK382" s="3"/>
      <c r="AL382" s="3"/>
      <c r="AM382" s="3"/>
      <c r="AN382" s="3"/>
      <c r="AO382" s="3"/>
      <c r="AP382" s="3"/>
      <c r="AQ382" s="3"/>
      <c r="AR382" s="3"/>
      <c r="AS382" s="3"/>
      <c r="AT382" s="3"/>
      <c r="AU382" s="3"/>
      <c r="AV382" s="3"/>
      <c r="AW382" s="3"/>
      <c r="AX382" s="3"/>
      <c r="AY382" s="3"/>
      <c r="AZ382" s="3"/>
      <c r="BA382" s="3"/>
      <c r="BB382" s="3"/>
      <c r="BC382" s="3"/>
      <c r="BD382" s="3"/>
      <c r="BE382" s="3"/>
      <c r="BF382" s="3"/>
    </row>
    <row r="38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20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  <c r="AG383" s="3"/>
      <c r="AH383" s="3"/>
      <c r="AI383" s="3"/>
      <c r="AJ383" s="3"/>
      <c r="AK383" s="3"/>
      <c r="AL383" s="3"/>
      <c r="AM383" s="3"/>
      <c r="AN383" s="3"/>
      <c r="AO383" s="3"/>
      <c r="AP383" s="3"/>
      <c r="AQ383" s="3"/>
      <c r="AR383" s="3"/>
      <c r="AS383" s="3"/>
      <c r="AT383" s="3"/>
      <c r="AU383" s="3"/>
      <c r="AV383" s="3"/>
      <c r="AW383" s="3"/>
      <c r="AX383" s="3"/>
      <c r="AY383" s="3"/>
      <c r="AZ383" s="3"/>
      <c r="BA383" s="3"/>
      <c r="BB383" s="3"/>
      <c r="BC383" s="3"/>
      <c r="BD383" s="3"/>
      <c r="BE383" s="3"/>
      <c r="BF383" s="3"/>
    </row>
    <row r="384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20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  <c r="AG384" s="3"/>
      <c r="AH384" s="3"/>
      <c r="AI384" s="3"/>
      <c r="AJ384" s="3"/>
      <c r="AK384" s="3"/>
      <c r="AL384" s="3"/>
      <c r="AM384" s="3"/>
      <c r="AN384" s="3"/>
      <c r="AO384" s="3"/>
      <c r="AP384" s="3"/>
      <c r="AQ384" s="3"/>
      <c r="AR384" s="3"/>
      <c r="AS384" s="3"/>
      <c r="AT384" s="3"/>
      <c r="AU384" s="3"/>
      <c r="AV384" s="3"/>
      <c r="AW384" s="3"/>
      <c r="AX384" s="3"/>
      <c r="AY384" s="3"/>
      <c r="AZ384" s="3"/>
      <c r="BA384" s="3"/>
      <c r="BB384" s="3"/>
      <c r="BC384" s="3"/>
      <c r="BD384" s="3"/>
      <c r="BE384" s="3"/>
      <c r="BF384" s="3"/>
    </row>
    <row r="385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20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  <c r="AG385" s="3"/>
      <c r="AH385" s="3"/>
      <c r="AI385" s="3"/>
      <c r="AJ385" s="3"/>
      <c r="AK385" s="3"/>
      <c r="AL385" s="3"/>
      <c r="AM385" s="3"/>
      <c r="AN385" s="3"/>
      <c r="AO385" s="3"/>
      <c r="AP385" s="3"/>
      <c r="AQ385" s="3"/>
      <c r="AR385" s="3"/>
      <c r="AS385" s="3"/>
      <c r="AT385" s="3"/>
      <c r="AU385" s="3"/>
      <c r="AV385" s="3"/>
      <c r="AW385" s="3"/>
      <c r="AX385" s="3"/>
      <c r="AY385" s="3"/>
      <c r="AZ385" s="3"/>
      <c r="BA385" s="3"/>
      <c r="BB385" s="3"/>
      <c r="BC385" s="3"/>
      <c r="BD385" s="3"/>
      <c r="BE385" s="3"/>
      <c r="BF385" s="3"/>
    </row>
    <row r="38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20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  <c r="AG386" s="3"/>
      <c r="AH386" s="3"/>
      <c r="AI386" s="3"/>
      <c r="AJ386" s="3"/>
      <c r="AK386" s="3"/>
      <c r="AL386" s="3"/>
      <c r="AM386" s="3"/>
      <c r="AN386" s="3"/>
      <c r="AO386" s="3"/>
      <c r="AP386" s="3"/>
      <c r="AQ386" s="3"/>
      <c r="AR386" s="3"/>
      <c r="AS386" s="3"/>
      <c r="AT386" s="3"/>
      <c r="AU386" s="3"/>
      <c r="AV386" s="3"/>
      <c r="AW386" s="3"/>
      <c r="AX386" s="3"/>
      <c r="AY386" s="3"/>
      <c r="AZ386" s="3"/>
      <c r="BA386" s="3"/>
      <c r="BB386" s="3"/>
      <c r="BC386" s="3"/>
      <c r="BD386" s="3"/>
      <c r="BE386" s="3"/>
      <c r="BF386" s="3"/>
    </row>
    <row r="387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20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  <c r="AG387" s="3"/>
      <c r="AH387" s="3"/>
      <c r="AI387" s="3"/>
      <c r="AJ387" s="3"/>
      <c r="AK387" s="3"/>
      <c r="AL387" s="3"/>
      <c r="AM387" s="3"/>
      <c r="AN387" s="3"/>
      <c r="AO387" s="3"/>
      <c r="AP387" s="3"/>
      <c r="AQ387" s="3"/>
      <c r="AR387" s="3"/>
      <c r="AS387" s="3"/>
      <c r="AT387" s="3"/>
      <c r="AU387" s="3"/>
      <c r="AV387" s="3"/>
      <c r="AW387" s="3"/>
      <c r="AX387" s="3"/>
      <c r="AY387" s="3"/>
      <c r="AZ387" s="3"/>
      <c r="BA387" s="3"/>
      <c r="BB387" s="3"/>
      <c r="BC387" s="3"/>
      <c r="BD387" s="3"/>
      <c r="BE387" s="3"/>
      <c r="BF387" s="3"/>
    </row>
    <row r="388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20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  <c r="AG388" s="3"/>
      <c r="AH388" s="3"/>
      <c r="AI388" s="3"/>
      <c r="AJ388" s="3"/>
      <c r="AK388" s="3"/>
      <c r="AL388" s="3"/>
      <c r="AM388" s="3"/>
      <c r="AN388" s="3"/>
      <c r="AO388" s="3"/>
      <c r="AP388" s="3"/>
      <c r="AQ388" s="3"/>
      <c r="AR388" s="3"/>
      <c r="AS388" s="3"/>
      <c r="AT388" s="3"/>
      <c r="AU388" s="3"/>
      <c r="AV388" s="3"/>
      <c r="AW388" s="3"/>
      <c r="AX388" s="3"/>
      <c r="AY388" s="3"/>
      <c r="AZ388" s="3"/>
      <c r="BA388" s="3"/>
      <c r="BB388" s="3"/>
      <c r="BC388" s="3"/>
      <c r="BD388" s="3"/>
      <c r="BE388" s="3"/>
      <c r="BF388" s="3"/>
    </row>
    <row r="389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20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  <c r="AG389" s="3"/>
      <c r="AH389" s="3"/>
      <c r="AI389" s="3"/>
      <c r="AJ389" s="3"/>
      <c r="AK389" s="3"/>
      <c r="AL389" s="3"/>
      <c r="AM389" s="3"/>
      <c r="AN389" s="3"/>
      <c r="AO389" s="3"/>
      <c r="AP389" s="3"/>
      <c r="AQ389" s="3"/>
      <c r="AR389" s="3"/>
      <c r="AS389" s="3"/>
      <c r="AT389" s="3"/>
      <c r="AU389" s="3"/>
      <c r="AV389" s="3"/>
      <c r="AW389" s="3"/>
      <c r="AX389" s="3"/>
      <c r="AY389" s="3"/>
      <c r="AZ389" s="3"/>
      <c r="BA389" s="3"/>
      <c r="BB389" s="3"/>
      <c r="BC389" s="3"/>
      <c r="BD389" s="3"/>
      <c r="BE389" s="3"/>
      <c r="BF389" s="3"/>
    </row>
    <row r="390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20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  <c r="AG390" s="3"/>
      <c r="AH390" s="3"/>
      <c r="AI390" s="3"/>
      <c r="AJ390" s="3"/>
      <c r="AK390" s="3"/>
      <c r="AL390" s="3"/>
      <c r="AM390" s="3"/>
      <c r="AN390" s="3"/>
      <c r="AO390" s="3"/>
      <c r="AP390" s="3"/>
      <c r="AQ390" s="3"/>
      <c r="AR390" s="3"/>
      <c r="AS390" s="3"/>
      <c r="AT390" s="3"/>
      <c r="AU390" s="3"/>
      <c r="AV390" s="3"/>
      <c r="AW390" s="3"/>
      <c r="AX390" s="3"/>
      <c r="AY390" s="3"/>
      <c r="AZ390" s="3"/>
      <c r="BA390" s="3"/>
      <c r="BB390" s="3"/>
      <c r="BC390" s="3"/>
      <c r="BD390" s="3"/>
      <c r="BE390" s="3"/>
      <c r="BF390" s="3"/>
    </row>
    <row r="39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20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  <c r="AG391" s="3"/>
      <c r="AH391" s="3"/>
      <c r="AI391" s="3"/>
      <c r="AJ391" s="3"/>
      <c r="AK391" s="3"/>
      <c r="AL391" s="3"/>
      <c r="AM391" s="3"/>
      <c r="AN391" s="3"/>
      <c r="AO391" s="3"/>
      <c r="AP391" s="3"/>
      <c r="AQ391" s="3"/>
      <c r="AR391" s="3"/>
      <c r="AS391" s="3"/>
      <c r="AT391" s="3"/>
      <c r="AU391" s="3"/>
      <c r="AV391" s="3"/>
      <c r="AW391" s="3"/>
      <c r="AX391" s="3"/>
      <c r="AY391" s="3"/>
      <c r="AZ391" s="3"/>
      <c r="BA391" s="3"/>
      <c r="BB391" s="3"/>
      <c r="BC391" s="3"/>
      <c r="BD391" s="3"/>
      <c r="BE391" s="3"/>
      <c r="BF391" s="3"/>
    </row>
    <row r="392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20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  <c r="AG392" s="3"/>
      <c r="AH392" s="3"/>
      <c r="AI392" s="3"/>
      <c r="AJ392" s="3"/>
      <c r="AK392" s="3"/>
      <c r="AL392" s="3"/>
      <c r="AM392" s="3"/>
      <c r="AN392" s="3"/>
      <c r="AO392" s="3"/>
      <c r="AP392" s="3"/>
      <c r="AQ392" s="3"/>
      <c r="AR392" s="3"/>
      <c r="AS392" s="3"/>
      <c r="AT392" s="3"/>
      <c r="AU392" s="3"/>
      <c r="AV392" s="3"/>
      <c r="AW392" s="3"/>
      <c r="AX392" s="3"/>
      <c r="AY392" s="3"/>
      <c r="AZ392" s="3"/>
      <c r="BA392" s="3"/>
      <c r="BB392" s="3"/>
      <c r="BC392" s="3"/>
      <c r="BD392" s="3"/>
      <c r="BE392" s="3"/>
      <c r="BF392" s="3"/>
    </row>
    <row r="39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20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  <c r="AG393" s="3"/>
      <c r="AH393" s="3"/>
      <c r="AI393" s="3"/>
      <c r="AJ393" s="3"/>
      <c r="AK393" s="3"/>
      <c r="AL393" s="3"/>
      <c r="AM393" s="3"/>
      <c r="AN393" s="3"/>
      <c r="AO393" s="3"/>
      <c r="AP393" s="3"/>
      <c r="AQ393" s="3"/>
      <c r="AR393" s="3"/>
      <c r="AS393" s="3"/>
      <c r="AT393" s="3"/>
      <c r="AU393" s="3"/>
      <c r="AV393" s="3"/>
      <c r="AW393" s="3"/>
      <c r="AX393" s="3"/>
      <c r="AY393" s="3"/>
      <c r="AZ393" s="3"/>
      <c r="BA393" s="3"/>
      <c r="BB393" s="3"/>
      <c r="BC393" s="3"/>
      <c r="BD393" s="3"/>
      <c r="BE393" s="3"/>
      <c r="BF393" s="3"/>
    </row>
    <row r="394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20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  <c r="AG394" s="3"/>
      <c r="AH394" s="3"/>
      <c r="AI394" s="3"/>
      <c r="AJ394" s="3"/>
      <c r="AK394" s="3"/>
      <c r="AL394" s="3"/>
      <c r="AM394" s="3"/>
      <c r="AN394" s="3"/>
      <c r="AO394" s="3"/>
      <c r="AP394" s="3"/>
      <c r="AQ394" s="3"/>
      <c r="AR394" s="3"/>
      <c r="AS394" s="3"/>
      <c r="AT394" s="3"/>
      <c r="AU394" s="3"/>
      <c r="AV394" s="3"/>
      <c r="AW394" s="3"/>
      <c r="AX394" s="3"/>
      <c r="AY394" s="3"/>
      <c r="AZ394" s="3"/>
      <c r="BA394" s="3"/>
      <c r="BB394" s="3"/>
      <c r="BC394" s="3"/>
      <c r="BD394" s="3"/>
      <c r="BE394" s="3"/>
      <c r="BF394" s="3"/>
    </row>
    <row r="395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20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  <c r="AG395" s="3"/>
      <c r="AH395" s="3"/>
      <c r="AI395" s="3"/>
      <c r="AJ395" s="3"/>
      <c r="AK395" s="3"/>
      <c r="AL395" s="3"/>
      <c r="AM395" s="3"/>
      <c r="AN395" s="3"/>
      <c r="AO395" s="3"/>
      <c r="AP395" s="3"/>
      <c r="AQ395" s="3"/>
      <c r="AR395" s="3"/>
      <c r="AS395" s="3"/>
      <c r="AT395" s="3"/>
      <c r="AU395" s="3"/>
      <c r="AV395" s="3"/>
      <c r="AW395" s="3"/>
      <c r="AX395" s="3"/>
      <c r="AY395" s="3"/>
      <c r="AZ395" s="3"/>
      <c r="BA395" s="3"/>
      <c r="BB395" s="3"/>
      <c r="BC395" s="3"/>
      <c r="BD395" s="3"/>
      <c r="BE395" s="3"/>
      <c r="BF395" s="3"/>
    </row>
    <row r="39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20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  <c r="AG396" s="3"/>
      <c r="AH396" s="3"/>
      <c r="AI396" s="3"/>
      <c r="AJ396" s="3"/>
      <c r="AK396" s="3"/>
      <c r="AL396" s="3"/>
      <c r="AM396" s="3"/>
      <c r="AN396" s="3"/>
      <c r="AO396" s="3"/>
      <c r="AP396" s="3"/>
      <c r="AQ396" s="3"/>
      <c r="AR396" s="3"/>
      <c r="AS396" s="3"/>
      <c r="AT396" s="3"/>
      <c r="AU396" s="3"/>
      <c r="AV396" s="3"/>
      <c r="AW396" s="3"/>
      <c r="AX396" s="3"/>
      <c r="AY396" s="3"/>
      <c r="AZ396" s="3"/>
      <c r="BA396" s="3"/>
      <c r="BB396" s="3"/>
      <c r="BC396" s="3"/>
      <c r="BD396" s="3"/>
      <c r="BE396" s="3"/>
      <c r="BF396" s="3"/>
    </row>
    <row r="397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20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  <c r="AG397" s="3"/>
      <c r="AH397" s="3"/>
      <c r="AI397" s="3"/>
      <c r="AJ397" s="3"/>
      <c r="AK397" s="3"/>
      <c r="AL397" s="3"/>
      <c r="AM397" s="3"/>
      <c r="AN397" s="3"/>
      <c r="AO397" s="3"/>
      <c r="AP397" s="3"/>
      <c r="AQ397" s="3"/>
      <c r="AR397" s="3"/>
      <c r="AS397" s="3"/>
      <c r="AT397" s="3"/>
      <c r="AU397" s="3"/>
      <c r="AV397" s="3"/>
      <c r="AW397" s="3"/>
      <c r="AX397" s="3"/>
      <c r="AY397" s="3"/>
      <c r="AZ397" s="3"/>
      <c r="BA397" s="3"/>
      <c r="BB397" s="3"/>
      <c r="BC397" s="3"/>
      <c r="BD397" s="3"/>
      <c r="BE397" s="3"/>
      <c r="BF397" s="3"/>
    </row>
    <row r="398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20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  <c r="AG398" s="3"/>
      <c r="AH398" s="3"/>
      <c r="AI398" s="3"/>
      <c r="AJ398" s="3"/>
      <c r="AK398" s="3"/>
      <c r="AL398" s="3"/>
      <c r="AM398" s="3"/>
      <c r="AN398" s="3"/>
      <c r="AO398" s="3"/>
      <c r="AP398" s="3"/>
      <c r="AQ398" s="3"/>
      <c r="AR398" s="3"/>
      <c r="AS398" s="3"/>
      <c r="AT398" s="3"/>
      <c r="AU398" s="3"/>
      <c r="AV398" s="3"/>
      <c r="AW398" s="3"/>
      <c r="AX398" s="3"/>
      <c r="AY398" s="3"/>
      <c r="AZ398" s="3"/>
      <c r="BA398" s="3"/>
      <c r="BB398" s="3"/>
      <c r="BC398" s="3"/>
      <c r="BD398" s="3"/>
      <c r="BE398" s="3"/>
      <c r="BF398" s="3"/>
    </row>
    <row r="399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20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  <c r="AG399" s="3"/>
      <c r="AH399" s="3"/>
      <c r="AI399" s="3"/>
      <c r="AJ399" s="3"/>
      <c r="AK399" s="3"/>
      <c r="AL399" s="3"/>
      <c r="AM399" s="3"/>
      <c r="AN399" s="3"/>
      <c r="AO399" s="3"/>
      <c r="AP399" s="3"/>
      <c r="AQ399" s="3"/>
      <c r="AR399" s="3"/>
      <c r="AS399" s="3"/>
      <c r="AT399" s="3"/>
      <c r="AU399" s="3"/>
      <c r="AV399" s="3"/>
      <c r="AW399" s="3"/>
      <c r="AX399" s="3"/>
      <c r="AY399" s="3"/>
      <c r="AZ399" s="3"/>
      <c r="BA399" s="3"/>
      <c r="BB399" s="3"/>
      <c r="BC399" s="3"/>
      <c r="BD399" s="3"/>
      <c r="BE399" s="3"/>
      <c r="BF399" s="3"/>
    </row>
    <row r="400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20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  <c r="AG400" s="3"/>
      <c r="AH400" s="3"/>
      <c r="AI400" s="3"/>
      <c r="AJ400" s="3"/>
      <c r="AK400" s="3"/>
      <c r="AL400" s="3"/>
      <c r="AM400" s="3"/>
      <c r="AN400" s="3"/>
      <c r="AO400" s="3"/>
      <c r="AP400" s="3"/>
      <c r="AQ400" s="3"/>
      <c r="AR400" s="3"/>
      <c r="AS400" s="3"/>
      <c r="AT400" s="3"/>
      <c r="AU400" s="3"/>
      <c r="AV400" s="3"/>
      <c r="AW400" s="3"/>
      <c r="AX400" s="3"/>
      <c r="AY400" s="3"/>
      <c r="AZ400" s="3"/>
      <c r="BA400" s="3"/>
      <c r="BB400" s="3"/>
      <c r="BC400" s="3"/>
      <c r="BD400" s="3"/>
      <c r="BE400" s="3"/>
      <c r="BF400" s="3"/>
    </row>
    <row r="40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20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  <c r="AG401" s="3"/>
      <c r="AH401" s="3"/>
      <c r="AI401" s="3"/>
      <c r="AJ401" s="3"/>
      <c r="AK401" s="3"/>
      <c r="AL401" s="3"/>
      <c r="AM401" s="3"/>
      <c r="AN401" s="3"/>
      <c r="AO401" s="3"/>
      <c r="AP401" s="3"/>
      <c r="AQ401" s="3"/>
      <c r="AR401" s="3"/>
      <c r="AS401" s="3"/>
      <c r="AT401" s="3"/>
      <c r="AU401" s="3"/>
      <c r="AV401" s="3"/>
      <c r="AW401" s="3"/>
      <c r="AX401" s="3"/>
      <c r="AY401" s="3"/>
      <c r="AZ401" s="3"/>
      <c r="BA401" s="3"/>
      <c r="BB401" s="3"/>
      <c r="BC401" s="3"/>
      <c r="BD401" s="3"/>
      <c r="BE401" s="3"/>
      <c r="BF401" s="3"/>
    </row>
    <row r="402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20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  <c r="AG402" s="3"/>
      <c r="AH402" s="3"/>
      <c r="AI402" s="3"/>
      <c r="AJ402" s="3"/>
      <c r="AK402" s="3"/>
      <c r="AL402" s="3"/>
      <c r="AM402" s="3"/>
      <c r="AN402" s="3"/>
      <c r="AO402" s="3"/>
      <c r="AP402" s="3"/>
      <c r="AQ402" s="3"/>
      <c r="AR402" s="3"/>
      <c r="AS402" s="3"/>
      <c r="AT402" s="3"/>
      <c r="AU402" s="3"/>
      <c r="AV402" s="3"/>
      <c r="AW402" s="3"/>
      <c r="AX402" s="3"/>
      <c r="AY402" s="3"/>
      <c r="AZ402" s="3"/>
      <c r="BA402" s="3"/>
      <c r="BB402" s="3"/>
      <c r="BC402" s="3"/>
      <c r="BD402" s="3"/>
      <c r="BE402" s="3"/>
      <c r="BF402" s="3"/>
    </row>
    <row r="40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20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  <c r="AG403" s="3"/>
      <c r="AH403" s="3"/>
      <c r="AI403" s="3"/>
      <c r="AJ403" s="3"/>
      <c r="AK403" s="3"/>
      <c r="AL403" s="3"/>
      <c r="AM403" s="3"/>
      <c r="AN403" s="3"/>
      <c r="AO403" s="3"/>
      <c r="AP403" s="3"/>
      <c r="AQ403" s="3"/>
      <c r="AR403" s="3"/>
      <c r="AS403" s="3"/>
      <c r="AT403" s="3"/>
      <c r="AU403" s="3"/>
      <c r="AV403" s="3"/>
      <c r="AW403" s="3"/>
      <c r="AX403" s="3"/>
      <c r="AY403" s="3"/>
      <c r="AZ403" s="3"/>
      <c r="BA403" s="3"/>
      <c r="BB403" s="3"/>
      <c r="BC403" s="3"/>
      <c r="BD403" s="3"/>
      <c r="BE403" s="3"/>
      <c r="BF403" s="3"/>
    </row>
    <row r="404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20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  <c r="AG404" s="3"/>
      <c r="AH404" s="3"/>
      <c r="AI404" s="3"/>
      <c r="AJ404" s="3"/>
      <c r="AK404" s="3"/>
      <c r="AL404" s="3"/>
      <c r="AM404" s="3"/>
      <c r="AN404" s="3"/>
      <c r="AO404" s="3"/>
      <c r="AP404" s="3"/>
      <c r="AQ404" s="3"/>
      <c r="AR404" s="3"/>
      <c r="AS404" s="3"/>
      <c r="AT404" s="3"/>
      <c r="AU404" s="3"/>
      <c r="AV404" s="3"/>
      <c r="AW404" s="3"/>
      <c r="AX404" s="3"/>
      <c r="AY404" s="3"/>
      <c r="AZ404" s="3"/>
      <c r="BA404" s="3"/>
      <c r="BB404" s="3"/>
      <c r="BC404" s="3"/>
      <c r="BD404" s="3"/>
      <c r="BE404" s="3"/>
      <c r="BF404" s="3"/>
    </row>
    <row r="405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20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  <c r="AG405" s="3"/>
      <c r="AH405" s="3"/>
      <c r="AI405" s="3"/>
      <c r="AJ405" s="3"/>
      <c r="AK405" s="3"/>
      <c r="AL405" s="3"/>
      <c r="AM405" s="3"/>
      <c r="AN405" s="3"/>
      <c r="AO405" s="3"/>
      <c r="AP405" s="3"/>
      <c r="AQ405" s="3"/>
      <c r="AR405" s="3"/>
      <c r="AS405" s="3"/>
      <c r="AT405" s="3"/>
      <c r="AU405" s="3"/>
      <c r="AV405" s="3"/>
      <c r="AW405" s="3"/>
      <c r="AX405" s="3"/>
      <c r="AY405" s="3"/>
      <c r="AZ405" s="3"/>
      <c r="BA405" s="3"/>
      <c r="BB405" s="3"/>
      <c r="BC405" s="3"/>
      <c r="BD405" s="3"/>
      <c r="BE405" s="3"/>
      <c r="BF405" s="3"/>
    </row>
    <row r="40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20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  <c r="AG406" s="3"/>
      <c r="AH406" s="3"/>
      <c r="AI406" s="3"/>
      <c r="AJ406" s="3"/>
      <c r="AK406" s="3"/>
      <c r="AL406" s="3"/>
      <c r="AM406" s="3"/>
      <c r="AN406" s="3"/>
      <c r="AO406" s="3"/>
      <c r="AP406" s="3"/>
      <c r="AQ406" s="3"/>
      <c r="AR406" s="3"/>
      <c r="AS406" s="3"/>
      <c r="AT406" s="3"/>
      <c r="AU406" s="3"/>
      <c r="AV406" s="3"/>
      <c r="AW406" s="3"/>
      <c r="AX406" s="3"/>
      <c r="AY406" s="3"/>
      <c r="AZ406" s="3"/>
      <c r="BA406" s="3"/>
      <c r="BB406" s="3"/>
      <c r="BC406" s="3"/>
      <c r="BD406" s="3"/>
      <c r="BE406" s="3"/>
      <c r="BF406" s="3"/>
    </row>
    <row r="407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20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  <c r="AG407" s="3"/>
      <c r="AH407" s="3"/>
      <c r="AI407" s="3"/>
      <c r="AJ407" s="3"/>
      <c r="AK407" s="3"/>
      <c r="AL407" s="3"/>
      <c r="AM407" s="3"/>
      <c r="AN407" s="3"/>
      <c r="AO407" s="3"/>
      <c r="AP407" s="3"/>
      <c r="AQ407" s="3"/>
      <c r="AR407" s="3"/>
      <c r="AS407" s="3"/>
      <c r="AT407" s="3"/>
      <c r="AU407" s="3"/>
      <c r="AV407" s="3"/>
      <c r="AW407" s="3"/>
      <c r="AX407" s="3"/>
      <c r="AY407" s="3"/>
      <c r="AZ407" s="3"/>
      <c r="BA407" s="3"/>
      <c r="BB407" s="3"/>
      <c r="BC407" s="3"/>
      <c r="BD407" s="3"/>
      <c r="BE407" s="3"/>
      <c r="BF407" s="3"/>
    </row>
    <row r="408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20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  <c r="AG408" s="3"/>
      <c r="AH408" s="3"/>
      <c r="AI408" s="3"/>
      <c r="AJ408" s="3"/>
      <c r="AK408" s="3"/>
      <c r="AL408" s="3"/>
      <c r="AM408" s="3"/>
      <c r="AN408" s="3"/>
      <c r="AO408" s="3"/>
      <c r="AP408" s="3"/>
      <c r="AQ408" s="3"/>
      <c r="AR408" s="3"/>
      <c r="AS408" s="3"/>
      <c r="AT408" s="3"/>
      <c r="AU408" s="3"/>
      <c r="AV408" s="3"/>
      <c r="AW408" s="3"/>
      <c r="AX408" s="3"/>
      <c r="AY408" s="3"/>
      <c r="AZ408" s="3"/>
      <c r="BA408" s="3"/>
      <c r="BB408" s="3"/>
      <c r="BC408" s="3"/>
      <c r="BD408" s="3"/>
      <c r="BE408" s="3"/>
      <c r="BF408" s="3"/>
    </row>
    <row r="409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20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  <c r="AG409" s="3"/>
      <c r="AH409" s="3"/>
      <c r="AI409" s="3"/>
      <c r="AJ409" s="3"/>
      <c r="AK409" s="3"/>
      <c r="AL409" s="3"/>
      <c r="AM409" s="3"/>
      <c r="AN409" s="3"/>
      <c r="AO409" s="3"/>
      <c r="AP409" s="3"/>
      <c r="AQ409" s="3"/>
      <c r="AR409" s="3"/>
      <c r="AS409" s="3"/>
      <c r="AT409" s="3"/>
      <c r="AU409" s="3"/>
      <c r="AV409" s="3"/>
      <c r="AW409" s="3"/>
      <c r="AX409" s="3"/>
      <c r="AY409" s="3"/>
      <c r="AZ409" s="3"/>
      <c r="BA409" s="3"/>
      <c r="BB409" s="3"/>
      <c r="BC409" s="3"/>
      <c r="BD409" s="3"/>
      <c r="BE409" s="3"/>
      <c r="BF409" s="3"/>
    </row>
    <row r="410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20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  <c r="AG410" s="3"/>
      <c r="AH410" s="3"/>
      <c r="AI410" s="3"/>
      <c r="AJ410" s="3"/>
      <c r="AK410" s="3"/>
      <c r="AL410" s="3"/>
      <c r="AM410" s="3"/>
      <c r="AN410" s="3"/>
      <c r="AO410" s="3"/>
      <c r="AP410" s="3"/>
      <c r="AQ410" s="3"/>
      <c r="AR410" s="3"/>
      <c r="AS410" s="3"/>
      <c r="AT410" s="3"/>
      <c r="AU410" s="3"/>
      <c r="AV410" s="3"/>
      <c r="AW410" s="3"/>
      <c r="AX410" s="3"/>
      <c r="AY410" s="3"/>
      <c r="AZ410" s="3"/>
      <c r="BA410" s="3"/>
      <c r="BB410" s="3"/>
      <c r="BC410" s="3"/>
      <c r="BD410" s="3"/>
      <c r="BE410" s="3"/>
      <c r="BF410" s="3"/>
    </row>
    <row r="41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20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  <c r="AG411" s="3"/>
      <c r="AH411" s="3"/>
      <c r="AI411" s="3"/>
      <c r="AJ411" s="3"/>
      <c r="AK411" s="3"/>
      <c r="AL411" s="3"/>
      <c r="AM411" s="3"/>
      <c r="AN411" s="3"/>
      <c r="AO411" s="3"/>
      <c r="AP411" s="3"/>
      <c r="AQ411" s="3"/>
      <c r="AR411" s="3"/>
      <c r="AS411" s="3"/>
      <c r="AT411" s="3"/>
      <c r="AU411" s="3"/>
      <c r="AV411" s="3"/>
      <c r="AW411" s="3"/>
      <c r="AX411" s="3"/>
      <c r="AY411" s="3"/>
      <c r="AZ411" s="3"/>
      <c r="BA411" s="3"/>
      <c r="BB411" s="3"/>
      <c r="BC411" s="3"/>
      <c r="BD411" s="3"/>
      <c r="BE411" s="3"/>
      <c r="BF411" s="3"/>
    </row>
    <row r="412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20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  <c r="AG412" s="3"/>
      <c r="AH412" s="3"/>
      <c r="AI412" s="3"/>
      <c r="AJ412" s="3"/>
      <c r="AK412" s="3"/>
      <c r="AL412" s="3"/>
      <c r="AM412" s="3"/>
      <c r="AN412" s="3"/>
      <c r="AO412" s="3"/>
      <c r="AP412" s="3"/>
      <c r="AQ412" s="3"/>
      <c r="AR412" s="3"/>
      <c r="AS412" s="3"/>
      <c r="AT412" s="3"/>
      <c r="AU412" s="3"/>
      <c r="AV412" s="3"/>
      <c r="AW412" s="3"/>
      <c r="AX412" s="3"/>
      <c r="AY412" s="3"/>
      <c r="AZ412" s="3"/>
      <c r="BA412" s="3"/>
      <c r="BB412" s="3"/>
      <c r="BC412" s="3"/>
      <c r="BD412" s="3"/>
      <c r="BE412" s="3"/>
      <c r="BF412" s="3"/>
    </row>
    <row r="41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20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  <c r="AG413" s="3"/>
      <c r="AH413" s="3"/>
      <c r="AI413" s="3"/>
      <c r="AJ413" s="3"/>
      <c r="AK413" s="3"/>
      <c r="AL413" s="3"/>
      <c r="AM413" s="3"/>
      <c r="AN413" s="3"/>
      <c r="AO413" s="3"/>
      <c r="AP413" s="3"/>
      <c r="AQ413" s="3"/>
      <c r="AR413" s="3"/>
      <c r="AS413" s="3"/>
      <c r="AT413" s="3"/>
      <c r="AU413" s="3"/>
      <c r="AV413" s="3"/>
      <c r="AW413" s="3"/>
      <c r="AX413" s="3"/>
      <c r="AY413" s="3"/>
      <c r="AZ413" s="3"/>
      <c r="BA413" s="3"/>
      <c r="BB413" s="3"/>
      <c r="BC413" s="3"/>
      <c r="BD413" s="3"/>
      <c r="BE413" s="3"/>
      <c r="BF413" s="3"/>
    </row>
    <row r="414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20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  <c r="AG414" s="3"/>
      <c r="AH414" s="3"/>
      <c r="AI414" s="3"/>
      <c r="AJ414" s="3"/>
      <c r="AK414" s="3"/>
      <c r="AL414" s="3"/>
      <c r="AM414" s="3"/>
      <c r="AN414" s="3"/>
      <c r="AO414" s="3"/>
      <c r="AP414" s="3"/>
      <c r="AQ414" s="3"/>
      <c r="AR414" s="3"/>
      <c r="AS414" s="3"/>
      <c r="AT414" s="3"/>
      <c r="AU414" s="3"/>
      <c r="AV414" s="3"/>
      <c r="AW414" s="3"/>
      <c r="AX414" s="3"/>
      <c r="AY414" s="3"/>
      <c r="AZ414" s="3"/>
      <c r="BA414" s="3"/>
      <c r="BB414" s="3"/>
      <c r="BC414" s="3"/>
      <c r="BD414" s="3"/>
      <c r="BE414" s="3"/>
      <c r="BF414" s="3"/>
    </row>
    <row r="415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20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  <c r="AG415" s="3"/>
      <c r="AH415" s="3"/>
      <c r="AI415" s="3"/>
      <c r="AJ415" s="3"/>
      <c r="AK415" s="3"/>
      <c r="AL415" s="3"/>
      <c r="AM415" s="3"/>
      <c r="AN415" s="3"/>
      <c r="AO415" s="3"/>
      <c r="AP415" s="3"/>
      <c r="AQ415" s="3"/>
      <c r="AR415" s="3"/>
      <c r="AS415" s="3"/>
      <c r="AT415" s="3"/>
      <c r="AU415" s="3"/>
      <c r="AV415" s="3"/>
      <c r="AW415" s="3"/>
      <c r="AX415" s="3"/>
      <c r="AY415" s="3"/>
      <c r="AZ415" s="3"/>
      <c r="BA415" s="3"/>
      <c r="BB415" s="3"/>
      <c r="BC415" s="3"/>
      <c r="BD415" s="3"/>
      <c r="BE415" s="3"/>
      <c r="BF415" s="3"/>
    </row>
    <row r="41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20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  <c r="AG416" s="3"/>
      <c r="AH416" s="3"/>
      <c r="AI416" s="3"/>
      <c r="AJ416" s="3"/>
      <c r="AK416" s="3"/>
      <c r="AL416" s="3"/>
      <c r="AM416" s="3"/>
      <c r="AN416" s="3"/>
      <c r="AO416" s="3"/>
      <c r="AP416" s="3"/>
      <c r="AQ416" s="3"/>
      <c r="AR416" s="3"/>
      <c r="AS416" s="3"/>
      <c r="AT416" s="3"/>
      <c r="AU416" s="3"/>
      <c r="AV416" s="3"/>
      <c r="AW416" s="3"/>
      <c r="AX416" s="3"/>
      <c r="AY416" s="3"/>
      <c r="AZ416" s="3"/>
      <c r="BA416" s="3"/>
      <c r="BB416" s="3"/>
      <c r="BC416" s="3"/>
      <c r="BD416" s="3"/>
      <c r="BE416" s="3"/>
      <c r="BF416" s="3"/>
    </row>
    <row r="417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20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  <c r="AG417" s="3"/>
      <c r="AH417" s="3"/>
      <c r="AI417" s="3"/>
      <c r="AJ417" s="3"/>
      <c r="AK417" s="3"/>
      <c r="AL417" s="3"/>
      <c r="AM417" s="3"/>
      <c r="AN417" s="3"/>
      <c r="AO417" s="3"/>
      <c r="AP417" s="3"/>
      <c r="AQ417" s="3"/>
      <c r="AR417" s="3"/>
      <c r="AS417" s="3"/>
      <c r="AT417" s="3"/>
      <c r="AU417" s="3"/>
      <c r="AV417" s="3"/>
      <c r="AW417" s="3"/>
      <c r="AX417" s="3"/>
      <c r="AY417" s="3"/>
      <c r="AZ417" s="3"/>
      <c r="BA417" s="3"/>
      <c r="BB417" s="3"/>
      <c r="BC417" s="3"/>
      <c r="BD417" s="3"/>
      <c r="BE417" s="3"/>
      <c r="BF417" s="3"/>
    </row>
    <row r="418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20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  <c r="AG418" s="3"/>
      <c r="AH418" s="3"/>
      <c r="AI418" s="3"/>
      <c r="AJ418" s="3"/>
      <c r="AK418" s="3"/>
      <c r="AL418" s="3"/>
      <c r="AM418" s="3"/>
      <c r="AN418" s="3"/>
      <c r="AO418" s="3"/>
      <c r="AP418" s="3"/>
      <c r="AQ418" s="3"/>
      <c r="AR418" s="3"/>
      <c r="AS418" s="3"/>
      <c r="AT418" s="3"/>
      <c r="AU418" s="3"/>
      <c r="AV418" s="3"/>
      <c r="AW418" s="3"/>
      <c r="AX418" s="3"/>
      <c r="AY418" s="3"/>
      <c r="AZ418" s="3"/>
      <c r="BA418" s="3"/>
      <c r="BB418" s="3"/>
      <c r="BC418" s="3"/>
      <c r="BD418" s="3"/>
      <c r="BE418" s="3"/>
      <c r="BF418" s="3"/>
    </row>
    <row r="419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20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  <c r="AG419" s="3"/>
      <c r="AH419" s="3"/>
      <c r="AI419" s="3"/>
      <c r="AJ419" s="3"/>
      <c r="AK419" s="3"/>
      <c r="AL419" s="3"/>
      <c r="AM419" s="3"/>
      <c r="AN419" s="3"/>
      <c r="AO419" s="3"/>
      <c r="AP419" s="3"/>
      <c r="AQ419" s="3"/>
      <c r="AR419" s="3"/>
      <c r="AS419" s="3"/>
      <c r="AT419" s="3"/>
      <c r="AU419" s="3"/>
      <c r="AV419" s="3"/>
      <c r="AW419" s="3"/>
      <c r="AX419" s="3"/>
      <c r="AY419" s="3"/>
      <c r="AZ419" s="3"/>
      <c r="BA419" s="3"/>
      <c r="BB419" s="3"/>
      <c r="BC419" s="3"/>
      <c r="BD419" s="3"/>
      <c r="BE419" s="3"/>
      <c r="BF419" s="3"/>
    </row>
    <row r="420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20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  <c r="AG420" s="3"/>
      <c r="AH420" s="3"/>
      <c r="AI420" s="3"/>
      <c r="AJ420" s="3"/>
      <c r="AK420" s="3"/>
      <c r="AL420" s="3"/>
      <c r="AM420" s="3"/>
      <c r="AN420" s="3"/>
      <c r="AO420" s="3"/>
      <c r="AP420" s="3"/>
      <c r="AQ420" s="3"/>
      <c r="AR420" s="3"/>
      <c r="AS420" s="3"/>
      <c r="AT420" s="3"/>
      <c r="AU420" s="3"/>
      <c r="AV420" s="3"/>
      <c r="AW420" s="3"/>
      <c r="AX420" s="3"/>
      <c r="AY420" s="3"/>
      <c r="AZ420" s="3"/>
      <c r="BA420" s="3"/>
      <c r="BB420" s="3"/>
      <c r="BC420" s="3"/>
      <c r="BD420" s="3"/>
      <c r="BE420" s="3"/>
      <c r="BF420" s="3"/>
    </row>
    <row r="42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20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  <c r="AG421" s="3"/>
      <c r="AH421" s="3"/>
      <c r="AI421" s="3"/>
      <c r="AJ421" s="3"/>
      <c r="AK421" s="3"/>
      <c r="AL421" s="3"/>
      <c r="AM421" s="3"/>
      <c r="AN421" s="3"/>
      <c r="AO421" s="3"/>
      <c r="AP421" s="3"/>
      <c r="AQ421" s="3"/>
      <c r="AR421" s="3"/>
      <c r="AS421" s="3"/>
      <c r="AT421" s="3"/>
      <c r="AU421" s="3"/>
      <c r="AV421" s="3"/>
      <c r="AW421" s="3"/>
      <c r="AX421" s="3"/>
      <c r="AY421" s="3"/>
      <c r="AZ421" s="3"/>
      <c r="BA421" s="3"/>
      <c r="BB421" s="3"/>
      <c r="BC421" s="3"/>
      <c r="BD421" s="3"/>
      <c r="BE421" s="3"/>
      <c r="BF421" s="3"/>
    </row>
    <row r="422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20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  <c r="AG422" s="3"/>
      <c r="AH422" s="3"/>
      <c r="AI422" s="3"/>
      <c r="AJ422" s="3"/>
      <c r="AK422" s="3"/>
      <c r="AL422" s="3"/>
      <c r="AM422" s="3"/>
      <c r="AN422" s="3"/>
      <c r="AO422" s="3"/>
      <c r="AP422" s="3"/>
      <c r="AQ422" s="3"/>
      <c r="AR422" s="3"/>
      <c r="AS422" s="3"/>
      <c r="AT422" s="3"/>
      <c r="AU422" s="3"/>
      <c r="AV422" s="3"/>
      <c r="AW422" s="3"/>
      <c r="AX422" s="3"/>
      <c r="AY422" s="3"/>
      <c r="AZ422" s="3"/>
      <c r="BA422" s="3"/>
      <c r="BB422" s="3"/>
      <c r="BC422" s="3"/>
      <c r="BD422" s="3"/>
      <c r="BE422" s="3"/>
      <c r="BF422" s="3"/>
    </row>
    <row r="42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20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  <c r="AG423" s="3"/>
      <c r="AH423" s="3"/>
      <c r="AI423" s="3"/>
      <c r="AJ423" s="3"/>
      <c r="AK423" s="3"/>
      <c r="AL423" s="3"/>
      <c r="AM423" s="3"/>
      <c r="AN423" s="3"/>
      <c r="AO423" s="3"/>
      <c r="AP423" s="3"/>
      <c r="AQ423" s="3"/>
      <c r="AR423" s="3"/>
      <c r="AS423" s="3"/>
      <c r="AT423" s="3"/>
      <c r="AU423" s="3"/>
      <c r="AV423" s="3"/>
      <c r="AW423" s="3"/>
      <c r="AX423" s="3"/>
      <c r="AY423" s="3"/>
      <c r="AZ423" s="3"/>
      <c r="BA423" s="3"/>
      <c r="BB423" s="3"/>
      <c r="BC423" s="3"/>
      <c r="BD423" s="3"/>
      <c r="BE423" s="3"/>
      <c r="BF423" s="3"/>
    </row>
    <row r="424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20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  <c r="AG424" s="3"/>
      <c r="AH424" s="3"/>
      <c r="AI424" s="3"/>
      <c r="AJ424" s="3"/>
      <c r="AK424" s="3"/>
      <c r="AL424" s="3"/>
      <c r="AM424" s="3"/>
      <c r="AN424" s="3"/>
      <c r="AO424" s="3"/>
      <c r="AP424" s="3"/>
      <c r="AQ424" s="3"/>
      <c r="AR424" s="3"/>
      <c r="AS424" s="3"/>
      <c r="AT424" s="3"/>
      <c r="AU424" s="3"/>
      <c r="AV424" s="3"/>
      <c r="AW424" s="3"/>
      <c r="AX424" s="3"/>
      <c r="AY424" s="3"/>
      <c r="AZ424" s="3"/>
      <c r="BA424" s="3"/>
      <c r="BB424" s="3"/>
      <c r="BC424" s="3"/>
      <c r="BD424" s="3"/>
      <c r="BE424" s="3"/>
      <c r="BF424" s="3"/>
    </row>
    <row r="425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20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  <c r="AG425" s="3"/>
      <c r="AH425" s="3"/>
      <c r="AI425" s="3"/>
      <c r="AJ425" s="3"/>
      <c r="AK425" s="3"/>
      <c r="AL425" s="3"/>
      <c r="AM425" s="3"/>
      <c r="AN425" s="3"/>
      <c r="AO425" s="3"/>
      <c r="AP425" s="3"/>
      <c r="AQ425" s="3"/>
      <c r="AR425" s="3"/>
      <c r="AS425" s="3"/>
      <c r="AT425" s="3"/>
      <c r="AU425" s="3"/>
      <c r="AV425" s="3"/>
      <c r="AW425" s="3"/>
      <c r="AX425" s="3"/>
      <c r="AY425" s="3"/>
      <c r="AZ425" s="3"/>
      <c r="BA425" s="3"/>
      <c r="BB425" s="3"/>
      <c r="BC425" s="3"/>
      <c r="BD425" s="3"/>
      <c r="BE425" s="3"/>
      <c r="BF425" s="3"/>
    </row>
    <row r="4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20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  <c r="AG426" s="3"/>
      <c r="AH426" s="3"/>
      <c r="AI426" s="3"/>
      <c r="AJ426" s="3"/>
      <c r="AK426" s="3"/>
      <c r="AL426" s="3"/>
      <c r="AM426" s="3"/>
      <c r="AN426" s="3"/>
      <c r="AO426" s="3"/>
      <c r="AP426" s="3"/>
      <c r="AQ426" s="3"/>
      <c r="AR426" s="3"/>
      <c r="AS426" s="3"/>
      <c r="AT426" s="3"/>
      <c r="AU426" s="3"/>
      <c r="AV426" s="3"/>
      <c r="AW426" s="3"/>
      <c r="AX426" s="3"/>
      <c r="AY426" s="3"/>
      <c r="AZ426" s="3"/>
      <c r="BA426" s="3"/>
      <c r="BB426" s="3"/>
      <c r="BC426" s="3"/>
      <c r="BD426" s="3"/>
      <c r="BE426" s="3"/>
      <c r="BF426" s="3"/>
    </row>
    <row r="427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20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  <c r="AG427" s="3"/>
      <c r="AH427" s="3"/>
      <c r="AI427" s="3"/>
      <c r="AJ427" s="3"/>
      <c r="AK427" s="3"/>
      <c r="AL427" s="3"/>
      <c r="AM427" s="3"/>
      <c r="AN427" s="3"/>
      <c r="AO427" s="3"/>
      <c r="AP427" s="3"/>
      <c r="AQ427" s="3"/>
      <c r="AR427" s="3"/>
      <c r="AS427" s="3"/>
      <c r="AT427" s="3"/>
      <c r="AU427" s="3"/>
      <c r="AV427" s="3"/>
      <c r="AW427" s="3"/>
      <c r="AX427" s="3"/>
      <c r="AY427" s="3"/>
      <c r="AZ427" s="3"/>
      <c r="BA427" s="3"/>
      <c r="BB427" s="3"/>
      <c r="BC427" s="3"/>
      <c r="BD427" s="3"/>
      <c r="BE427" s="3"/>
      <c r="BF427" s="3"/>
    </row>
    <row r="428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20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  <c r="AG428" s="3"/>
      <c r="AH428" s="3"/>
      <c r="AI428" s="3"/>
      <c r="AJ428" s="3"/>
      <c r="AK428" s="3"/>
      <c r="AL428" s="3"/>
      <c r="AM428" s="3"/>
      <c r="AN428" s="3"/>
      <c r="AO428" s="3"/>
      <c r="AP428" s="3"/>
      <c r="AQ428" s="3"/>
      <c r="AR428" s="3"/>
      <c r="AS428" s="3"/>
      <c r="AT428" s="3"/>
      <c r="AU428" s="3"/>
      <c r="AV428" s="3"/>
      <c r="AW428" s="3"/>
      <c r="AX428" s="3"/>
      <c r="AY428" s="3"/>
      <c r="AZ428" s="3"/>
      <c r="BA428" s="3"/>
      <c r="BB428" s="3"/>
      <c r="BC428" s="3"/>
      <c r="BD428" s="3"/>
      <c r="BE428" s="3"/>
      <c r="BF428" s="3"/>
    </row>
    <row r="429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20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  <c r="AG429" s="3"/>
      <c r="AH429" s="3"/>
      <c r="AI429" s="3"/>
      <c r="AJ429" s="3"/>
      <c r="AK429" s="3"/>
      <c r="AL429" s="3"/>
      <c r="AM429" s="3"/>
      <c r="AN429" s="3"/>
      <c r="AO429" s="3"/>
      <c r="AP429" s="3"/>
      <c r="AQ429" s="3"/>
      <c r="AR429" s="3"/>
      <c r="AS429" s="3"/>
      <c r="AT429" s="3"/>
      <c r="AU429" s="3"/>
      <c r="AV429" s="3"/>
      <c r="AW429" s="3"/>
      <c r="AX429" s="3"/>
      <c r="AY429" s="3"/>
      <c r="AZ429" s="3"/>
      <c r="BA429" s="3"/>
      <c r="BB429" s="3"/>
      <c r="BC429" s="3"/>
      <c r="BD429" s="3"/>
      <c r="BE429" s="3"/>
      <c r="BF429" s="3"/>
    </row>
    <row r="430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20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  <c r="AG430" s="3"/>
      <c r="AH430" s="3"/>
      <c r="AI430" s="3"/>
      <c r="AJ430" s="3"/>
      <c r="AK430" s="3"/>
      <c r="AL430" s="3"/>
      <c r="AM430" s="3"/>
      <c r="AN430" s="3"/>
      <c r="AO430" s="3"/>
      <c r="AP430" s="3"/>
      <c r="AQ430" s="3"/>
      <c r="AR430" s="3"/>
      <c r="AS430" s="3"/>
      <c r="AT430" s="3"/>
      <c r="AU430" s="3"/>
      <c r="AV430" s="3"/>
      <c r="AW430" s="3"/>
      <c r="AX430" s="3"/>
      <c r="AY430" s="3"/>
      <c r="AZ430" s="3"/>
      <c r="BA430" s="3"/>
      <c r="BB430" s="3"/>
      <c r="BC430" s="3"/>
      <c r="BD430" s="3"/>
      <c r="BE430" s="3"/>
      <c r="BF430" s="3"/>
    </row>
    <row r="43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20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  <c r="AG431" s="3"/>
      <c r="AH431" s="3"/>
      <c r="AI431" s="3"/>
      <c r="AJ431" s="3"/>
      <c r="AK431" s="3"/>
      <c r="AL431" s="3"/>
      <c r="AM431" s="3"/>
      <c r="AN431" s="3"/>
      <c r="AO431" s="3"/>
      <c r="AP431" s="3"/>
      <c r="AQ431" s="3"/>
      <c r="AR431" s="3"/>
      <c r="AS431" s="3"/>
      <c r="AT431" s="3"/>
      <c r="AU431" s="3"/>
      <c r="AV431" s="3"/>
      <c r="AW431" s="3"/>
      <c r="AX431" s="3"/>
      <c r="AY431" s="3"/>
      <c r="AZ431" s="3"/>
      <c r="BA431" s="3"/>
      <c r="BB431" s="3"/>
      <c r="BC431" s="3"/>
      <c r="BD431" s="3"/>
      <c r="BE431" s="3"/>
      <c r="BF431" s="3"/>
    </row>
    <row r="432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20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  <c r="AG432" s="3"/>
      <c r="AH432" s="3"/>
      <c r="AI432" s="3"/>
      <c r="AJ432" s="3"/>
      <c r="AK432" s="3"/>
      <c r="AL432" s="3"/>
      <c r="AM432" s="3"/>
      <c r="AN432" s="3"/>
      <c r="AO432" s="3"/>
      <c r="AP432" s="3"/>
      <c r="AQ432" s="3"/>
      <c r="AR432" s="3"/>
      <c r="AS432" s="3"/>
      <c r="AT432" s="3"/>
      <c r="AU432" s="3"/>
      <c r="AV432" s="3"/>
      <c r="AW432" s="3"/>
      <c r="AX432" s="3"/>
      <c r="AY432" s="3"/>
      <c r="AZ432" s="3"/>
      <c r="BA432" s="3"/>
      <c r="BB432" s="3"/>
      <c r="BC432" s="3"/>
      <c r="BD432" s="3"/>
      <c r="BE432" s="3"/>
      <c r="BF432" s="3"/>
    </row>
    <row r="43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20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  <c r="AG433" s="3"/>
      <c r="AH433" s="3"/>
      <c r="AI433" s="3"/>
      <c r="AJ433" s="3"/>
      <c r="AK433" s="3"/>
      <c r="AL433" s="3"/>
      <c r="AM433" s="3"/>
      <c r="AN433" s="3"/>
      <c r="AO433" s="3"/>
      <c r="AP433" s="3"/>
      <c r="AQ433" s="3"/>
      <c r="AR433" s="3"/>
      <c r="AS433" s="3"/>
      <c r="AT433" s="3"/>
      <c r="AU433" s="3"/>
      <c r="AV433" s="3"/>
      <c r="AW433" s="3"/>
      <c r="AX433" s="3"/>
      <c r="AY433" s="3"/>
      <c r="AZ433" s="3"/>
      <c r="BA433" s="3"/>
      <c r="BB433" s="3"/>
      <c r="BC433" s="3"/>
      <c r="BD433" s="3"/>
      <c r="BE433" s="3"/>
      <c r="BF433" s="3"/>
    </row>
    <row r="434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20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  <c r="AG434" s="3"/>
      <c r="AH434" s="3"/>
      <c r="AI434" s="3"/>
      <c r="AJ434" s="3"/>
      <c r="AK434" s="3"/>
      <c r="AL434" s="3"/>
      <c r="AM434" s="3"/>
      <c r="AN434" s="3"/>
      <c r="AO434" s="3"/>
      <c r="AP434" s="3"/>
      <c r="AQ434" s="3"/>
      <c r="AR434" s="3"/>
      <c r="AS434" s="3"/>
      <c r="AT434" s="3"/>
      <c r="AU434" s="3"/>
      <c r="AV434" s="3"/>
      <c r="AW434" s="3"/>
      <c r="AX434" s="3"/>
      <c r="AY434" s="3"/>
      <c r="AZ434" s="3"/>
      <c r="BA434" s="3"/>
      <c r="BB434" s="3"/>
      <c r="BC434" s="3"/>
      <c r="BD434" s="3"/>
      <c r="BE434" s="3"/>
      <c r="BF434" s="3"/>
    </row>
    <row r="435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20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  <c r="AG435" s="3"/>
      <c r="AH435" s="3"/>
      <c r="AI435" s="3"/>
      <c r="AJ435" s="3"/>
      <c r="AK435" s="3"/>
      <c r="AL435" s="3"/>
      <c r="AM435" s="3"/>
      <c r="AN435" s="3"/>
      <c r="AO435" s="3"/>
      <c r="AP435" s="3"/>
      <c r="AQ435" s="3"/>
      <c r="AR435" s="3"/>
      <c r="AS435" s="3"/>
      <c r="AT435" s="3"/>
      <c r="AU435" s="3"/>
      <c r="AV435" s="3"/>
      <c r="AW435" s="3"/>
      <c r="AX435" s="3"/>
      <c r="AY435" s="3"/>
      <c r="AZ435" s="3"/>
      <c r="BA435" s="3"/>
      <c r="BB435" s="3"/>
      <c r="BC435" s="3"/>
      <c r="BD435" s="3"/>
      <c r="BE435" s="3"/>
      <c r="BF435" s="3"/>
    </row>
    <row r="43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20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  <c r="AG436" s="3"/>
      <c r="AH436" s="3"/>
      <c r="AI436" s="3"/>
      <c r="AJ436" s="3"/>
      <c r="AK436" s="3"/>
      <c r="AL436" s="3"/>
      <c r="AM436" s="3"/>
      <c r="AN436" s="3"/>
      <c r="AO436" s="3"/>
      <c r="AP436" s="3"/>
      <c r="AQ436" s="3"/>
      <c r="AR436" s="3"/>
      <c r="AS436" s="3"/>
      <c r="AT436" s="3"/>
      <c r="AU436" s="3"/>
      <c r="AV436" s="3"/>
      <c r="AW436" s="3"/>
      <c r="AX436" s="3"/>
      <c r="AY436" s="3"/>
      <c r="AZ436" s="3"/>
      <c r="BA436" s="3"/>
      <c r="BB436" s="3"/>
      <c r="BC436" s="3"/>
      <c r="BD436" s="3"/>
      <c r="BE436" s="3"/>
      <c r="BF436" s="3"/>
    </row>
    <row r="437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20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  <c r="AG437" s="3"/>
      <c r="AH437" s="3"/>
      <c r="AI437" s="3"/>
      <c r="AJ437" s="3"/>
      <c r="AK437" s="3"/>
      <c r="AL437" s="3"/>
      <c r="AM437" s="3"/>
      <c r="AN437" s="3"/>
      <c r="AO437" s="3"/>
      <c r="AP437" s="3"/>
      <c r="AQ437" s="3"/>
      <c r="AR437" s="3"/>
      <c r="AS437" s="3"/>
      <c r="AT437" s="3"/>
      <c r="AU437" s="3"/>
      <c r="AV437" s="3"/>
      <c r="AW437" s="3"/>
      <c r="AX437" s="3"/>
      <c r="AY437" s="3"/>
      <c r="AZ437" s="3"/>
      <c r="BA437" s="3"/>
      <c r="BB437" s="3"/>
      <c r="BC437" s="3"/>
      <c r="BD437" s="3"/>
      <c r="BE437" s="3"/>
      <c r="BF437" s="3"/>
    </row>
    <row r="438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20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  <c r="AG438" s="3"/>
      <c r="AH438" s="3"/>
      <c r="AI438" s="3"/>
      <c r="AJ438" s="3"/>
      <c r="AK438" s="3"/>
      <c r="AL438" s="3"/>
      <c r="AM438" s="3"/>
      <c r="AN438" s="3"/>
      <c r="AO438" s="3"/>
      <c r="AP438" s="3"/>
      <c r="AQ438" s="3"/>
      <c r="AR438" s="3"/>
      <c r="AS438" s="3"/>
      <c r="AT438" s="3"/>
      <c r="AU438" s="3"/>
      <c r="AV438" s="3"/>
      <c r="AW438" s="3"/>
      <c r="AX438" s="3"/>
      <c r="AY438" s="3"/>
      <c r="AZ438" s="3"/>
      <c r="BA438" s="3"/>
      <c r="BB438" s="3"/>
      <c r="BC438" s="3"/>
      <c r="BD438" s="3"/>
      <c r="BE438" s="3"/>
      <c r="BF438" s="3"/>
    </row>
    <row r="439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20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  <c r="AG439" s="3"/>
      <c r="AH439" s="3"/>
      <c r="AI439" s="3"/>
      <c r="AJ439" s="3"/>
      <c r="AK439" s="3"/>
      <c r="AL439" s="3"/>
      <c r="AM439" s="3"/>
      <c r="AN439" s="3"/>
      <c r="AO439" s="3"/>
      <c r="AP439" s="3"/>
      <c r="AQ439" s="3"/>
      <c r="AR439" s="3"/>
      <c r="AS439" s="3"/>
      <c r="AT439" s="3"/>
      <c r="AU439" s="3"/>
      <c r="AV439" s="3"/>
      <c r="AW439" s="3"/>
      <c r="AX439" s="3"/>
      <c r="AY439" s="3"/>
      <c r="AZ439" s="3"/>
      <c r="BA439" s="3"/>
      <c r="BB439" s="3"/>
      <c r="BC439" s="3"/>
      <c r="BD439" s="3"/>
      <c r="BE439" s="3"/>
      <c r="BF439" s="3"/>
    </row>
    <row r="440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20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  <c r="AG440" s="3"/>
      <c r="AH440" s="3"/>
      <c r="AI440" s="3"/>
      <c r="AJ440" s="3"/>
      <c r="AK440" s="3"/>
      <c r="AL440" s="3"/>
      <c r="AM440" s="3"/>
      <c r="AN440" s="3"/>
      <c r="AO440" s="3"/>
      <c r="AP440" s="3"/>
      <c r="AQ440" s="3"/>
      <c r="AR440" s="3"/>
      <c r="AS440" s="3"/>
      <c r="AT440" s="3"/>
      <c r="AU440" s="3"/>
      <c r="AV440" s="3"/>
      <c r="AW440" s="3"/>
      <c r="AX440" s="3"/>
      <c r="AY440" s="3"/>
      <c r="AZ440" s="3"/>
      <c r="BA440" s="3"/>
      <c r="BB440" s="3"/>
      <c r="BC440" s="3"/>
      <c r="BD440" s="3"/>
      <c r="BE440" s="3"/>
      <c r="BF440" s="3"/>
    </row>
    <row r="44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20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  <c r="AG441" s="3"/>
      <c r="AH441" s="3"/>
      <c r="AI441" s="3"/>
      <c r="AJ441" s="3"/>
      <c r="AK441" s="3"/>
      <c r="AL441" s="3"/>
      <c r="AM441" s="3"/>
      <c r="AN441" s="3"/>
      <c r="AO441" s="3"/>
      <c r="AP441" s="3"/>
      <c r="AQ441" s="3"/>
      <c r="AR441" s="3"/>
      <c r="AS441" s="3"/>
      <c r="AT441" s="3"/>
      <c r="AU441" s="3"/>
      <c r="AV441" s="3"/>
      <c r="AW441" s="3"/>
      <c r="AX441" s="3"/>
      <c r="AY441" s="3"/>
      <c r="AZ441" s="3"/>
      <c r="BA441" s="3"/>
      <c r="BB441" s="3"/>
      <c r="BC441" s="3"/>
      <c r="BD441" s="3"/>
      <c r="BE441" s="3"/>
      <c r="BF441" s="3"/>
    </row>
    <row r="442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20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  <c r="AG442" s="3"/>
      <c r="AH442" s="3"/>
      <c r="AI442" s="3"/>
      <c r="AJ442" s="3"/>
      <c r="AK442" s="3"/>
      <c r="AL442" s="3"/>
      <c r="AM442" s="3"/>
      <c r="AN442" s="3"/>
      <c r="AO442" s="3"/>
      <c r="AP442" s="3"/>
      <c r="AQ442" s="3"/>
      <c r="AR442" s="3"/>
      <c r="AS442" s="3"/>
      <c r="AT442" s="3"/>
      <c r="AU442" s="3"/>
      <c r="AV442" s="3"/>
      <c r="AW442" s="3"/>
      <c r="AX442" s="3"/>
      <c r="AY442" s="3"/>
      <c r="AZ442" s="3"/>
      <c r="BA442" s="3"/>
      <c r="BB442" s="3"/>
      <c r="BC442" s="3"/>
      <c r="BD442" s="3"/>
      <c r="BE442" s="3"/>
      <c r="BF442" s="3"/>
    </row>
    <row r="44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20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  <c r="AG443" s="3"/>
      <c r="AH443" s="3"/>
      <c r="AI443" s="3"/>
      <c r="AJ443" s="3"/>
      <c r="AK443" s="3"/>
      <c r="AL443" s="3"/>
      <c r="AM443" s="3"/>
      <c r="AN443" s="3"/>
      <c r="AO443" s="3"/>
      <c r="AP443" s="3"/>
      <c r="AQ443" s="3"/>
      <c r="AR443" s="3"/>
      <c r="AS443" s="3"/>
      <c r="AT443" s="3"/>
      <c r="AU443" s="3"/>
      <c r="AV443" s="3"/>
      <c r="AW443" s="3"/>
      <c r="AX443" s="3"/>
      <c r="AY443" s="3"/>
      <c r="AZ443" s="3"/>
      <c r="BA443" s="3"/>
      <c r="BB443" s="3"/>
      <c r="BC443" s="3"/>
      <c r="BD443" s="3"/>
      <c r="BE443" s="3"/>
      <c r="BF443" s="3"/>
    </row>
    <row r="444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20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  <c r="AG444" s="3"/>
      <c r="AH444" s="3"/>
      <c r="AI444" s="3"/>
      <c r="AJ444" s="3"/>
      <c r="AK444" s="3"/>
      <c r="AL444" s="3"/>
      <c r="AM444" s="3"/>
      <c r="AN444" s="3"/>
      <c r="AO444" s="3"/>
      <c r="AP444" s="3"/>
      <c r="AQ444" s="3"/>
      <c r="AR444" s="3"/>
      <c r="AS444" s="3"/>
      <c r="AT444" s="3"/>
      <c r="AU444" s="3"/>
      <c r="AV444" s="3"/>
      <c r="AW444" s="3"/>
      <c r="AX444" s="3"/>
      <c r="AY444" s="3"/>
      <c r="AZ444" s="3"/>
      <c r="BA444" s="3"/>
      <c r="BB444" s="3"/>
      <c r="BC444" s="3"/>
      <c r="BD444" s="3"/>
      <c r="BE444" s="3"/>
      <c r="BF444" s="3"/>
    </row>
    <row r="445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20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  <c r="AG445" s="3"/>
      <c r="AH445" s="3"/>
      <c r="AI445" s="3"/>
      <c r="AJ445" s="3"/>
      <c r="AK445" s="3"/>
      <c r="AL445" s="3"/>
      <c r="AM445" s="3"/>
      <c r="AN445" s="3"/>
      <c r="AO445" s="3"/>
      <c r="AP445" s="3"/>
      <c r="AQ445" s="3"/>
      <c r="AR445" s="3"/>
      <c r="AS445" s="3"/>
      <c r="AT445" s="3"/>
      <c r="AU445" s="3"/>
      <c r="AV445" s="3"/>
      <c r="AW445" s="3"/>
      <c r="AX445" s="3"/>
      <c r="AY445" s="3"/>
      <c r="AZ445" s="3"/>
      <c r="BA445" s="3"/>
      <c r="BB445" s="3"/>
      <c r="BC445" s="3"/>
      <c r="BD445" s="3"/>
      <c r="BE445" s="3"/>
      <c r="BF445" s="3"/>
    </row>
    <row r="44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20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  <c r="AG446" s="3"/>
      <c r="AH446" s="3"/>
      <c r="AI446" s="3"/>
      <c r="AJ446" s="3"/>
      <c r="AK446" s="3"/>
      <c r="AL446" s="3"/>
      <c r="AM446" s="3"/>
      <c r="AN446" s="3"/>
      <c r="AO446" s="3"/>
      <c r="AP446" s="3"/>
      <c r="AQ446" s="3"/>
      <c r="AR446" s="3"/>
      <c r="AS446" s="3"/>
      <c r="AT446" s="3"/>
      <c r="AU446" s="3"/>
      <c r="AV446" s="3"/>
      <c r="AW446" s="3"/>
      <c r="AX446" s="3"/>
      <c r="AY446" s="3"/>
      <c r="AZ446" s="3"/>
      <c r="BA446" s="3"/>
      <c r="BB446" s="3"/>
      <c r="BC446" s="3"/>
      <c r="BD446" s="3"/>
      <c r="BE446" s="3"/>
      <c r="BF446" s="3"/>
    </row>
    <row r="447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20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  <c r="AG447" s="3"/>
      <c r="AH447" s="3"/>
      <c r="AI447" s="3"/>
      <c r="AJ447" s="3"/>
      <c r="AK447" s="3"/>
      <c r="AL447" s="3"/>
      <c r="AM447" s="3"/>
      <c r="AN447" s="3"/>
      <c r="AO447" s="3"/>
      <c r="AP447" s="3"/>
      <c r="AQ447" s="3"/>
      <c r="AR447" s="3"/>
      <c r="AS447" s="3"/>
      <c r="AT447" s="3"/>
      <c r="AU447" s="3"/>
      <c r="AV447" s="3"/>
      <c r="AW447" s="3"/>
      <c r="AX447" s="3"/>
      <c r="AY447" s="3"/>
      <c r="AZ447" s="3"/>
      <c r="BA447" s="3"/>
      <c r="BB447" s="3"/>
      <c r="BC447" s="3"/>
      <c r="BD447" s="3"/>
      <c r="BE447" s="3"/>
      <c r="BF447" s="3"/>
    </row>
    <row r="448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20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  <c r="AG448" s="3"/>
      <c r="AH448" s="3"/>
      <c r="AI448" s="3"/>
      <c r="AJ448" s="3"/>
      <c r="AK448" s="3"/>
      <c r="AL448" s="3"/>
      <c r="AM448" s="3"/>
      <c r="AN448" s="3"/>
      <c r="AO448" s="3"/>
      <c r="AP448" s="3"/>
      <c r="AQ448" s="3"/>
      <c r="AR448" s="3"/>
      <c r="AS448" s="3"/>
      <c r="AT448" s="3"/>
      <c r="AU448" s="3"/>
      <c r="AV448" s="3"/>
      <c r="AW448" s="3"/>
      <c r="AX448" s="3"/>
      <c r="AY448" s="3"/>
      <c r="AZ448" s="3"/>
      <c r="BA448" s="3"/>
      <c r="BB448" s="3"/>
      <c r="BC448" s="3"/>
      <c r="BD448" s="3"/>
      <c r="BE448" s="3"/>
      <c r="BF448" s="3"/>
    </row>
    <row r="449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20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  <c r="AG449" s="3"/>
      <c r="AH449" s="3"/>
      <c r="AI449" s="3"/>
      <c r="AJ449" s="3"/>
      <c r="AK449" s="3"/>
      <c r="AL449" s="3"/>
      <c r="AM449" s="3"/>
      <c r="AN449" s="3"/>
      <c r="AO449" s="3"/>
      <c r="AP449" s="3"/>
      <c r="AQ449" s="3"/>
      <c r="AR449" s="3"/>
      <c r="AS449" s="3"/>
      <c r="AT449" s="3"/>
      <c r="AU449" s="3"/>
      <c r="AV449" s="3"/>
      <c r="AW449" s="3"/>
      <c r="AX449" s="3"/>
      <c r="AY449" s="3"/>
      <c r="AZ449" s="3"/>
      <c r="BA449" s="3"/>
      <c r="BB449" s="3"/>
      <c r="BC449" s="3"/>
      <c r="BD449" s="3"/>
      <c r="BE449" s="3"/>
      <c r="BF449" s="3"/>
    </row>
    <row r="450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20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  <c r="AG450" s="3"/>
      <c r="AH450" s="3"/>
      <c r="AI450" s="3"/>
      <c r="AJ450" s="3"/>
      <c r="AK450" s="3"/>
      <c r="AL450" s="3"/>
      <c r="AM450" s="3"/>
      <c r="AN450" s="3"/>
      <c r="AO450" s="3"/>
      <c r="AP450" s="3"/>
      <c r="AQ450" s="3"/>
      <c r="AR450" s="3"/>
      <c r="AS450" s="3"/>
      <c r="AT450" s="3"/>
      <c r="AU450" s="3"/>
      <c r="AV450" s="3"/>
      <c r="AW450" s="3"/>
      <c r="AX450" s="3"/>
      <c r="AY450" s="3"/>
      <c r="AZ450" s="3"/>
      <c r="BA450" s="3"/>
      <c r="BB450" s="3"/>
      <c r="BC450" s="3"/>
      <c r="BD450" s="3"/>
      <c r="BE450" s="3"/>
      <c r="BF450" s="3"/>
    </row>
    <row r="45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20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  <c r="AG451" s="3"/>
      <c r="AH451" s="3"/>
      <c r="AI451" s="3"/>
      <c r="AJ451" s="3"/>
      <c r="AK451" s="3"/>
      <c r="AL451" s="3"/>
      <c r="AM451" s="3"/>
      <c r="AN451" s="3"/>
      <c r="AO451" s="3"/>
      <c r="AP451" s="3"/>
      <c r="AQ451" s="3"/>
      <c r="AR451" s="3"/>
      <c r="AS451" s="3"/>
      <c r="AT451" s="3"/>
      <c r="AU451" s="3"/>
      <c r="AV451" s="3"/>
      <c r="AW451" s="3"/>
      <c r="AX451" s="3"/>
      <c r="AY451" s="3"/>
      <c r="AZ451" s="3"/>
      <c r="BA451" s="3"/>
      <c r="BB451" s="3"/>
      <c r="BC451" s="3"/>
      <c r="BD451" s="3"/>
      <c r="BE451" s="3"/>
      <c r="BF451" s="3"/>
    </row>
    <row r="452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20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  <c r="AG452" s="3"/>
      <c r="AH452" s="3"/>
      <c r="AI452" s="3"/>
      <c r="AJ452" s="3"/>
      <c r="AK452" s="3"/>
      <c r="AL452" s="3"/>
      <c r="AM452" s="3"/>
      <c r="AN452" s="3"/>
      <c r="AO452" s="3"/>
      <c r="AP452" s="3"/>
      <c r="AQ452" s="3"/>
      <c r="AR452" s="3"/>
      <c r="AS452" s="3"/>
      <c r="AT452" s="3"/>
      <c r="AU452" s="3"/>
      <c r="AV452" s="3"/>
      <c r="AW452" s="3"/>
      <c r="AX452" s="3"/>
      <c r="AY452" s="3"/>
      <c r="AZ452" s="3"/>
      <c r="BA452" s="3"/>
      <c r="BB452" s="3"/>
      <c r="BC452" s="3"/>
      <c r="BD452" s="3"/>
      <c r="BE452" s="3"/>
      <c r="BF452" s="3"/>
    </row>
    <row r="45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20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  <c r="AG453" s="3"/>
      <c r="AH453" s="3"/>
      <c r="AI453" s="3"/>
      <c r="AJ453" s="3"/>
      <c r="AK453" s="3"/>
      <c r="AL453" s="3"/>
      <c r="AM453" s="3"/>
      <c r="AN453" s="3"/>
      <c r="AO453" s="3"/>
      <c r="AP453" s="3"/>
      <c r="AQ453" s="3"/>
      <c r="AR453" s="3"/>
      <c r="AS453" s="3"/>
      <c r="AT453" s="3"/>
      <c r="AU453" s="3"/>
      <c r="AV453" s="3"/>
      <c r="AW453" s="3"/>
      <c r="AX453" s="3"/>
      <c r="AY453" s="3"/>
      <c r="AZ453" s="3"/>
      <c r="BA453" s="3"/>
      <c r="BB453" s="3"/>
      <c r="BC453" s="3"/>
      <c r="BD453" s="3"/>
      <c r="BE453" s="3"/>
      <c r="BF453" s="3"/>
    </row>
    <row r="454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20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  <c r="AG454" s="3"/>
      <c r="AH454" s="3"/>
      <c r="AI454" s="3"/>
      <c r="AJ454" s="3"/>
      <c r="AK454" s="3"/>
      <c r="AL454" s="3"/>
      <c r="AM454" s="3"/>
      <c r="AN454" s="3"/>
      <c r="AO454" s="3"/>
      <c r="AP454" s="3"/>
      <c r="AQ454" s="3"/>
      <c r="AR454" s="3"/>
      <c r="AS454" s="3"/>
      <c r="AT454" s="3"/>
      <c r="AU454" s="3"/>
      <c r="AV454" s="3"/>
      <c r="AW454" s="3"/>
      <c r="AX454" s="3"/>
      <c r="AY454" s="3"/>
      <c r="AZ454" s="3"/>
      <c r="BA454" s="3"/>
      <c r="BB454" s="3"/>
      <c r="BC454" s="3"/>
      <c r="BD454" s="3"/>
      <c r="BE454" s="3"/>
      <c r="BF454" s="3"/>
    </row>
    <row r="455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20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  <c r="AG455" s="3"/>
      <c r="AH455" s="3"/>
      <c r="AI455" s="3"/>
      <c r="AJ455" s="3"/>
      <c r="AK455" s="3"/>
      <c r="AL455" s="3"/>
      <c r="AM455" s="3"/>
      <c r="AN455" s="3"/>
      <c r="AO455" s="3"/>
      <c r="AP455" s="3"/>
      <c r="AQ455" s="3"/>
      <c r="AR455" s="3"/>
      <c r="AS455" s="3"/>
      <c r="AT455" s="3"/>
      <c r="AU455" s="3"/>
      <c r="AV455" s="3"/>
      <c r="AW455" s="3"/>
      <c r="AX455" s="3"/>
      <c r="AY455" s="3"/>
      <c r="AZ455" s="3"/>
      <c r="BA455" s="3"/>
      <c r="BB455" s="3"/>
      <c r="BC455" s="3"/>
      <c r="BD455" s="3"/>
      <c r="BE455" s="3"/>
      <c r="BF455" s="3"/>
    </row>
    <row r="45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20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  <c r="AG456" s="3"/>
      <c r="AH456" s="3"/>
      <c r="AI456" s="3"/>
      <c r="AJ456" s="3"/>
      <c r="AK456" s="3"/>
      <c r="AL456" s="3"/>
      <c r="AM456" s="3"/>
      <c r="AN456" s="3"/>
      <c r="AO456" s="3"/>
      <c r="AP456" s="3"/>
      <c r="AQ456" s="3"/>
      <c r="AR456" s="3"/>
      <c r="AS456" s="3"/>
      <c r="AT456" s="3"/>
      <c r="AU456" s="3"/>
      <c r="AV456" s="3"/>
      <c r="AW456" s="3"/>
      <c r="AX456" s="3"/>
      <c r="AY456" s="3"/>
      <c r="AZ456" s="3"/>
      <c r="BA456" s="3"/>
      <c r="BB456" s="3"/>
      <c r="BC456" s="3"/>
      <c r="BD456" s="3"/>
      <c r="BE456" s="3"/>
      <c r="BF456" s="3"/>
    </row>
    <row r="457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20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  <c r="AG457" s="3"/>
      <c r="AH457" s="3"/>
      <c r="AI457" s="3"/>
      <c r="AJ457" s="3"/>
      <c r="AK457" s="3"/>
      <c r="AL457" s="3"/>
      <c r="AM457" s="3"/>
      <c r="AN457" s="3"/>
      <c r="AO457" s="3"/>
      <c r="AP457" s="3"/>
      <c r="AQ457" s="3"/>
      <c r="AR457" s="3"/>
      <c r="AS457" s="3"/>
      <c r="AT457" s="3"/>
      <c r="AU457" s="3"/>
      <c r="AV457" s="3"/>
      <c r="AW457" s="3"/>
      <c r="AX457" s="3"/>
      <c r="AY457" s="3"/>
      <c r="AZ457" s="3"/>
      <c r="BA457" s="3"/>
      <c r="BB457" s="3"/>
      <c r="BC457" s="3"/>
      <c r="BD457" s="3"/>
      <c r="BE457" s="3"/>
      <c r="BF457" s="3"/>
    </row>
    <row r="458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20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  <c r="AG458" s="3"/>
      <c r="AH458" s="3"/>
      <c r="AI458" s="3"/>
      <c r="AJ458" s="3"/>
      <c r="AK458" s="3"/>
      <c r="AL458" s="3"/>
      <c r="AM458" s="3"/>
      <c r="AN458" s="3"/>
      <c r="AO458" s="3"/>
      <c r="AP458" s="3"/>
      <c r="AQ458" s="3"/>
      <c r="AR458" s="3"/>
      <c r="AS458" s="3"/>
      <c r="AT458" s="3"/>
      <c r="AU458" s="3"/>
      <c r="AV458" s="3"/>
      <c r="AW458" s="3"/>
      <c r="AX458" s="3"/>
      <c r="AY458" s="3"/>
      <c r="AZ458" s="3"/>
      <c r="BA458" s="3"/>
      <c r="BB458" s="3"/>
      <c r="BC458" s="3"/>
      <c r="BD458" s="3"/>
      <c r="BE458" s="3"/>
      <c r="BF458" s="3"/>
    </row>
    <row r="459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20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  <c r="AG459" s="3"/>
      <c r="AH459" s="3"/>
      <c r="AI459" s="3"/>
      <c r="AJ459" s="3"/>
      <c r="AK459" s="3"/>
      <c r="AL459" s="3"/>
      <c r="AM459" s="3"/>
      <c r="AN459" s="3"/>
      <c r="AO459" s="3"/>
      <c r="AP459" s="3"/>
      <c r="AQ459" s="3"/>
      <c r="AR459" s="3"/>
      <c r="AS459" s="3"/>
      <c r="AT459" s="3"/>
      <c r="AU459" s="3"/>
      <c r="AV459" s="3"/>
      <c r="AW459" s="3"/>
      <c r="AX459" s="3"/>
      <c r="AY459" s="3"/>
      <c r="AZ459" s="3"/>
      <c r="BA459" s="3"/>
      <c r="BB459" s="3"/>
      <c r="BC459" s="3"/>
      <c r="BD459" s="3"/>
      <c r="BE459" s="3"/>
      <c r="BF459" s="3"/>
    </row>
    <row r="460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20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  <c r="AG460" s="3"/>
      <c r="AH460" s="3"/>
      <c r="AI460" s="3"/>
      <c r="AJ460" s="3"/>
      <c r="AK460" s="3"/>
      <c r="AL460" s="3"/>
      <c r="AM460" s="3"/>
      <c r="AN460" s="3"/>
      <c r="AO460" s="3"/>
      <c r="AP460" s="3"/>
      <c r="AQ460" s="3"/>
      <c r="AR460" s="3"/>
      <c r="AS460" s="3"/>
      <c r="AT460" s="3"/>
      <c r="AU460" s="3"/>
      <c r="AV460" s="3"/>
      <c r="AW460" s="3"/>
      <c r="AX460" s="3"/>
      <c r="AY460" s="3"/>
      <c r="AZ460" s="3"/>
      <c r="BA460" s="3"/>
      <c r="BB460" s="3"/>
      <c r="BC460" s="3"/>
      <c r="BD460" s="3"/>
      <c r="BE460" s="3"/>
      <c r="BF460" s="3"/>
    </row>
    <row r="46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20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  <c r="AG461" s="3"/>
      <c r="AH461" s="3"/>
      <c r="AI461" s="3"/>
      <c r="AJ461" s="3"/>
      <c r="AK461" s="3"/>
      <c r="AL461" s="3"/>
      <c r="AM461" s="3"/>
      <c r="AN461" s="3"/>
      <c r="AO461" s="3"/>
      <c r="AP461" s="3"/>
      <c r="AQ461" s="3"/>
      <c r="AR461" s="3"/>
      <c r="AS461" s="3"/>
      <c r="AT461" s="3"/>
      <c r="AU461" s="3"/>
      <c r="AV461" s="3"/>
      <c r="AW461" s="3"/>
      <c r="AX461" s="3"/>
      <c r="AY461" s="3"/>
      <c r="AZ461" s="3"/>
      <c r="BA461" s="3"/>
      <c r="BB461" s="3"/>
      <c r="BC461" s="3"/>
      <c r="BD461" s="3"/>
      <c r="BE461" s="3"/>
      <c r="BF461" s="3"/>
    </row>
    <row r="462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20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  <c r="AG462" s="3"/>
      <c r="AH462" s="3"/>
      <c r="AI462" s="3"/>
      <c r="AJ462" s="3"/>
      <c r="AK462" s="3"/>
      <c r="AL462" s="3"/>
      <c r="AM462" s="3"/>
      <c r="AN462" s="3"/>
      <c r="AO462" s="3"/>
      <c r="AP462" s="3"/>
      <c r="AQ462" s="3"/>
      <c r="AR462" s="3"/>
      <c r="AS462" s="3"/>
      <c r="AT462" s="3"/>
      <c r="AU462" s="3"/>
      <c r="AV462" s="3"/>
      <c r="AW462" s="3"/>
      <c r="AX462" s="3"/>
      <c r="AY462" s="3"/>
      <c r="AZ462" s="3"/>
      <c r="BA462" s="3"/>
      <c r="BB462" s="3"/>
      <c r="BC462" s="3"/>
      <c r="BD462" s="3"/>
      <c r="BE462" s="3"/>
      <c r="BF462" s="3"/>
    </row>
    <row r="46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20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  <c r="AG463" s="3"/>
      <c r="AH463" s="3"/>
      <c r="AI463" s="3"/>
      <c r="AJ463" s="3"/>
      <c r="AK463" s="3"/>
      <c r="AL463" s="3"/>
      <c r="AM463" s="3"/>
      <c r="AN463" s="3"/>
      <c r="AO463" s="3"/>
      <c r="AP463" s="3"/>
      <c r="AQ463" s="3"/>
      <c r="AR463" s="3"/>
      <c r="AS463" s="3"/>
      <c r="AT463" s="3"/>
      <c r="AU463" s="3"/>
      <c r="AV463" s="3"/>
      <c r="AW463" s="3"/>
      <c r="AX463" s="3"/>
      <c r="AY463" s="3"/>
      <c r="AZ463" s="3"/>
      <c r="BA463" s="3"/>
      <c r="BB463" s="3"/>
      <c r="BC463" s="3"/>
      <c r="BD463" s="3"/>
      <c r="BE463" s="3"/>
      <c r="BF463" s="3"/>
    </row>
    <row r="464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20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  <c r="AG464" s="3"/>
      <c r="AH464" s="3"/>
      <c r="AI464" s="3"/>
      <c r="AJ464" s="3"/>
      <c r="AK464" s="3"/>
      <c r="AL464" s="3"/>
      <c r="AM464" s="3"/>
      <c r="AN464" s="3"/>
      <c r="AO464" s="3"/>
      <c r="AP464" s="3"/>
      <c r="AQ464" s="3"/>
      <c r="AR464" s="3"/>
      <c r="AS464" s="3"/>
      <c r="AT464" s="3"/>
      <c r="AU464" s="3"/>
      <c r="AV464" s="3"/>
      <c r="AW464" s="3"/>
      <c r="AX464" s="3"/>
      <c r="AY464" s="3"/>
      <c r="AZ464" s="3"/>
      <c r="BA464" s="3"/>
      <c r="BB464" s="3"/>
      <c r="BC464" s="3"/>
      <c r="BD464" s="3"/>
      <c r="BE464" s="3"/>
      <c r="BF464" s="3"/>
    </row>
    <row r="465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20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  <c r="AG465" s="3"/>
      <c r="AH465" s="3"/>
      <c r="AI465" s="3"/>
      <c r="AJ465" s="3"/>
      <c r="AK465" s="3"/>
      <c r="AL465" s="3"/>
      <c r="AM465" s="3"/>
      <c r="AN465" s="3"/>
      <c r="AO465" s="3"/>
      <c r="AP465" s="3"/>
      <c r="AQ465" s="3"/>
      <c r="AR465" s="3"/>
      <c r="AS465" s="3"/>
      <c r="AT465" s="3"/>
      <c r="AU465" s="3"/>
      <c r="AV465" s="3"/>
      <c r="AW465" s="3"/>
      <c r="AX465" s="3"/>
      <c r="AY465" s="3"/>
      <c r="AZ465" s="3"/>
      <c r="BA465" s="3"/>
      <c r="BB465" s="3"/>
      <c r="BC465" s="3"/>
      <c r="BD465" s="3"/>
      <c r="BE465" s="3"/>
      <c r="BF465" s="3"/>
    </row>
    <row r="46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20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  <c r="AG466" s="3"/>
      <c r="AH466" s="3"/>
      <c r="AI466" s="3"/>
      <c r="AJ466" s="3"/>
      <c r="AK466" s="3"/>
      <c r="AL466" s="3"/>
      <c r="AM466" s="3"/>
      <c r="AN466" s="3"/>
      <c r="AO466" s="3"/>
      <c r="AP466" s="3"/>
      <c r="AQ466" s="3"/>
      <c r="AR466" s="3"/>
      <c r="AS466" s="3"/>
      <c r="AT466" s="3"/>
      <c r="AU466" s="3"/>
      <c r="AV466" s="3"/>
      <c r="AW466" s="3"/>
      <c r="AX466" s="3"/>
      <c r="AY466" s="3"/>
      <c r="AZ466" s="3"/>
      <c r="BA466" s="3"/>
      <c r="BB466" s="3"/>
      <c r="BC466" s="3"/>
      <c r="BD466" s="3"/>
      <c r="BE466" s="3"/>
      <c r="BF466" s="3"/>
    </row>
    <row r="467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20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  <c r="AG467" s="3"/>
      <c r="AH467" s="3"/>
      <c r="AI467" s="3"/>
      <c r="AJ467" s="3"/>
      <c r="AK467" s="3"/>
      <c r="AL467" s="3"/>
      <c r="AM467" s="3"/>
      <c r="AN467" s="3"/>
      <c r="AO467" s="3"/>
      <c r="AP467" s="3"/>
      <c r="AQ467" s="3"/>
      <c r="AR467" s="3"/>
      <c r="AS467" s="3"/>
      <c r="AT467" s="3"/>
      <c r="AU467" s="3"/>
      <c r="AV467" s="3"/>
      <c r="AW467" s="3"/>
      <c r="AX467" s="3"/>
      <c r="AY467" s="3"/>
      <c r="AZ467" s="3"/>
      <c r="BA467" s="3"/>
      <c r="BB467" s="3"/>
      <c r="BC467" s="3"/>
      <c r="BD467" s="3"/>
      <c r="BE467" s="3"/>
      <c r="BF467" s="3"/>
    </row>
    <row r="468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20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  <c r="AG468" s="3"/>
      <c r="AH468" s="3"/>
      <c r="AI468" s="3"/>
      <c r="AJ468" s="3"/>
      <c r="AK468" s="3"/>
      <c r="AL468" s="3"/>
      <c r="AM468" s="3"/>
      <c r="AN468" s="3"/>
      <c r="AO468" s="3"/>
      <c r="AP468" s="3"/>
      <c r="AQ468" s="3"/>
      <c r="AR468" s="3"/>
      <c r="AS468" s="3"/>
      <c r="AT468" s="3"/>
      <c r="AU468" s="3"/>
      <c r="AV468" s="3"/>
      <c r="AW468" s="3"/>
      <c r="AX468" s="3"/>
      <c r="AY468" s="3"/>
      <c r="AZ468" s="3"/>
      <c r="BA468" s="3"/>
      <c r="BB468" s="3"/>
      <c r="BC468" s="3"/>
      <c r="BD468" s="3"/>
      <c r="BE468" s="3"/>
      <c r="BF468" s="3"/>
    </row>
    <row r="469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20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  <c r="AG469" s="3"/>
      <c r="AH469" s="3"/>
      <c r="AI469" s="3"/>
      <c r="AJ469" s="3"/>
      <c r="AK469" s="3"/>
      <c r="AL469" s="3"/>
      <c r="AM469" s="3"/>
      <c r="AN469" s="3"/>
      <c r="AO469" s="3"/>
      <c r="AP469" s="3"/>
      <c r="AQ469" s="3"/>
      <c r="AR469" s="3"/>
      <c r="AS469" s="3"/>
      <c r="AT469" s="3"/>
      <c r="AU469" s="3"/>
      <c r="AV469" s="3"/>
      <c r="AW469" s="3"/>
      <c r="AX469" s="3"/>
      <c r="AY469" s="3"/>
      <c r="AZ469" s="3"/>
      <c r="BA469" s="3"/>
      <c r="BB469" s="3"/>
      <c r="BC469" s="3"/>
      <c r="BD469" s="3"/>
      <c r="BE469" s="3"/>
      <c r="BF469" s="3"/>
    </row>
    <row r="470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20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  <c r="AG470" s="3"/>
      <c r="AH470" s="3"/>
      <c r="AI470" s="3"/>
      <c r="AJ470" s="3"/>
      <c r="AK470" s="3"/>
      <c r="AL470" s="3"/>
      <c r="AM470" s="3"/>
      <c r="AN470" s="3"/>
      <c r="AO470" s="3"/>
      <c r="AP470" s="3"/>
      <c r="AQ470" s="3"/>
      <c r="AR470" s="3"/>
      <c r="AS470" s="3"/>
      <c r="AT470" s="3"/>
      <c r="AU470" s="3"/>
      <c r="AV470" s="3"/>
      <c r="AW470" s="3"/>
      <c r="AX470" s="3"/>
      <c r="AY470" s="3"/>
      <c r="AZ470" s="3"/>
      <c r="BA470" s="3"/>
      <c r="BB470" s="3"/>
      <c r="BC470" s="3"/>
      <c r="BD470" s="3"/>
      <c r="BE470" s="3"/>
      <c r="BF470" s="3"/>
    </row>
    <row r="47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20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  <c r="AG471" s="3"/>
      <c r="AH471" s="3"/>
      <c r="AI471" s="3"/>
      <c r="AJ471" s="3"/>
      <c r="AK471" s="3"/>
      <c r="AL471" s="3"/>
      <c r="AM471" s="3"/>
      <c r="AN471" s="3"/>
      <c r="AO471" s="3"/>
      <c r="AP471" s="3"/>
      <c r="AQ471" s="3"/>
      <c r="AR471" s="3"/>
      <c r="AS471" s="3"/>
      <c r="AT471" s="3"/>
      <c r="AU471" s="3"/>
      <c r="AV471" s="3"/>
      <c r="AW471" s="3"/>
      <c r="AX471" s="3"/>
      <c r="AY471" s="3"/>
      <c r="AZ471" s="3"/>
      <c r="BA471" s="3"/>
      <c r="BB471" s="3"/>
      <c r="BC471" s="3"/>
      <c r="BD471" s="3"/>
      <c r="BE471" s="3"/>
      <c r="BF471" s="3"/>
    </row>
    <row r="472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20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  <c r="AG472" s="3"/>
      <c r="AH472" s="3"/>
      <c r="AI472" s="3"/>
      <c r="AJ472" s="3"/>
      <c r="AK472" s="3"/>
      <c r="AL472" s="3"/>
      <c r="AM472" s="3"/>
      <c r="AN472" s="3"/>
      <c r="AO472" s="3"/>
      <c r="AP472" s="3"/>
      <c r="AQ472" s="3"/>
      <c r="AR472" s="3"/>
      <c r="AS472" s="3"/>
      <c r="AT472" s="3"/>
      <c r="AU472" s="3"/>
      <c r="AV472" s="3"/>
      <c r="AW472" s="3"/>
      <c r="AX472" s="3"/>
      <c r="AY472" s="3"/>
      <c r="AZ472" s="3"/>
      <c r="BA472" s="3"/>
      <c r="BB472" s="3"/>
      <c r="BC472" s="3"/>
      <c r="BD472" s="3"/>
      <c r="BE472" s="3"/>
      <c r="BF472" s="3"/>
    </row>
    <row r="47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20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  <c r="AG473" s="3"/>
      <c r="AH473" s="3"/>
      <c r="AI473" s="3"/>
      <c r="AJ473" s="3"/>
      <c r="AK473" s="3"/>
      <c r="AL473" s="3"/>
      <c r="AM473" s="3"/>
      <c r="AN473" s="3"/>
      <c r="AO473" s="3"/>
      <c r="AP473" s="3"/>
      <c r="AQ473" s="3"/>
      <c r="AR473" s="3"/>
      <c r="AS473" s="3"/>
      <c r="AT473" s="3"/>
      <c r="AU473" s="3"/>
      <c r="AV473" s="3"/>
      <c r="AW473" s="3"/>
      <c r="AX473" s="3"/>
      <c r="AY473" s="3"/>
      <c r="AZ473" s="3"/>
      <c r="BA473" s="3"/>
      <c r="BB473" s="3"/>
      <c r="BC473" s="3"/>
      <c r="BD473" s="3"/>
      <c r="BE473" s="3"/>
      <c r="BF473" s="3"/>
    </row>
    <row r="474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20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  <c r="AG474" s="3"/>
      <c r="AH474" s="3"/>
      <c r="AI474" s="3"/>
      <c r="AJ474" s="3"/>
      <c r="AK474" s="3"/>
      <c r="AL474" s="3"/>
      <c r="AM474" s="3"/>
      <c r="AN474" s="3"/>
      <c r="AO474" s="3"/>
      <c r="AP474" s="3"/>
      <c r="AQ474" s="3"/>
      <c r="AR474" s="3"/>
      <c r="AS474" s="3"/>
      <c r="AT474" s="3"/>
      <c r="AU474" s="3"/>
      <c r="AV474" s="3"/>
      <c r="AW474" s="3"/>
      <c r="AX474" s="3"/>
      <c r="AY474" s="3"/>
      <c r="AZ474" s="3"/>
      <c r="BA474" s="3"/>
      <c r="BB474" s="3"/>
      <c r="BC474" s="3"/>
      <c r="BD474" s="3"/>
      <c r="BE474" s="3"/>
      <c r="BF474" s="3"/>
    </row>
    <row r="475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20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  <c r="AG475" s="3"/>
      <c r="AH475" s="3"/>
      <c r="AI475" s="3"/>
      <c r="AJ475" s="3"/>
      <c r="AK475" s="3"/>
      <c r="AL475" s="3"/>
      <c r="AM475" s="3"/>
      <c r="AN475" s="3"/>
      <c r="AO475" s="3"/>
      <c r="AP475" s="3"/>
      <c r="AQ475" s="3"/>
      <c r="AR475" s="3"/>
      <c r="AS475" s="3"/>
      <c r="AT475" s="3"/>
      <c r="AU475" s="3"/>
      <c r="AV475" s="3"/>
      <c r="AW475" s="3"/>
      <c r="AX475" s="3"/>
      <c r="AY475" s="3"/>
      <c r="AZ475" s="3"/>
      <c r="BA475" s="3"/>
      <c r="BB475" s="3"/>
      <c r="BC475" s="3"/>
      <c r="BD475" s="3"/>
      <c r="BE475" s="3"/>
      <c r="BF475" s="3"/>
    </row>
    <row r="47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20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  <c r="AG476" s="3"/>
      <c r="AH476" s="3"/>
      <c r="AI476" s="3"/>
      <c r="AJ476" s="3"/>
      <c r="AK476" s="3"/>
      <c r="AL476" s="3"/>
      <c r="AM476" s="3"/>
      <c r="AN476" s="3"/>
      <c r="AO476" s="3"/>
      <c r="AP476" s="3"/>
      <c r="AQ476" s="3"/>
      <c r="AR476" s="3"/>
      <c r="AS476" s="3"/>
      <c r="AT476" s="3"/>
      <c r="AU476" s="3"/>
      <c r="AV476" s="3"/>
      <c r="AW476" s="3"/>
      <c r="AX476" s="3"/>
      <c r="AY476" s="3"/>
      <c r="AZ476" s="3"/>
      <c r="BA476" s="3"/>
      <c r="BB476" s="3"/>
      <c r="BC476" s="3"/>
      <c r="BD476" s="3"/>
      <c r="BE476" s="3"/>
      <c r="BF476" s="3"/>
    </row>
    <row r="477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20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  <c r="AG477" s="3"/>
      <c r="AH477" s="3"/>
      <c r="AI477" s="3"/>
      <c r="AJ477" s="3"/>
      <c r="AK477" s="3"/>
      <c r="AL477" s="3"/>
      <c r="AM477" s="3"/>
      <c r="AN477" s="3"/>
      <c r="AO477" s="3"/>
      <c r="AP477" s="3"/>
      <c r="AQ477" s="3"/>
      <c r="AR477" s="3"/>
      <c r="AS477" s="3"/>
      <c r="AT477" s="3"/>
      <c r="AU477" s="3"/>
      <c r="AV477" s="3"/>
      <c r="AW477" s="3"/>
      <c r="AX477" s="3"/>
      <c r="AY477" s="3"/>
      <c r="AZ477" s="3"/>
      <c r="BA477" s="3"/>
      <c r="BB477" s="3"/>
      <c r="BC477" s="3"/>
      <c r="BD477" s="3"/>
      <c r="BE477" s="3"/>
      <c r="BF477" s="3"/>
    </row>
    <row r="478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20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  <c r="AG478" s="3"/>
      <c r="AH478" s="3"/>
      <c r="AI478" s="3"/>
      <c r="AJ478" s="3"/>
      <c r="AK478" s="3"/>
      <c r="AL478" s="3"/>
      <c r="AM478" s="3"/>
      <c r="AN478" s="3"/>
      <c r="AO478" s="3"/>
      <c r="AP478" s="3"/>
      <c r="AQ478" s="3"/>
      <c r="AR478" s="3"/>
      <c r="AS478" s="3"/>
      <c r="AT478" s="3"/>
      <c r="AU478" s="3"/>
      <c r="AV478" s="3"/>
      <c r="AW478" s="3"/>
      <c r="AX478" s="3"/>
      <c r="AY478" s="3"/>
      <c r="AZ478" s="3"/>
      <c r="BA478" s="3"/>
      <c r="BB478" s="3"/>
      <c r="BC478" s="3"/>
      <c r="BD478" s="3"/>
      <c r="BE478" s="3"/>
      <c r="BF478" s="3"/>
    </row>
    <row r="479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20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  <c r="AG479" s="3"/>
      <c r="AH479" s="3"/>
      <c r="AI479" s="3"/>
      <c r="AJ479" s="3"/>
      <c r="AK479" s="3"/>
      <c r="AL479" s="3"/>
      <c r="AM479" s="3"/>
      <c r="AN479" s="3"/>
      <c r="AO479" s="3"/>
      <c r="AP479" s="3"/>
      <c r="AQ479" s="3"/>
      <c r="AR479" s="3"/>
      <c r="AS479" s="3"/>
      <c r="AT479" s="3"/>
      <c r="AU479" s="3"/>
      <c r="AV479" s="3"/>
      <c r="AW479" s="3"/>
      <c r="AX479" s="3"/>
      <c r="AY479" s="3"/>
      <c r="AZ479" s="3"/>
      <c r="BA479" s="3"/>
      <c r="BB479" s="3"/>
      <c r="BC479" s="3"/>
      <c r="BD479" s="3"/>
      <c r="BE479" s="3"/>
      <c r="BF479" s="3"/>
    </row>
    <row r="480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20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  <c r="AG480" s="3"/>
      <c r="AH480" s="3"/>
      <c r="AI480" s="3"/>
      <c r="AJ480" s="3"/>
      <c r="AK480" s="3"/>
      <c r="AL480" s="3"/>
      <c r="AM480" s="3"/>
      <c r="AN480" s="3"/>
      <c r="AO480" s="3"/>
      <c r="AP480" s="3"/>
      <c r="AQ480" s="3"/>
      <c r="AR480" s="3"/>
      <c r="AS480" s="3"/>
      <c r="AT480" s="3"/>
      <c r="AU480" s="3"/>
      <c r="AV480" s="3"/>
      <c r="AW480" s="3"/>
      <c r="AX480" s="3"/>
      <c r="AY480" s="3"/>
      <c r="AZ480" s="3"/>
      <c r="BA480" s="3"/>
      <c r="BB480" s="3"/>
      <c r="BC480" s="3"/>
      <c r="BD480" s="3"/>
      <c r="BE480" s="3"/>
      <c r="BF480" s="3"/>
    </row>
    <row r="48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20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  <c r="AG481" s="3"/>
      <c r="AH481" s="3"/>
      <c r="AI481" s="3"/>
      <c r="AJ481" s="3"/>
      <c r="AK481" s="3"/>
      <c r="AL481" s="3"/>
      <c r="AM481" s="3"/>
      <c r="AN481" s="3"/>
      <c r="AO481" s="3"/>
      <c r="AP481" s="3"/>
      <c r="AQ481" s="3"/>
      <c r="AR481" s="3"/>
      <c r="AS481" s="3"/>
      <c r="AT481" s="3"/>
      <c r="AU481" s="3"/>
      <c r="AV481" s="3"/>
      <c r="AW481" s="3"/>
      <c r="AX481" s="3"/>
      <c r="AY481" s="3"/>
      <c r="AZ481" s="3"/>
      <c r="BA481" s="3"/>
      <c r="BB481" s="3"/>
      <c r="BC481" s="3"/>
      <c r="BD481" s="3"/>
      <c r="BE481" s="3"/>
      <c r="BF481" s="3"/>
    </row>
    <row r="482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20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  <c r="AG482" s="3"/>
      <c r="AH482" s="3"/>
      <c r="AI482" s="3"/>
      <c r="AJ482" s="3"/>
      <c r="AK482" s="3"/>
      <c r="AL482" s="3"/>
      <c r="AM482" s="3"/>
      <c r="AN482" s="3"/>
      <c r="AO482" s="3"/>
      <c r="AP482" s="3"/>
      <c r="AQ482" s="3"/>
      <c r="AR482" s="3"/>
      <c r="AS482" s="3"/>
      <c r="AT482" s="3"/>
      <c r="AU482" s="3"/>
      <c r="AV482" s="3"/>
      <c r="AW482" s="3"/>
      <c r="AX482" s="3"/>
      <c r="AY482" s="3"/>
      <c r="AZ482" s="3"/>
      <c r="BA482" s="3"/>
      <c r="BB482" s="3"/>
      <c r="BC482" s="3"/>
      <c r="BD482" s="3"/>
      <c r="BE482" s="3"/>
      <c r="BF482" s="3"/>
    </row>
    <row r="48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20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  <c r="AG483" s="3"/>
      <c r="AH483" s="3"/>
      <c r="AI483" s="3"/>
      <c r="AJ483" s="3"/>
      <c r="AK483" s="3"/>
      <c r="AL483" s="3"/>
      <c r="AM483" s="3"/>
      <c r="AN483" s="3"/>
      <c r="AO483" s="3"/>
      <c r="AP483" s="3"/>
      <c r="AQ483" s="3"/>
      <c r="AR483" s="3"/>
      <c r="AS483" s="3"/>
      <c r="AT483" s="3"/>
      <c r="AU483" s="3"/>
      <c r="AV483" s="3"/>
      <c r="AW483" s="3"/>
      <c r="AX483" s="3"/>
      <c r="AY483" s="3"/>
      <c r="AZ483" s="3"/>
      <c r="BA483" s="3"/>
      <c r="BB483" s="3"/>
      <c r="BC483" s="3"/>
      <c r="BD483" s="3"/>
      <c r="BE483" s="3"/>
      <c r="BF483" s="3"/>
    </row>
    <row r="484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20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  <c r="AG484" s="3"/>
      <c r="AH484" s="3"/>
      <c r="AI484" s="3"/>
      <c r="AJ484" s="3"/>
      <c r="AK484" s="3"/>
      <c r="AL484" s="3"/>
      <c r="AM484" s="3"/>
      <c r="AN484" s="3"/>
      <c r="AO484" s="3"/>
      <c r="AP484" s="3"/>
      <c r="AQ484" s="3"/>
      <c r="AR484" s="3"/>
      <c r="AS484" s="3"/>
      <c r="AT484" s="3"/>
      <c r="AU484" s="3"/>
      <c r="AV484" s="3"/>
      <c r="AW484" s="3"/>
      <c r="AX484" s="3"/>
      <c r="AY484" s="3"/>
      <c r="AZ484" s="3"/>
      <c r="BA484" s="3"/>
      <c r="BB484" s="3"/>
      <c r="BC484" s="3"/>
      <c r="BD484" s="3"/>
      <c r="BE484" s="3"/>
      <c r="BF484" s="3"/>
    </row>
    <row r="485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20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  <c r="AG485" s="3"/>
      <c r="AH485" s="3"/>
      <c r="AI485" s="3"/>
      <c r="AJ485" s="3"/>
      <c r="AK485" s="3"/>
      <c r="AL485" s="3"/>
      <c r="AM485" s="3"/>
      <c r="AN485" s="3"/>
      <c r="AO485" s="3"/>
      <c r="AP485" s="3"/>
      <c r="AQ485" s="3"/>
      <c r="AR485" s="3"/>
      <c r="AS485" s="3"/>
      <c r="AT485" s="3"/>
      <c r="AU485" s="3"/>
      <c r="AV485" s="3"/>
      <c r="AW485" s="3"/>
      <c r="AX485" s="3"/>
      <c r="AY485" s="3"/>
      <c r="AZ485" s="3"/>
      <c r="BA485" s="3"/>
      <c r="BB485" s="3"/>
      <c r="BC485" s="3"/>
      <c r="BD485" s="3"/>
      <c r="BE485" s="3"/>
      <c r="BF485" s="3"/>
    </row>
    <row r="48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20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  <c r="AG486" s="3"/>
      <c r="AH486" s="3"/>
      <c r="AI486" s="3"/>
      <c r="AJ486" s="3"/>
      <c r="AK486" s="3"/>
      <c r="AL486" s="3"/>
      <c r="AM486" s="3"/>
      <c r="AN486" s="3"/>
      <c r="AO486" s="3"/>
      <c r="AP486" s="3"/>
      <c r="AQ486" s="3"/>
      <c r="AR486" s="3"/>
      <c r="AS486" s="3"/>
      <c r="AT486" s="3"/>
      <c r="AU486" s="3"/>
      <c r="AV486" s="3"/>
      <c r="AW486" s="3"/>
      <c r="AX486" s="3"/>
      <c r="AY486" s="3"/>
      <c r="AZ486" s="3"/>
      <c r="BA486" s="3"/>
      <c r="BB486" s="3"/>
      <c r="BC486" s="3"/>
      <c r="BD486" s="3"/>
      <c r="BE486" s="3"/>
      <c r="BF486" s="3"/>
    </row>
    <row r="487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20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  <c r="AG487" s="3"/>
      <c r="AH487" s="3"/>
      <c r="AI487" s="3"/>
      <c r="AJ487" s="3"/>
      <c r="AK487" s="3"/>
      <c r="AL487" s="3"/>
      <c r="AM487" s="3"/>
      <c r="AN487" s="3"/>
      <c r="AO487" s="3"/>
      <c r="AP487" s="3"/>
      <c r="AQ487" s="3"/>
      <c r="AR487" s="3"/>
      <c r="AS487" s="3"/>
      <c r="AT487" s="3"/>
      <c r="AU487" s="3"/>
      <c r="AV487" s="3"/>
      <c r="AW487" s="3"/>
      <c r="AX487" s="3"/>
      <c r="AY487" s="3"/>
      <c r="AZ487" s="3"/>
      <c r="BA487" s="3"/>
      <c r="BB487" s="3"/>
      <c r="BC487" s="3"/>
      <c r="BD487" s="3"/>
      <c r="BE487" s="3"/>
      <c r="BF487" s="3"/>
    </row>
    <row r="488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20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  <c r="AG488" s="3"/>
      <c r="AH488" s="3"/>
      <c r="AI488" s="3"/>
      <c r="AJ488" s="3"/>
      <c r="AK488" s="3"/>
      <c r="AL488" s="3"/>
      <c r="AM488" s="3"/>
      <c r="AN488" s="3"/>
      <c r="AO488" s="3"/>
      <c r="AP488" s="3"/>
      <c r="AQ488" s="3"/>
      <c r="AR488" s="3"/>
      <c r="AS488" s="3"/>
      <c r="AT488" s="3"/>
      <c r="AU488" s="3"/>
      <c r="AV488" s="3"/>
      <c r="AW488" s="3"/>
      <c r="AX488" s="3"/>
      <c r="AY488" s="3"/>
      <c r="AZ488" s="3"/>
      <c r="BA488" s="3"/>
      <c r="BB488" s="3"/>
      <c r="BC488" s="3"/>
      <c r="BD488" s="3"/>
      <c r="BE488" s="3"/>
      <c r="BF488" s="3"/>
    </row>
    <row r="489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20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  <c r="AG489" s="3"/>
      <c r="AH489" s="3"/>
      <c r="AI489" s="3"/>
      <c r="AJ489" s="3"/>
      <c r="AK489" s="3"/>
      <c r="AL489" s="3"/>
      <c r="AM489" s="3"/>
      <c r="AN489" s="3"/>
      <c r="AO489" s="3"/>
      <c r="AP489" s="3"/>
      <c r="AQ489" s="3"/>
      <c r="AR489" s="3"/>
      <c r="AS489" s="3"/>
      <c r="AT489" s="3"/>
      <c r="AU489" s="3"/>
      <c r="AV489" s="3"/>
      <c r="AW489" s="3"/>
      <c r="AX489" s="3"/>
      <c r="AY489" s="3"/>
      <c r="AZ489" s="3"/>
      <c r="BA489" s="3"/>
      <c r="BB489" s="3"/>
      <c r="BC489" s="3"/>
      <c r="BD489" s="3"/>
      <c r="BE489" s="3"/>
      <c r="BF489" s="3"/>
    </row>
    <row r="490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20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  <c r="AG490" s="3"/>
      <c r="AH490" s="3"/>
      <c r="AI490" s="3"/>
      <c r="AJ490" s="3"/>
      <c r="AK490" s="3"/>
      <c r="AL490" s="3"/>
      <c r="AM490" s="3"/>
      <c r="AN490" s="3"/>
      <c r="AO490" s="3"/>
      <c r="AP490" s="3"/>
      <c r="AQ490" s="3"/>
      <c r="AR490" s="3"/>
      <c r="AS490" s="3"/>
      <c r="AT490" s="3"/>
      <c r="AU490" s="3"/>
      <c r="AV490" s="3"/>
      <c r="AW490" s="3"/>
      <c r="AX490" s="3"/>
      <c r="AY490" s="3"/>
      <c r="AZ490" s="3"/>
      <c r="BA490" s="3"/>
      <c r="BB490" s="3"/>
      <c r="BC490" s="3"/>
      <c r="BD490" s="3"/>
      <c r="BE490" s="3"/>
      <c r="BF490" s="3"/>
    </row>
    <row r="49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20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  <c r="AG491" s="3"/>
      <c r="AH491" s="3"/>
      <c r="AI491" s="3"/>
      <c r="AJ491" s="3"/>
      <c r="AK491" s="3"/>
      <c r="AL491" s="3"/>
      <c r="AM491" s="3"/>
      <c r="AN491" s="3"/>
      <c r="AO491" s="3"/>
      <c r="AP491" s="3"/>
      <c r="AQ491" s="3"/>
      <c r="AR491" s="3"/>
      <c r="AS491" s="3"/>
      <c r="AT491" s="3"/>
      <c r="AU491" s="3"/>
      <c r="AV491" s="3"/>
      <c r="AW491" s="3"/>
      <c r="AX491" s="3"/>
      <c r="AY491" s="3"/>
      <c r="AZ491" s="3"/>
      <c r="BA491" s="3"/>
      <c r="BB491" s="3"/>
      <c r="BC491" s="3"/>
      <c r="BD491" s="3"/>
      <c r="BE491" s="3"/>
      <c r="BF491" s="3"/>
    </row>
    <row r="492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20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  <c r="AG492" s="3"/>
      <c r="AH492" s="3"/>
      <c r="AI492" s="3"/>
      <c r="AJ492" s="3"/>
      <c r="AK492" s="3"/>
      <c r="AL492" s="3"/>
      <c r="AM492" s="3"/>
      <c r="AN492" s="3"/>
      <c r="AO492" s="3"/>
      <c r="AP492" s="3"/>
      <c r="AQ492" s="3"/>
      <c r="AR492" s="3"/>
      <c r="AS492" s="3"/>
      <c r="AT492" s="3"/>
      <c r="AU492" s="3"/>
      <c r="AV492" s="3"/>
      <c r="AW492" s="3"/>
      <c r="AX492" s="3"/>
      <c r="AY492" s="3"/>
      <c r="AZ492" s="3"/>
      <c r="BA492" s="3"/>
      <c r="BB492" s="3"/>
      <c r="BC492" s="3"/>
      <c r="BD492" s="3"/>
      <c r="BE492" s="3"/>
      <c r="BF492" s="3"/>
    </row>
    <row r="49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20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  <c r="AG493" s="3"/>
      <c r="AH493" s="3"/>
      <c r="AI493" s="3"/>
      <c r="AJ493" s="3"/>
      <c r="AK493" s="3"/>
      <c r="AL493" s="3"/>
      <c r="AM493" s="3"/>
      <c r="AN493" s="3"/>
      <c r="AO493" s="3"/>
      <c r="AP493" s="3"/>
      <c r="AQ493" s="3"/>
      <c r="AR493" s="3"/>
      <c r="AS493" s="3"/>
      <c r="AT493" s="3"/>
      <c r="AU493" s="3"/>
      <c r="AV493" s="3"/>
      <c r="AW493" s="3"/>
      <c r="AX493" s="3"/>
      <c r="AY493" s="3"/>
      <c r="AZ493" s="3"/>
      <c r="BA493" s="3"/>
      <c r="BB493" s="3"/>
      <c r="BC493" s="3"/>
      <c r="BD493" s="3"/>
      <c r="BE493" s="3"/>
      <c r="BF493" s="3"/>
    </row>
    <row r="494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20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  <c r="AG494" s="3"/>
      <c r="AH494" s="3"/>
      <c r="AI494" s="3"/>
      <c r="AJ494" s="3"/>
      <c r="AK494" s="3"/>
      <c r="AL494" s="3"/>
      <c r="AM494" s="3"/>
      <c r="AN494" s="3"/>
      <c r="AO494" s="3"/>
      <c r="AP494" s="3"/>
      <c r="AQ494" s="3"/>
      <c r="AR494" s="3"/>
      <c r="AS494" s="3"/>
      <c r="AT494" s="3"/>
      <c r="AU494" s="3"/>
      <c r="AV494" s="3"/>
      <c r="AW494" s="3"/>
      <c r="AX494" s="3"/>
      <c r="AY494" s="3"/>
      <c r="AZ494" s="3"/>
      <c r="BA494" s="3"/>
      <c r="BB494" s="3"/>
      <c r="BC494" s="3"/>
      <c r="BD494" s="3"/>
      <c r="BE494" s="3"/>
      <c r="BF494" s="3"/>
    </row>
    <row r="495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20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  <c r="AG495" s="3"/>
      <c r="AH495" s="3"/>
      <c r="AI495" s="3"/>
      <c r="AJ495" s="3"/>
      <c r="AK495" s="3"/>
      <c r="AL495" s="3"/>
      <c r="AM495" s="3"/>
      <c r="AN495" s="3"/>
      <c r="AO495" s="3"/>
      <c r="AP495" s="3"/>
      <c r="AQ495" s="3"/>
      <c r="AR495" s="3"/>
      <c r="AS495" s="3"/>
      <c r="AT495" s="3"/>
      <c r="AU495" s="3"/>
      <c r="AV495" s="3"/>
      <c r="AW495" s="3"/>
      <c r="AX495" s="3"/>
      <c r="AY495" s="3"/>
      <c r="AZ495" s="3"/>
      <c r="BA495" s="3"/>
      <c r="BB495" s="3"/>
      <c r="BC495" s="3"/>
      <c r="BD495" s="3"/>
      <c r="BE495" s="3"/>
      <c r="BF495" s="3"/>
    </row>
    <row r="49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20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  <c r="AG496" s="3"/>
      <c r="AH496" s="3"/>
      <c r="AI496" s="3"/>
      <c r="AJ496" s="3"/>
      <c r="AK496" s="3"/>
      <c r="AL496" s="3"/>
      <c r="AM496" s="3"/>
      <c r="AN496" s="3"/>
      <c r="AO496" s="3"/>
      <c r="AP496" s="3"/>
      <c r="AQ496" s="3"/>
      <c r="AR496" s="3"/>
      <c r="AS496" s="3"/>
      <c r="AT496" s="3"/>
      <c r="AU496" s="3"/>
      <c r="AV496" s="3"/>
      <c r="AW496" s="3"/>
      <c r="AX496" s="3"/>
      <c r="AY496" s="3"/>
      <c r="AZ496" s="3"/>
      <c r="BA496" s="3"/>
      <c r="BB496" s="3"/>
      <c r="BC496" s="3"/>
      <c r="BD496" s="3"/>
      <c r="BE496" s="3"/>
      <c r="BF496" s="3"/>
    </row>
    <row r="497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20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  <c r="AG497" s="3"/>
      <c r="AH497" s="3"/>
      <c r="AI497" s="3"/>
      <c r="AJ497" s="3"/>
      <c r="AK497" s="3"/>
      <c r="AL497" s="3"/>
      <c r="AM497" s="3"/>
      <c r="AN497" s="3"/>
      <c r="AO497" s="3"/>
      <c r="AP497" s="3"/>
      <c r="AQ497" s="3"/>
      <c r="AR497" s="3"/>
      <c r="AS497" s="3"/>
      <c r="AT497" s="3"/>
      <c r="AU497" s="3"/>
      <c r="AV497" s="3"/>
      <c r="AW497" s="3"/>
      <c r="AX497" s="3"/>
      <c r="AY497" s="3"/>
      <c r="AZ497" s="3"/>
      <c r="BA497" s="3"/>
      <c r="BB497" s="3"/>
      <c r="BC497" s="3"/>
      <c r="BD497" s="3"/>
      <c r="BE497" s="3"/>
      <c r="BF497" s="3"/>
    </row>
    <row r="498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20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  <c r="AG498" s="3"/>
      <c r="AH498" s="3"/>
      <c r="AI498" s="3"/>
      <c r="AJ498" s="3"/>
      <c r="AK498" s="3"/>
      <c r="AL498" s="3"/>
      <c r="AM498" s="3"/>
      <c r="AN498" s="3"/>
      <c r="AO498" s="3"/>
      <c r="AP498" s="3"/>
      <c r="AQ498" s="3"/>
      <c r="AR498" s="3"/>
      <c r="AS498" s="3"/>
      <c r="AT498" s="3"/>
      <c r="AU498" s="3"/>
      <c r="AV498" s="3"/>
      <c r="AW498" s="3"/>
      <c r="AX498" s="3"/>
      <c r="AY498" s="3"/>
      <c r="AZ498" s="3"/>
      <c r="BA498" s="3"/>
      <c r="BB498" s="3"/>
      <c r="BC498" s="3"/>
      <c r="BD498" s="3"/>
      <c r="BE498" s="3"/>
      <c r="BF498" s="3"/>
    </row>
    <row r="499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20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  <c r="AG499" s="3"/>
      <c r="AH499" s="3"/>
      <c r="AI499" s="3"/>
      <c r="AJ499" s="3"/>
      <c r="AK499" s="3"/>
      <c r="AL499" s="3"/>
      <c r="AM499" s="3"/>
      <c r="AN499" s="3"/>
      <c r="AO499" s="3"/>
      <c r="AP499" s="3"/>
      <c r="AQ499" s="3"/>
      <c r="AR499" s="3"/>
      <c r="AS499" s="3"/>
      <c r="AT499" s="3"/>
      <c r="AU499" s="3"/>
      <c r="AV499" s="3"/>
      <c r="AW499" s="3"/>
      <c r="AX499" s="3"/>
      <c r="AY499" s="3"/>
      <c r="AZ499" s="3"/>
      <c r="BA499" s="3"/>
      <c r="BB499" s="3"/>
      <c r="BC499" s="3"/>
      <c r="BD499" s="3"/>
      <c r="BE499" s="3"/>
      <c r="BF499" s="3"/>
    </row>
    <row r="500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20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  <c r="AG500" s="3"/>
      <c r="AH500" s="3"/>
      <c r="AI500" s="3"/>
      <c r="AJ500" s="3"/>
      <c r="AK500" s="3"/>
      <c r="AL500" s="3"/>
      <c r="AM500" s="3"/>
      <c r="AN500" s="3"/>
      <c r="AO500" s="3"/>
      <c r="AP500" s="3"/>
      <c r="AQ500" s="3"/>
      <c r="AR500" s="3"/>
      <c r="AS500" s="3"/>
      <c r="AT500" s="3"/>
      <c r="AU500" s="3"/>
      <c r="AV500" s="3"/>
      <c r="AW500" s="3"/>
      <c r="AX500" s="3"/>
      <c r="AY500" s="3"/>
      <c r="AZ500" s="3"/>
      <c r="BA500" s="3"/>
      <c r="BB500" s="3"/>
      <c r="BC500" s="3"/>
      <c r="BD500" s="3"/>
      <c r="BE500" s="3"/>
      <c r="BF500" s="3"/>
    </row>
    <row r="50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20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  <c r="AG501" s="3"/>
      <c r="AH501" s="3"/>
      <c r="AI501" s="3"/>
      <c r="AJ501" s="3"/>
      <c r="AK501" s="3"/>
      <c r="AL501" s="3"/>
      <c r="AM501" s="3"/>
      <c r="AN501" s="3"/>
      <c r="AO501" s="3"/>
      <c r="AP501" s="3"/>
      <c r="AQ501" s="3"/>
      <c r="AR501" s="3"/>
      <c r="AS501" s="3"/>
      <c r="AT501" s="3"/>
      <c r="AU501" s="3"/>
      <c r="AV501" s="3"/>
      <c r="AW501" s="3"/>
      <c r="AX501" s="3"/>
      <c r="AY501" s="3"/>
      <c r="AZ501" s="3"/>
      <c r="BA501" s="3"/>
      <c r="BB501" s="3"/>
      <c r="BC501" s="3"/>
      <c r="BD501" s="3"/>
      <c r="BE501" s="3"/>
      <c r="BF501" s="3"/>
    </row>
    <row r="502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20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  <c r="AG502" s="3"/>
      <c r="AH502" s="3"/>
      <c r="AI502" s="3"/>
      <c r="AJ502" s="3"/>
      <c r="AK502" s="3"/>
      <c r="AL502" s="3"/>
      <c r="AM502" s="3"/>
      <c r="AN502" s="3"/>
      <c r="AO502" s="3"/>
      <c r="AP502" s="3"/>
      <c r="AQ502" s="3"/>
      <c r="AR502" s="3"/>
      <c r="AS502" s="3"/>
      <c r="AT502" s="3"/>
      <c r="AU502" s="3"/>
      <c r="AV502" s="3"/>
      <c r="AW502" s="3"/>
      <c r="AX502" s="3"/>
      <c r="AY502" s="3"/>
      <c r="AZ502" s="3"/>
      <c r="BA502" s="3"/>
      <c r="BB502" s="3"/>
      <c r="BC502" s="3"/>
      <c r="BD502" s="3"/>
      <c r="BE502" s="3"/>
      <c r="BF502" s="3"/>
    </row>
    <row r="50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20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  <c r="AG503" s="3"/>
      <c r="AH503" s="3"/>
      <c r="AI503" s="3"/>
      <c r="AJ503" s="3"/>
      <c r="AK503" s="3"/>
      <c r="AL503" s="3"/>
      <c r="AM503" s="3"/>
      <c r="AN503" s="3"/>
      <c r="AO503" s="3"/>
      <c r="AP503" s="3"/>
      <c r="AQ503" s="3"/>
      <c r="AR503" s="3"/>
      <c r="AS503" s="3"/>
      <c r="AT503" s="3"/>
      <c r="AU503" s="3"/>
      <c r="AV503" s="3"/>
      <c r="AW503" s="3"/>
      <c r="AX503" s="3"/>
      <c r="AY503" s="3"/>
      <c r="AZ503" s="3"/>
      <c r="BA503" s="3"/>
      <c r="BB503" s="3"/>
      <c r="BC503" s="3"/>
      <c r="BD503" s="3"/>
      <c r="BE503" s="3"/>
      <c r="BF503" s="3"/>
    </row>
    <row r="504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20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  <c r="AG504" s="3"/>
      <c r="AH504" s="3"/>
      <c r="AI504" s="3"/>
      <c r="AJ504" s="3"/>
      <c r="AK504" s="3"/>
      <c r="AL504" s="3"/>
      <c r="AM504" s="3"/>
      <c r="AN504" s="3"/>
      <c r="AO504" s="3"/>
      <c r="AP504" s="3"/>
      <c r="AQ504" s="3"/>
      <c r="AR504" s="3"/>
      <c r="AS504" s="3"/>
      <c r="AT504" s="3"/>
      <c r="AU504" s="3"/>
      <c r="AV504" s="3"/>
      <c r="AW504" s="3"/>
      <c r="AX504" s="3"/>
      <c r="AY504" s="3"/>
      <c r="AZ504" s="3"/>
      <c r="BA504" s="3"/>
      <c r="BB504" s="3"/>
      <c r="BC504" s="3"/>
      <c r="BD504" s="3"/>
      <c r="BE504" s="3"/>
      <c r="BF504" s="3"/>
    </row>
    <row r="505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20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  <c r="AG505" s="3"/>
      <c r="AH505" s="3"/>
      <c r="AI505" s="3"/>
      <c r="AJ505" s="3"/>
      <c r="AK505" s="3"/>
      <c r="AL505" s="3"/>
      <c r="AM505" s="3"/>
      <c r="AN505" s="3"/>
      <c r="AO505" s="3"/>
      <c r="AP505" s="3"/>
      <c r="AQ505" s="3"/>
      <c r="AR505" s="3"/>
      <c r="AS505" s="3"/>
      <c r="AT505" s="3"/>
      <c r="AU505" s="3"/>
      <c r="AV505" s="3"/>
      <c r="AW505" s="3"/>
      <c r="AX505" s="3"/>
      <c r="AY505" s="3"/>
      <c r="AZ505" s="3"/>
      <c r="BA505" s="3"/>
      <c r="BB505" s="3"/>
      <c r="BC505" s="3"/>
      <c r="BD505" s="3"/>
      <c r="BE505" s="3"/>
      <c r="BF505" s="3"/>
    </row>
    <row r="50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20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  <c r="AG506" s="3"/>
      <c r="AH506" s="3"/>
      <c r="AI506" s="3"/>
      <c r="AJ506" s="3"/>
      <c r="AK506" s="3"/>
      <c r="AL506" s="3"/>
      <c r="AM506" s="3"/>
      <c r="AN506" s="3"/>
      <c r="AO506" s="3"/>
      <c r="AP506" s="3"/>
      <c r="AQ506" s="3"/>
      <c r="AR506" s="3"/>
      <c r="AS506" s="3"/>
      <c r="AT506" s="3"/>
      <c r="AU506" s="3"/>
      <c r="AV506" s="3"/>
      <c r="AW506" s="3"/>
      <c r="AX506" s="3"/>
      <c r="AY506" s="3"/>
      <c r="AZ506" s="3"/>
      <c r="BA506" s="3"/>
      <c r="BB506" s="3"/>
      <c r="BC506" s="3"/>
      <c r="BD506" s="3"/>
      <c r="BE506" s="3"/>
      <c r="BF506" s="3"/>
    </row>
    <row r="507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20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  <c r="AG507" s="3"/>
      <c r="AH507" s="3"/>
      <c r="AI507" s="3"/>
      <c r="AJ507" s="3"/>
      <c r="AK507" s="3"/>
      <c r="AL507" s="3"/>
      <c r="AM507" s="3"/>
      <c r="AN507" s="3"/>
      <c r="AO507" s="3"/>
      <c r="AP507" s="3"/>
      <c r="AQ507" s="3"/>
      <c r="AR507" s="3"/>
      <c r="AS507" s="3"/>
      <c r="AT507" s="3"/>
      <c r="AU507" s="3"/>
      <c r="AV507" s="3"/>
      <c r="AW507" s="3"/>
      <c r="AX507" s="3"/>
      <c r="AY507" s="3"/>
      <c r="AZ507" s="3"/>
      <c r="BA507" s="3"/>
      <c r="BB507" s="3"/>
      <c r="BC507" s="3"/>
      <c r="BD507" s="3"/>
      <c r="BE507" s="3"/>
      <c r="BF507" s="3"/>
    </row>
    <row r="508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20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  <c r="AG508" s="3"/>
      <c r="AH508" s="3"/>
      <c r="AI508" s="3"/>
      <c r="AJ508" s="3"/>
      <c r="AK508" s="3"/>
      <c r="AL508" s="3"/>
      <c r="AM508" s="3"/>
      <c r="AN508" s="3"/>
      <c r="AO508" s="3"/>
      <c r="AP508" s="3"/>
      <c r="AQ508" s="3"/>
      <c r="AR508" s="3"/>
      <c r="AS508" s="3"/>
      <c r="AT508" s="3"/>
      <c r="AU508" s="3"/>
      <c r="AV508" s="3"/>
      <c r="AW508" s="3"/>
      <c r="AX508" s="3"/>
      <c r="AY508" s="3"/>
      <c r="AZ508" s="3"/>
      <c r="BA508" s="3"/>
      <c r="BB508" s="3"/>
      <c r="BC508" s="3"/>
      <c r="BD508" s="3"/>
      <c r="BE508" s="3"/>
      <c r="BF508" s="3"/>
    </row>
    <row r="509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20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  <c r="AG509" s="3"/>
      <c r="AH509" s="3"/>
      <c r="AI509" s="3"/>
      <c r="AJ509" s="3"/>
      <c r="AK509" s="3"/>
      <c r="AL509" s="3"/>
      <c r="AM509" s="3"/>
      <c r="AN509" s="3"/>
      <c r="AO509" s="3"/>
      <c r="AP509" s="3"/>
      <c r="AQ509" s="3"/>
      <c r="AR509" s="3"/>
      <c r="AS509" s="3"/>
      <c r="AT509" s="3"/>
      <c r="AU509" s="3"/>
      <c r="AV509" s="3"/>
      <c r="AW509" s="3"/>
      <c r="AX509" s="3"/>
      <c r="AY509" s="3"/>
      <c r="AZ509" s="3"/>
      <c r="BA509" s="3"/>
      <c r="BB509" s="3"/>
      <c r="BC509" s="3"/>
      <c r="BD509" s="3"/>
      <c r="BE509" s="3"/>
      <c r="BF509" s="3"/>
    </row>
    <row r="510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20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  <c r="AG510" s="3"/>
      <c r="AH510" s="3"/>
      <c r="AI510" s="3"/>
      <c r="AJ510" s="3"/>
      <c r="AK510" s="3"/>
      <c r="AL510" s="3"/>
      <c r="AM510" s="3"/>
      <c r="AN510" s="3"/>
      <c r="AO510" s="3"/>
      <c r="AP510" s="3"/>
      <c r="AQ510" s="3"/>
      <c r="AR510" s="3"/>
      <c r="AS510" s="3"/>
      <c r="AT510" s="3"/>
      <c r="AU510" s="3"/>
      <c r="AV510" s="3"/>
      <c r="AW510" s="3"/>
      <c r="AX510" s="3"/>
      <c r="AY510" s="3"/>
      <c r="AZ510" s="3"/>
      <c r="BA510" s="3"/>
      <c r="BB510" s="3"/>
      <c r="BC510" s="3"/>
      <c r="BD510" s="3"/>
      <c r="BE510" s="3"/>
      <c r="BF510" s="3"/>
    </row>
    <row r="51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20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  <c r="AG511" s="3"/>
      <c r="AH511" s="3"/>
      <c r="AI511" s="3"/>
      <c r="AJ511" s="3"/>
      <c r="AK511" s="3"/>
      <c r="AL511" s="3"/>
      <c r="AM511" s="3"/>
      <c r="AN511" s="3"/>
      <c r="AO511" s="3"/>
      <c r="AP511" s="3"/>
      <c r="AQ511" s="3"/>
      <c r="AR511" s="3"/>
      <c r="AS511" s="3"/>
      <c r="AT511" s="3"/>
      <c r="AU511" s="3"/>
      <c r="AV511" s="3"/>
      <c r="AW511" s="3"/>
      <c r="AX511" s="3"/>
      <c r="AY511" s="3"/>
      <c r="AZ511" s="3"/>
      <c r="BA511" s="3"/>
      <c r="BB511" s="3"/>
      <c r="BC511" s="3"/>
      <c r="BD511" s="3"/>
      <c r="BE511" s="3"/>
      <c r="BF511" s="3"/>
    </row>
    <row r="512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20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  <c r="AG512" s="3"/>
      <c r="AH512" s="3"/>
      <c r="AI512" s="3"/>
      <c r="AJ512" s="3"/>
      <c r="AK512" s="3"/>
      <c r="AL512" s="3"/>
      <c r="AM512" s="3"/>
      <c r="AN512" s="3"/>
      <c r="AO512" s="3"/>
      <c r="AP512" s="3"/>
      <c r="AQ512" s="3"/>
      <c r="AR512" s="3"/>
      <c r="AS512" s="3"/>
      <c r="AT512" s="3"/>
      <c r="AU512" s="3"/>
      <c r="AV512" s="3"/>
      <c r="AW512" s="3"/>
      <c r="AX512" s="3"/>
      <c r="AY512" s="3"/>
      <c r="AZ512" s="3"/>
      <c r="BA512" s="3"/>
      <c r="BB512" s="3"/>
      <c r="BC512" s="3"/>
      <c r="BD512" s="3"/>
      <c r="BE512" s="3"/>
      <c r="BF512" s="3"/>
    </row>
    <row r="51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20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  <c r="AG513" s="3"/>
      <c r="AH513" s="3"/>
      <c r="AI513" s="3"/>
      <c r="AJ513" s="3"/>
      <c r="AK513" s="3"/>
      <c r="AL513" s="3"/>
      <c r="AM513" s="3"/>
      <c r="AN513" s="3"/>
      <c r="AO513" s="3"/>
      <c r="AP513" s="3"/>
      <c r="AQ513" s="3"/>
      <c r="AR513" s="3"/>
      <c r="AS513" s="3"/>
      <c r="AT513" s="3"/>
      <c r="AU513" s="3"/>
      <c r="AV513" s="3"/>
      <c r="AW513" s="3"/>
      <c r="AX513" s="3"/>
      <c r="AY513" s="3"/>
      <c r="AZ513" s="3"/>
      <c r="BA513" s="3"/>
      <c r="BB513" s="3"/>
      <c r="BC513" s="3"/>
      <c r="BD513" s="3"/>
      <c r="BE513" s="3"/>
      <c r="BF513" s="3"/>
    </row>
    <row r="514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20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  <c r="AG514" s="3"/>
      <c r="AH514" s="3"/>
      <c r="AI514" s="3"/>
      <c r="AJ514" s="3"/>
      <c r="AK514" s="3"/>
      <c r="AL514" s="3"/>
      <c r="AM514" s="3"/>
      <c r="AN514" s="3"/>
      <c r="AO514" s="3"/>
      <c r="AP514" s="3"/>
      <c r="AQ514" s="3"/>
      <c r="AR514" s="3"/>
      <c r="AS514" s="3"/>
      <c r="AT514" s="3"/>
      <c r="AU514" s="3"/>
      <c r="AV514" s="3"/>
      <c r="AW514" s="3"/>
      <c r="AX514" s="3"/>
      <c r="AY514" s="3"/>
      <c r="AZ514" s="3"/>
      <c r="BA514" s="3"/>
      <c r="BB514" s="3"/>
      <c r="BC514" s="3"/>
      <c r="BD514" s="3"/>
      <c r="BE514" s="3"/>
      <c r="BF514" s="3"/>
    </row>
    <row r="515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20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  <c r="AG515" s="3"/>
      <c r="AH515" s="3"/>
      <c r="AI515" s="3"/>
      <c r="AJ515" s="3"/>
      <c r="AK515" s="3"/>
      <c r="AL515" s="3"/>
      <c r="AM515" s="3"/>
      <c r="AN515" s="3"/>
      <c r="AO515" s="3"/>
      <c r="AP515" s="3"/>
      <c r="AQ515" s="3"/>
      <c r="AR515" s="3"/>
      <c r="AS515" s="3"/>
      <c r="AT515" s="3"/>
      <c r="AU515" s="3"/>
      <c r="AV515" s="3"/>
      <c r="AW515" s="3"/>
      <c r="AX515" s="3"/>
      <c r="AY515" s="3"/>
      <c r="AZ515" s="3"/>
      <c r="BA515" s="3"/>
      <c r="BB515" s="3"/>
      <c r="BC515" s="3"/>
      <c r="BD515" s="3"/>
      <c r="BE515" s="3"/>
      <c r="BF515" s="3"/>
    </row>
    <row r="51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20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  <c r="AG516" s="3"/>
      <c r="AH516" s="3"/>
      <c r="AI516" s="3"/>
      <c r="AJ516" s="3"/>
      <c r="AK516" s="3"/>
      <c r="AL516" s="3"/>
      <c r="AM516" s="3"/>
      <c r="AN516" s="3"/>
      <c r="AO516" s="3"/>
      <c r="AP516" s="3"/>
      <c r="AQ516" s="3"/>
      <c r="AR516" s="3"/>
      <c r="AS516" s="3"/>
      <c r="AT516" s="3"/>
      <c r="AU516" s="3"/>
      <c r="AV516" s="3"/>
      <c r="AW516" s="3"/>
      <c r="AX516" s="3"/>
      <c r="AY516" s="3"/>
      <c r="AZ516" s="3"/>
      <c r="BA516" s="3"/>
      <c r="BB516" s="3"/>
      <c r="BC516" s="3"/>
      <c r="BD516" s="3"/>
      <c r="BE516" s="3"/>
      <c r="BF516" s="3"/>
    </row>
    <row r="517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20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  <c r="AG517" s="3"/>
      <c r="AH517" s="3"/>
      <c r="AI517" s="3"/>
      <c r="AJ517" s="3"/>
      <c r="AK517" s="3"/>
      <c r="AL517" s="3"/>
      <c r="AM517" s="3"/>
      <c r="AN517" s="3"/>
      <c r="AO517" s="3"/>
      <c r="AP517" s="3"/>
      <c r="AQ517" s="3"/>
      <c r="AR517" s="3"/>
      <c r="AS517" s="3"/>
      <c r="AT517" s="3"/>
      <c r="AU517" s="3"/>
      <c r="AV517" s="3"/>
      <c r="AW517" s="3"/>
      <c r="AX517" s="3"/>
      <c r="AY517" s="3"/>
      <c r="AZ517" s="3"/>
      <c r="BA517" s="3"/>
      <c r="BB517" s="3"/>
      <c r="BC517" s="3"/>
      <c r="BD517" s="3"/>
      <c r="BE517" s="3"/>
      <c r="BF517" s="3"/>
    </row>
    <row r="518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20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  <c r="AG518" s="3"/>
      <c r="AH518" s="3"/>
      <c r="AI518" s="3"/>
      <c r="AJ518" s="3"/>
      <c r="AK518" s="3"/>
      <c r="AL518" s="3"/>
      <c r="AM518" s="3"/>
      <c r="AN518" s="3"/>
      <c r="AO518" s="3"/>
      <c r="AP518" s="3"/>
      <c r="AQ518" s="3"/>
      <c r="AR518" s="3"/>
      <c r="AS518" s="3"/>
      <c r="AT518" s="3"/>
      <c r="AU518" s="3"/>
      <c r="AV518" s="3"/>
      <c r="AW518" s="3"/>
      <c r="AX518" s="3"/>
      <c r="AY518" s="3"/>
      <c r="AZ518" s="3"/>
      <c r="BA518" s="3"/>
      <c r="BB518" s="3"/>
      <c r="BC518" s="3"/>
      <c r="BD518" s="3"/>
      <c r="BE518" s="3"/>
      <c r="BF518" s="3"/>
    </row>
    <row r="519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20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  <c r="AG519" s="3"/>
      <c r="AH519" s="3"/>
      <c r="AI519" s="3"/>
      <c r="AJ519" s="3"/>
      <c r="AK519" s="3"/>
      <c r="AL519" s="3"/>
      <c r="AM519" s="3"/>
      <c r="AN519" s="3"/>
      <c r="AO519" s="3"/>
      <c r="AP519" s="3"/>
      <c r="AQ519" s="3"/>
      <c r="AR519" s="3"/>
      <c r="AS519" s="3"/>
      <c r="AT519" s="3"/>
      <c r="AU519" s="3"/>
      <c r="AV519" s="3"/>
      <c r="AW519" s="3"/>
      <c r="AX519" s="3"/>
      <c r="AY519" s="3"/>
      <c r="AZ519" s="3"/>
      <c r="BA519" s="3"/>
      <c r="BB519" s="3"/>
      <c r="BC519" s="3"/>
      <c r="BD519" s="3"/>
      <c r="BE519" s="3"/>
      <c r="BF519" s="3"/>
    </row>
    <row r="520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20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  <c r="AG520" s="3"/>
      <c r="AH520" s="3"/>
      <c r="AI520" s="3"/>
      <c r="AJ520" s="3"/>
      <c r="AK520" s="3"/>
      <c r="AL520" s="3"/>
      <c r="AM520" s="3"/>
      <c r="AN520" s="3"/>
      <c r="AO520" s="3"/>
      <c r="AP520" s="3"/>
      <c r="AQ520" s="3"/>
      <c r="AR520" s="3"/>
      <c r="AS520" s="3"/>
      <c r="AT520" s="3"/>
      <c r="AU520" s="3"/>
      <c r="AV520" s="3"/>
      <c r="AW520" s="3"/>
      <c r="AX520" s="3"/>
      <c r="AY520" s="3"/>
      <c r="AZ520" s="3"/>
      <c r="BA520" s="3"/>
      <c r="BB520" s="3"/>
      <c r="BC520" s="3"/>
      <c r="BD520" s="3"/>
      <c r="BE520" s="3"/>
      <c r="BF520" s="3"/>
    </row>
    <row r="52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20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  <c r="AG521" s="3"/>
      <c r="AH521" s="3"/>
      <c r="AI521" s="3"/>
      <c r="AJ521" s="3"/>
      <c r="AK521" s="3"/>
      <c r="AL521" s="3"/>
      <c r="AM521" s="3"/>
      <c r="AN521" s="3"/>
      <c r="AO521" s="3"/>
      <c r="AP521" s="3"/>
      <c r="AQ521" s="3"/>
      <c r="AR521" s="3"/>
      <c r="AS521" s="3"/>
      <c r="AT521" s="3"/>
      <c r="AU521" s="3"/>
      <c r="AV521" s="3"/>
      <c r="AW521" s="3"/>
      <c r="AX521" s="3"/>
      <c r="AY521" s="3"/>
      <c r="AZ521" s="3"/>
      <c r="BA521" s="3"/>
      <c r="BB521" s="3"/>
      <c r="BC521" s="3"/>
      <c r="BD521" s="3"/>
      <c r="BE521" s="3"/>
      <c r="BF521" s="3"/>
    </row>
    <row r="522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20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  <c r="AG522" s="3"/>
      <c r="AH522" s="3"/>
      <c r="AI522" s="3"/>
      <c r="AJ522" s="3"/>
      <c r="AK522" s="3"/>
      <c r="AL522" s="3"/>
      <c r="AM522" s="3"/>
      <c r="AN522" s="3"/>
      <c r="AO522" s="3"/>
      <c r="AP522" s="3"/>
      <c r="AQ522" s="3"/>
      <c r="AR522" s="3"/>
      <c r="AS522" s="3"/>
      <c r="AT522" s="3"/>
      <c r="AU522" s="3"/>
      <c r="AV522" s="3"/>
      <c r="AW522" s="3"/>
      <c r="AX522" s="3"/>
      <c r="AY522" s="3"/>
      <c r="AZ522" s="3"/>
      <c r="BA522" s="3"/>
      <c r="BB522" s="3"/>
      <c r="BC522" s="3"/>
      <c r="BD522" s="3"/>
      <c r="BE522" s="3"/>
      <c r="BF522" s="3"/>
    </row>
    <row r="52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20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  <c r="AG523" s="3"/>
      <c r="AH523" s="3"/>
      <c r="AI523" s="3"/>
      <c r="AJ523" s="3"/>
      <c r="AK523" s="3"/>
      <c r="AL523" s="3"/>
      <c r="AM523" s="3"/>
      <c r="AN523" s="3"/>
      <c r="AO523" s="3"/>
      <c r="AP523" s="3"/>
      <c r="AQ523" s="3"/>
      <c r="AR523" s="3"/>
      <c r="AS523" s="3"/>
      <c r="AT523" s="3"/>
      <c r="AU523" s="3"/>
      <c r="AV523" s="3"/>
      <c r="AW523" s="3"/>
      <c r="AX523" s="3"/>
      <c r="AY523" s="3"/>
      <c r="AZ523" s="3"/>
      <c r="BA523" s="3"/>
      <c r="BB523" s="3"/>
      <c r="BC523" s="3"/>
      <c r="BD523" s="3"/>
      <c r="BE523" s="3"/>
      <c r="BF523" s="3"/>
    </row>
    <row r="524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20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  <c r="AG524" s="3"/>
      <c r="AH524" s="3"/>
      <c r="AI524" s="3"/>
      <c r="AJ524" s="3"/>
      <c r="AK524" s="3"/>
      <c r="AL524" s="3"/>
      <c r="AM524" s="3"/>
      <c r="AN524" s="3"/>
      <c r="AO524" s="3"/>
      <c r="AP524" s="3"/>
      <c r="AQ524" s="3"/>
      <c r="AR524" s="3"/>
      <c r="AS524" s="3"/>
      <c r="AT524" s="3"/>
      <c r="AU524" s="3"/>
      <c r="AV524" s="3"/>
      <c r="AW524" s="3"/>
      <c r="AX524" s="3"/>
      <c r="AY524" s="3"/>
      <c r="AZ524" s="3"/>
      <c r="BA524" s="3"/>
      <c r="BB524" s="3"/>
      <c r="BC524" s="3"/>
      <c r="BD524" s="3"/>
      <c r="BE524" s="3"/>
      <c r="BF524" s="3"/>
    </row>
    <row r="525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20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  <c r="AG525" s="3"/>
      <c r="AH525" s="3"/>
      <c r="AI525" s="3"/>
      <c r="AJ525" s="3"/>
      <c r="AK525" s="3"/>
      <c r="AL525" s="3"/>
      <c r="AM525" s="3"/>
      <c r="AN525" s="3"/>
      <c r="AO525" s="3"/>
      <c r="AP525" s="3"/>
      <c r="AQ525" s="3"/>
      <c r="AR525" s="3"/>
      <c r="AS525" s="3"/>
      <c r="AT525" s="3"/>
      <c r="AU525" s="3"/>
      <c r="AV525" s="3"/>
      <c r="AW525" s="3"/>
      <c r="AX525" s="3"/>
      <c r="AY525" s="3"/>
      <c r="AZ525" s="3"/>
      <c r="BA525" s="3"/>
      <c r="BB525" s="3"/>
      <c r="BC525" s="3"/>
      <c r="BD525" s="3"/>
      <c r="BE525" s="3"/>
      <c r="BF525" s="3"/>
    </row>
    <row r="5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20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  <c r="AG526" s="3"/>
      <c r="AH526" s="3"/>
      <c r="AI526" s="3"/>
      <c r="AJ526" s="3"/>
      <c r="AK526" s="3"/>
      <c r="AL526" s="3"/>
      <c r="AM526" s="3"/>
      <c r="AN526" s="3"/>
      <c r="AO526" s="3"/>
      <c r="AP526" s="3"/>
      <c r="AQ526" s="3"/>
      <c r="AR526" s="3"/>
      <c r="AS526" s="3"/>
      <c r="AT526" s="3"/>
      <c r="AU526" s="3"/>
      <c r="AV526" s="3"/>
      <c r="AW526" s="3"/>
      <c r="AX526" s="3"/>
      <c r="AY526" s="3"/>
      <c r="AZ526" s="3"/>
      <c r="BA526" s="3"/>
      <c r="BB526" s="3"/>
      <c r="BC526" s="3"/>
      <c r="BD526" s="3"/>
      <c r="BE526" s="3"/>
      <c r="BF526" s="3"/>
    </row>
    <row r="527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20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  <c r="AG527" s="3"/>
      <c r="AH527" s="3"/>
      <c r="AI527" s="3"/>
      <c r="AJ527" s="3"/>
      <c r="AK527" s="3"/>
      <c r="AL527" s="3"/>
      <c r="AM527" s="3"/>
      <c r="AN527" s="3"/>
      <c r="AO527" s="3"/>
      <c r="AP527" s="3"/>
      <c r="AQ527" s="3"/>
      <c r="AR527" s="3"/>
      <c r="AS527" s="3"/>
      <c r="AT527" s="3"/>
      <c r="AU527" s="3"/>
      <c r="AV527" s="3"/>
      <c r="AW527" s="3"/>
      <c r="AX527" s="3"/>
      <c r="AY527" s="3"/>
      <c r="AZ527" s="3"/>
      <c r="BA527" s="3"/>
      <c r="BB527" s="3"/>
      <c r="BC527" s="3"/>
      <c r="BD527" s="3"/>
      <c r="BE527" s="3"/>
      <c r="BF527" s="3"/>
    </row>
    <row r="528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20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  <c r="AG528" s="3"/>
      <c r="AH528" s="3"/>
      <c r="AI528" s="3"/>
      <c r="AJ528" s="3"/>
      <c r="AK528" s="3"/>
      <c r="AL528" s="3"/>
      <c r="AM528" s="3"/>
      <c r="AN528" s="3"/>
      <c r="AO528" s="3"/>
      <c r="AP528" s="3"/>
      <c r="AQ528" s="3"/>
      <c r="AR528" s="3"/>
      <c r="AS528" s="3"/>
      <c r="AT528" s="3"/>
      <c r="AU528" s="3"/>
      <c r="AV528" s="3"/>
      <c r="AW528" s="3"/>
      <c r="AX528" s="3"/>
      <c r="AY528" s="3"/>
      <c r="AZ528" s="3"/>
      <c r="BA528" s="3"/>
      <c r="BB528" s="3"/>
      <c r="BC528" s="3"/>
      <c r="BD528" s="3"/>
      <c r="BE528" s="3"/>
      <c r="BF528" s="3"/>
    </row>
    <row r="529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20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  <c r="AG529" s="3"/>
      <c r="AH529" s="3"/>
      <c r="AI529" s="3"/>
      <c r="AJ529" s="3"/>
      <c r="AK529" s="3"/>
      <c r="AL529" s="3"/>
      <c r="AM529" s="3"/>
      <c r="AN529" s="3"/>
      <c r="AO529" s="3"/>
      <c r="AP529" s="3"/>
      <c r="AQ529" s="3"/>
      <c r="AR529" s="3"/>
      <c r="AS529" s="3"/>
      <c r="AT529" s="3"/>
      <c r="AU529" s="3"/>
      <c r="AV529" s="3"/>
      <c r="AW529" s="3"/>
      <c r="AX529" s="3"/>
      <c r="AY529" s="3"/>
      <c r="AZ529" s="3"/>
      <c r="BA529" s="3"/>
      <c r="BB529" s="3"/>
      <c r="BC529" s="3"/>
      <c r="BD529" s="3"/>
      <c r="BE529" s="3"/>
      <c r="BF529" s="3"/>
    </row>
    <row r="530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20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  <c r="AG530" s="3"/>
      <c r="AH530" s="3"/>
      <c r="AI530" s="3"/>
      <c r="AJ530" s="3"/>
      <c r="AK530" s="3"/>
      <c r="AL530" s="3"/>
      <c r="AM530" s="3"/>
      <c r="AN530" s="3"/>
      <c r="AO530" s="3"/>
      <c r="AP530" s="3"/>
      <c r="AQ530" s="3"/>
      <c r="AR530" s="3"/>
      <c r="AS530" s="3"/>
      <c r="AT530" s="3"/>
      <c r="AU530" s="3"/>
      <c r="AV530" s="3"/>
      <c r="AW530" s="3"/>
      <c r="AX530" s="3"/>
      <c r="AY530" s="3"/>
      <c r="AZ530" s="3"/>
      <c r="BA530" s="3"/>
      <c r="BB530" s="3"/>
      <c r="BC530" s="3"/>
      <c r="BD530" s="3"/>
      <c r="BE530" s="3"/>
      <c r="BF530" s="3"/>
    </row>
    <row r="53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20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  <c r="AG531" s="3"/>
      <c r="AH531" s="3"/>
      <c r="AI531" s="3"/>
      <c r="AJ531" s="3"/>
      <c r="AK531" s="3"/>
      <c r="AL531" s="3"/>
      <c r="AM531" s="3"/>
      <c r="AN531" s="3"/>
      <c r="AO531" s="3"/>
      <c r="AP531" s="3"/>
      <c r="AQ531" s="3"/>
      <c r="AR531" s="3"/>
      <c r="AS531" s="3"/>
      <c r="AT531" s="3"/>
      <c r="AU531" s="3"/>
      <c r="AV531" s="3"/>
      <c r="AW531" s="3"/>
      <c r="AX531" s="3"/>
      <c r="AY531" s="3"/>
      <c r="AZ531" s="3"/>
      <c r="BA531" s="3"/>
      <c r="BB531" s="3"/>
      <c r="BC531" s="3"/>
      <c r="BD531" s="3"/>
      <c r="BE531" s="3"/>
      <c r="BF531" s="3"/>
    </row>
    <row r="532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20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  <c r="AG532" s="3"/>
      <c r="AH532" s="3"/>
      <c r="AI532" s="3"/>
      <c r="AJ532" s="3"/>
      <c r="AK532" s="3"/>
      <c r="AL532" s="3"/>
      <c r="AM532" s="3"/>
      <c r="AN532" s="3"/>
      <c r="AO532" s="3"/>
      <c r="AP532" s="3"/>
      <c r="AQ532" s="3"/>
      <c r="AR532" s="3"/>
      <c r="AS532" s="3"/>
      <c r="AT532" s="3"/>
      <c r="AU532" s="3"/>
      <c r="AV532" s="3"/>
      <c r="AW532" s="3"/>
      <c r="AX532" s="3"/>
      <c r="AY532" s="3"/>
      <c r="AZ532" s="3"/>
      <c r="BA532" s="3"/>
      <c r="BB532" s="3"/>
      <c r="BC532" s="3"/>
      <c r="BD532" s="3"/>
      <c r="BE532" s="3"/>
      <c r="BF532" s="3"/>
    </row>
    <row r="53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20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  <c r="AG533" s="3"/>
      <c r="AH533" s="3"/>
      <c r="AI533" s="3"/>
      <c r="AJ533" s="3"/>
      <c r="AK533" s="3"/>
      <c r="AL533" s="3"/>
      <c r="AM533" s="3"/>
      <c r="AN533" s="3"/>
      <c r="AO533" s="3"/>
      <c r="AP533" s="3"/>
      <c r="AQ533" s="3"/>
      <c r="AR533" s="3"/>
      <c r="AS533" s="3"/>
      <c r="AT533" s="3"/>
      <c r="AU533" s="3"/>
      <c r="AV533" s="3"/>
      <c r="AW533" s="3"/>
      <c r="AX533" s="3"/>
      <c r="AY533" s="3"/>
      <c r="AZ533" s="3"/>
      <c r="BA533" s="3"/>
      <c r="BB533" s="3"/>
      <c r="BC533" s="3"/>
      <c r="BD533" s="3"/>
      <c r="BE533" s="3"/>
      <c r="BF533" s="3"/>
    </row>
    <row r="534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20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  <c r="AG534" s="3"/>
      <c r="AH534" s="3"/>
      <c r="AI534" s="3"/>
      <c r="AJ534" s="3"/>
      <c r="AK534" s="3"/>
      <c r="AL534" s="3"/>
      <c r="AM534" s="3"/>
      <c r="AN534" s="3"/>
      <c r="AO534" s="3"/>
      <c r="AP534" s="3"/>
      <c r="AQ534" s="3"/>
      <c r="AR534" s="3"/>
      <c r="AS534" s="3"/>
      <c r="AT534" s="3"/>
      <c r="AU534" s="3"/>
      <c r="AV534" s="3"/>
      <c r="AW534" s="3"/>
      <c r="AX534" s="3"/>
      <c r="AY534" s="3"/>
      <c r="AZ534" s="3"/>
      <c r="BA534" s="3"/>
      <c r="BB534" s="3"/>
      <c r="BC534" s="3"/>
      <c r="BD534" s="3"/>
      <c r="BE534" s="3"/>
      <c r="BF534" s="3"/>
    </row>
    <row r="535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20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  <c r="AG535" s="3"/>
      <c r="AH535" s="3"/>
      <c r="AI535" s="3"/>
      <c r="AJ535" s="3"/>
      <c r="AK535" s="3"/>
      <c r="AL535" s="3"/>
      <c r="AM535" s="3"/>
      <c r="AN535" s="3"/>
      <c r="AO535" s="3"/>
      <c r="AP535" s="3"/>
      <c r="AQ535" s="3"/>
      <c r="AR535" s="3"/>
      <c r="AS535" s="3"/>
      <c r="AT535" s="3"/>
      <c r="AU535" s="3"/>
      <c r="AV535" s="3"/>
      <c r="AW535" s="3"/>
      <c r="AX535" s="3"/>
      <c r="AY535" s="3"/>
      <c r="AZ535" s="3"/>
      <c r="BA535" s="3"/>
      <c r="BB535" s="3"/>
      <c r="BC535" s="3"/>
      <c r="BD535" s="3"/>
      <c r="BE535" s="3"/>
      <c r="BF535" s="3"/>
    </row>
    <row r="53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20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  <c r="AG536" s="3"/>
      <c r="AH536" s="3"/>
      <c r="AI536" s="3"/>
      <c r="AJ536" s="3"/>
      <c r="AK536" s="3"/>
      <c r="AL536" s="3"/>
      <c r="AM536" s="3"/>
      <c r="AN536" s="3"/>
      <c r="AO536" s="3"/>
      <c r="AP536" s="3"/>
      <c r="AQ536" s="3"/>
      <c r="AR536" s="3"/>
      <c r="AS536" s="3"/>
      <c r="AT536" s="3"/>
      <c r="AU536" s="3"/>
      <c r="AV536" s="3"/>
      <c r="AW536" s="3"/>
      <c r="AX536" s="3"/>
      <c r="AY536" s="3"/>
      <c r="AZ536" s="3"/>
      <c r="BA536" s="3"/>
      <c r="BB536" s="3"/>
      <c r="BC536" s="3"/>
      <c r="BD536" s="3"/>
      <c r="BE536" s="3"/>
      <c r="BF536" s="3"/>
    </row>
    <row r="537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20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  <c r="AG537" s="3"/>
      <c r="AH537" s="3"/>
      <c r="AI537" s="3"/>
      <c r="AJ537" s="3"/>
      <c r="AK537" s="3"/>
      <c r="AL537" s="3"/>
      <c r="AM537" s="3"/>
      <c r="AN537" s="3"/>
      <c r="AO537" s="3"/>
      <c r="AP537" s="3"/>
      <c r="AQ537" s="3"/>
      <c r="AR537" s="3"/>
      <c r="AS537" s="3"/>
      <c r="AT537" s="3"/>
      <c r="AU537" s="3"/>
      <c r="AV537" s="3"/>
      <c r="AW537" s="3"/>
      <c r="AX537" s="3"/>
      <c r="AY537" s="3"/>
      <c r="AZ537" s="3"/>
      <c r="BA537" s="3"/>
      <c r="BB537" s="3"/>
      <c r="BC537" s="3"/>
      <c r="BD537" s="3"/>
      <c r="BE537" s="3"/>
      <c r="BF537" s="3"/>
    </row>
    <row r="538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20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  <c r="AG538" s="3"/>
      <c r="AH538" s="3"/>
      <c r="AI538" s="3"/>
      <c r="AJ538" s="3"/>
      <c r="AK538" s="3"/>
      <c r="AL538" s="3"/>
      <c r="AM538" s="3"/>
      <c r="AN538" s="3"/>
      <c r="AO538" s="3"/>
      <c r="AP538" s="3"/>
      <c r="AQ538" s="3"/>
      <c r="AR538" s="3"/>
      <c r="AS538" s="3"/>
      <c r="AT538" s="3"/>
      <c r="AU538" s="3"/>
      <c r="AV538" s="3"/>
      <c r="AW538" s="3"/>
      <c r="AX538" s="3"/>
      <c r="AY538" s="3"/>
      <c r="AZ538" s="3"/>
      <c r="BA538" s="3"/>
      <c r="BB538" s="3"/>
      <c r="BC538" s="3"/>
      <c r="BD538" s="3"/>
      <c r="BE538" s="3"/>
      <c r="BF538" s="3"/>
    </row>
    <row r="539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20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  <c r="AG539" s="3"/>
      <c r="AH539" s="3"/>
      <c r="AI539" s="3"/>
      <c r="AJ539" s="3"/>
      <c r="AK539" s="3"/>
      <c r="AL539" s="3"/>
      <c r="AM539" s="3"/>
      <c r="AN539" s="3"/>
      <c r="AO539" s="3"/>
      <c r="AP539" s="3"/>
      <c r="AQ539" s="3"/>
      <c r="AR539" s="3"/>
      <c r="AS539" s="3"/>
      <c r="AT539" s="3"/>
      <c r="AU539" s="3"/>
      <c r="AV539" s="3"/>
      <c r="AW539" s="3"/>
      <c r="AX539" s="3"/>
      <c r="AY539" s="3"/>
      <c r="AZ539" s="3"/>
      <c r="BA539" s="3"/>
      <c r="BB539" s="3"/>
      <c r="BC539" s="3"/>
      <c r="BD539" s="3"/>
      <c r="BE539" s="3"/>
      <c r="BF539" s="3"/>
    </row>
    <row r="540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20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  <c r="AG540" s="3"/>
      <c r="AH540" s="3"/>
      <c r="AI540" s="3"/>
      <c r="AJ540" s="3"/>
      <c r="AK540" s="3"/>
      <c r="AL540" s="3"/>
      <c r="AM540" s="3"/>
      <c r="AN540" s="3"/>
      <c r="AO540" s="3"/>
      <c r="AP540" s="3"/>
      <c r="AQ540" s="3"/>
      <c r="AR540" s="3"/>
      <c r="AS540" s="3"/>
      <c r="AT540" s="3"/>
      <c r="AU540" s="3"/>
      <c r="AV540" s="3"/>
      <c r="AW540" s="3"/>
      <c r="AX540" s="3"/>
      <c r="AY540" s="3"/>
      <c r="AZ540" s="3"/>
      <c r="BA540" s="3"/>
      <c r="BB540" s="3"/>
      <c r="BC540" s="3"/>
      <c r="BD540" s="3"/>
      <c r="BE540" s="3"/>
      <c r="BF540" s="3"/>
    </row>
    <row r="54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20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  <c r="AG541" s="3"/>
      <c r="AH541" s="3"/>
      <c r="AI541" s="3"/>
      <c r="AJ541" s="3"/>
      <c r="AK541" s="3"/>
      <c r="AL541" s="3"/>
      <c r="AM541" s="3"/>
      <c r="AN541" s="3"/>
      <c r="AO541" s="3"/>
      <c r="AP541" s="3"/>
      <c r="AQ541" s="3"/>
      <c r="AR541" s="3"/>
      <c r="AS541" s="3"/>
      <c r="AT541" s="3"/>
      <c r="AU541" s="3"/>
      <c r="AV541" s="3"/>
      <c r="AW541" s="3"/>
      <c r="AX541" s="3"/>
      <c r="AY541" s="3"/>
      <c r="AZ541" s="3"/>
      <c r="BA541" s="3"/>
      <c r="BB541" s="3"/>
      <c r="BC541" s="3"/>
      <c r="BD541" s="3"/>
      <c r="BE541" s="3"/>
      <c r="BF541" s="3"/>
    </row>
    <row r="542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20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  <c r="AG542" s="3"/>
      <c r="AH542" s="3"/>
      <c r="AI542" s="3"/>
      <c r="AJ542" s="3"/>
      <c r="AK542" s="3"/>
      <c r="AL542" s="3"/>
      <c r="AM542" s="3"/>
      <c r="AN542" s="3"/>
      <c r="AO542" s="3"/>
      <c r="AP542" s="3"/>
      <c r="AQ542" s="3"/>
      <c r="AR542" s="3"/>
      <c r="AS542" s="3"/>
      <c r="AT542" s="3"/>
      <c r="AU542" s="3"/>
      <c r="AV542" s="3"/>
      <c r="AW542" s="3"/>
      <c r="AX542" s="3"/>
      <c r="AY542" s="3"/>
      <c r="AZ542" s="3"/>
      <c r="BA542" s="3"/>
      <c r="BB542" s="3"/>
      <c r="BC542" s="3"/>
      <c r="BD542" s="3"/>
      <c r="BE542" s="3"/>
      <c r="BF542" s="3"/>
    </row>
    <row r="54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20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  <c r="AG543" s="3"/>
      <c r="AH543" s="3"/>
      <c r="AI543" s="3"/>
      <c r="AJ543" s="3"/>
      <c r="AK543" s="3"/>
      <c r="AL543" s="3"/>
      <c r="AM543" s="3"/>
      <c r="AN543" s="3"/>
      <c r="AO543" s="3"/>
      <c r="AP543" s="3"/>
      <c r="AQ543" s="3"/>
      <c r="AR543" s="3"/>
      <c r="AS543" s="3"/>
      <c r="AT543" s="3"/>
      <c r="AU543" s="3"/>
      <c r="AV543" s="3"/>
      <c r="AW543" s="3"/>
      <c r="AX543" s="3"/>
      <c r="AY543" s="3"/>
      <c r="AZ543" s="3"/>
      <c r="BA543" s="3"/>
      <c r="BB543" s="3"/>
      <c r="BC543" s="3"/>
      <c r="BD543" s="3"/>
      <c r="BE543" s="3"/>
      <c r="BF543" s="3"/>
    </row>
    <row r="544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20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  <c r="AG544" s="3"/>
      <c r="AH544" s="3"/>
      <c r="AI544" s="3"/>
      <c r="AJ544" s="3"/>
      <c r="AK544" s="3"/>
      <c r="AL544" s="3"/>
      <c r="AM544" s="3"/>
      <c r="AN544" s="3"/>
      <c r="AO544" s="3"/>
      <c r="AP544" s="3"/>
      <c r="AQ544" s="3"/>
      <c r="AR544" s="3"/>
      <c r="AS544" s="3"/>
      <c r="AT544" s="3"/>
      <c r="AU544" s="3"/>
      <c r="AV544" s="3"/>
      <c r="AW544" s="3"/>
      <c r="AX544" s="3"/>
      <c r="AY544" s="3"/>
      <c r="AZ544" s="3"/>
      <c r="BA544" s="3"/>
      <c r="BB544" s="3"/>
      <c r="BC544" s="3"/>
      <c r="BD544" s="3"/>
      <c r="BE544" s="3"/>
      <c r="BF544" s="3"/>
    </row>
    <row r="545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20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  <c r="AG545" s="3"/>
      <c r="AH545" s="3"/>
      <c r="AI545" s="3"/>
      <c r="AJ545" s="3"/>
      <c r="AK545" s="3"/>
      <c r="AL545" s="3"/>
      <c r="AM545" s="3"/>
      <c r="AN545" s="3"/>
      <c r="AO545" s="3"/>
      <c r="AP545" s="3"/>
      <c r="AQ545" s="3"/>
      <c r="AR545" s="3"/>
      <c r="AS545" s="3"/>
      <c r="AT545" s="3"/>
      <c r="AU545" s="3"/>
      <c r="AV545" s="3"/>
      <c r="AW545" s="3"/>
      <c r="AX545" s="3"/>
      <c r="AY545" s="3"/>
      <c r="AZ545" s="3"/>
      <c r="BA545" s="3"/>
      <c r="BB545" s="3"/>
      <c r="BC545" s="3"/>
      <c r="BD545" s="3"/>
      <c r="BE545" s="3"/>
      <c r="BF545" s="3"/>
    </row>
    <row r="54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20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  <c r="AG546" s="3"/>
      <c r="AH546" s="3"/>
      <c r="AI546" s="3"/>
      <c r="AJ546" s="3"/>
      <c r="AK546" s="3"/>
      <c r="AL546" s="3"/>
      <c r="AM546" s="3"/>
      <c r="AN546" s="3"/>
      <c r="AO546" s="3"/>
      <c r="AP546" s="3"/>
      <c r="AQ546" s="3"/>
      <c r="AR546" s="3"/>
      <c r="AS546" s="3"/>
      <c r="AT546" s="3"/>
      <c r="AU546" s="3"/>
      <c r="AV546" s="3"/>
      <c r="AW546" s="3"/>
      <c r="AX546" s="3"/>
      <c r="AY546" s="3"/>
      <c r="AZ546" s="3"/>
      <c r="BA546" s="3"/>
      <c r="BB546" s="3"/>
      <c r="BC546" s="3"/>
      <c r="BD546" s="3"/>
      <c r="BE546" s="3"/>
      <c r="BF546" s="3"/>
    </row>
    <row r="547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20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  <c r="AG547" s="3"/>
      <c r="AH547" s="3"/>
      <c r="AI547" s="3"/>
      <c r="AJ547" s="3"/>
      <c r="AK547" s="3"/>
      <c r="AL547" s="3"/>
      <c r="AM547" s="3"/>
      <c r="AN547" s="3"/>
      <c r="AO547" s="3"/>
      <c r="AP547" s="3"/>
      <c r="AQ547" s="3"/>
      <c r="AR547" s="3"/>
      <c r="AS547" s="3"/>
      <c r="AT547" s="3"/>
      <c r="AU547" s="3"/>
      <c r="AV547" s="3"/>
      <c r="AW547" s="3"/>
      <c r="AX547" s="3"/>
      <c r="AY547" s="3"/>
      <c r="AZ547" s="3"/>
      <c r="BA547" s="3"/>
      <c r="BB547" s="3"/>
      <c r="BC547" s="3"/>
      <c r="BD547" s="3"/>
      <c r="BE547" s="3"/>
      <c r="BF547" s="3"/>
    </row>
    <row r="548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20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  <c r="AG548" s="3"/>
      <c r="AH548" s="3"/>
      <c r="AI548" s="3"/>
      <c r="AJ548" s="3"/>
      <c r="AK548" s="3"/>
      <c r="AL548" s="3"/>
      <c r="AM548" s="3"/>
      <c r="AN548" s="3"/>
      <c r="AO548" s="3"/>
      <c r="AP548" s="3"/>
      <c r="AQ548" s="3"/>
      <c r="AR548" s="3"/>
      <c r="AS548" s="3"/>
      <c r="AT548" s="3"/>
      <c r="AU548" s="3"/>
      <c r="AV548" s="3"/>
      <c r="AW548" s="3"/>
      <c r="AX548" s="3"/>
      <c r="AY548" s="3"/>
      <c r="AZ548" s="3"/>
      <c r="BA548" s="3"/>
      <c r="BB548" s="3"/>
      <c r="BC548" s="3"/>
      <c r="BD548" s="3"/>
      <c r="BE548" s="3"/>
      <c r="BF548" s="3"/>
    </row>
    <row r="549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20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  <c r="AG549" s="3"/>
      <c r="AH549" s="3"/>
      <c r="AI549" s="3"/>
      <c r="AJ549" s="3"/>
      <c r="AK549" s="3"/>
      <c r="AL549" s="3"/>
      <c r="AM549" s="3"/>
      <c r="AN549" s="3"/>
      <c r="AO549" s="3"/>
      <c r="AP549" s="3"/>
      <c r="AQ549" s="3"/>
      <c r="AR549" s="3"/>
      <c r="AS549" s="3"/>
      <c r="AT549" s="3"/>
      <c r="AU549" s="3"/>
      <c r="AV549" s="3"/>
      <c r="AW549" s="3"/>
      <c r="AX549" s="3"/>
      <c r="AY549" s="3"/>
      <c r="AZ549" s="3"/>
      <c r="BA549" s="3"/>
      <c r="BB549" s="3"/>
      <c r="BC549" s="3"/>
      <c r="BD549" s="3"/>
      <c r="BE549" s="3"/>
      <c r="BF549" s="3"/>
    </row>
    <row r="550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20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  <c r="AG550" s="3"/>
      <c r="AH550" s="3"/>
      <c r="AI550" s="3"/>
      <c r="AJ550" s="3"/>
      <c r="AK550" s="3"/>
      <c r="AL550" s="3"/>
      <c r="AM550" s="3"/>
      <c r="AN550" s="3"/>
      <c r="AO550" s="3"/>
      <c r="AP550" s="3"/>
      <c r="AQ550" s="3"/>
      <c r="AR550" s="3"/>
      <c r="AS550" s="3"/>
      <c r="AT550" s="3"/>
      <c r="AU550" s="3"/>
      <c r="AV550" s="3"/>
      <c r="AW550" s="3"/>
      <c r="AX550" s="3"/>
      <c r="AY550" s="3"/>
      <c r="AZ550" s="3"/>
      <c r="BA550" s="3"/>
      <c r="BB550" s="3"/>
      <c r="BC550" s="3"/>
      <c r="BD550" s="3"/>
      <c r="BE550" s="3"/>
      <c r="BF550" s="3"/>
    </row>
    <row r="55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20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  <c r="AG551" s="3"/>
      <c r="AH551" s="3"/>
      <c r="AI551" s="3"/>
      <c r="AJ551" s="3"/>
      <c r="AK551" s="3"/>
      <c r="AL551" s="3"/>
      <c r="AM551" s="3"/>
      <c r="AN551" s="3"/>
      <c r="AO551" s="3"/>
      <c r="AP551" s="3"/>
      <c r="AQ551" s="3"/>
      <c r="AR551" s="3"/>
      <c r="AS551" s="3"/>
      <c r="AT551" s="3"/>
      <c r="AU551" s="3"/>
      <c r="AV551" s="3"/>
      <c r="AW551" s="3"/>
      <c r="AX551" s="3"/>
      <c r="AY551" s="3"/>
      <c r="AZ551" s="3"/>
      <c r="BA551" s="3"/>
      <c r="BB551" s="3"/>
      <c r="BC551" s="3"/>
      <c r="BD551" s="3"/>
      <c r="BE551" s="3"/>
      <c r="BF551" s="3"/>
    </row>
    <row r="552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20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  <c r="AG552" s="3"/>
      <c r="AH552" s="3"/>
      <c r="AI552" s="3"/>
      <c r="AJ552" s="3"/>
      <c r="AK552" s="3"/>
      <c r="AL552" s="3"/>
      <c r="AM552" s="3"/>
      <c r="AN552" s="3"/>
      <c r="AO552" s="3"/>
      <c r="AP552" s="3"/>
      <c r="AQ552" s="3"/>
      <c r="AR552" s="3"/>
      <c r="AS552" s="3"/>
      <c r="AT552" s="3"/>
      <c r="AU552" s="3"/>
      <c r="AV552" s="3"/>
      <c r="AW552" s="3"/>
      <c r="AX552" s="3"/>
      <c r="AY552" s="3"/>
      <c r="AZ552" s="3"/>
      <c r="BA552" s="3"/>
      <c r="BB552" s="3"/>
      <c r="BC552" s="3"/>
      <c r="BD552" s="3"/>
      <c r="BE552" s="3"/>
      <c r="BF552" s="3"/>
    </row>
    <row r="55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20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  <c r="AG553" s="3"/>
      <c r="AH553" s="3"/>
      <c r="AI553" s="3"/>
      <c r="AJ553" s="3"/>
      <c r="AK553" s="3"/>
      <c r="AL553" s="3"/>
      <c r="AM553" s="3"/>
      <c r="AN553" s="3"/>
      <c r="AO553" s="3"/>
      <c r="AP553" s="3"/>
      <c r="AQ553" s="3"/>
      <c r="AR553" s="3"/>
      <c r="AS553" s="3"/>
      <c r="AT553" s="3"/>
      <c r="AU553" s="3"/>
      <c r="AV553" s="3"/>
      <c r="AW553" s="3"/>
      <c r="AX553" s="3"/>
      <c r="AY553" s="3"/>
      <c r="AZ553" s="3"/>
      <c r="BA553" s="3"/>
      <c r="BB553" s="3"/>
      <c r="BC553" s="3"/>
      <c r="BD553" s="3"/>
      <c r="BE553" s="3"/>
      <c r="BF553" s="3"/>
    </row>
    <row r="554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20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  <c r="AG554" s="3"/>
      <c r="AH554" s="3"/>
      <c r="AI554" s="3"/>
      <c r="AJ554" s="3"/>
      <c r="AK554" s="3"/>
      <c r="AL554" s="3"/>
      <c r="AM554" s="3"/>
      <c r="AN554" s="3"/>
      <c r="AO554" s="3"/>
      <c r="AP554" s="3"/>
      <c r="AQ554" s="3"/>
      <c r="AR554" s="3"/>
      <c r="AS554" s="3"/>
      <c r="AT554" s="3"/>
      <c r="AU554" s="3"/>
      <c r="AV554" s="3"/>
      <c r="AW554" s="3"/>
      <c r="AX554" s="3"/>
      <c r="AY554" s="3"/>
      <c r="AZ554" s="3"/>
      <c r="BA554" s="3"/>
      <c r="BB554" s="3"/>
      <c r="BC554" s="3"/>
      <c r="BD554" s="3"/>
      <c r="BE554" s="3"/>
      <c r="BF554" s="3"/>
    </row>
    <row r="555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20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  <c r="AG555" s="3"/>
      <c r="AH555" s="3"/>
      <c r="AI555" s="3"/>
      <c r="AJ555" s="3"/>
      <c r="AK555" s="3"/>
      <c r="AL555" s="3"/>
      <c r="AM555" s="3"/>
      <c r="AN555" s="3"/>
      <c r="AO555" s="3"/>
      <c r="AP555" s="3"/>
      <c r="AQ555" s="3"/>
      <c r="AR555" s="3"/>
      <c r="AS555" s="3"/>
      <c r="AT555" s="3"/>
      <c r="AU555" s="3"/>
      <c r="AV555" s="3"/>
      <c r="AW555" s="3"/>
      <c r="AX555" s="3"/>
      <c r="AY555" s="3"/>
      <c r="AZ555" s="3"/>
      <c r="BA555" s="3"/>
      <c r="BB555" s="3"/>
      <c r="BC555" s="3"/>
      <c r="BD555" s="3"/>
      <c r="BE555" s="3"/>
      <c r="BF555" s="3"/>
    </row>
    <row r="55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20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  <c r="AG556" s="3"/>
      <c r="AH556" s="3"/>
      <c r="AI556" s="3"/>
      <c r="AJ556" s="3"/>
      <c r="AK556" s="3"/>
      <c r="AL556" s="3"/>
      <c r="AM556" s="3"/>
      <c r="AN556" s="3"/>
      <c r="AO556" s="3"/>
      <c r="AP556" s="3"/>
      <c r="AQ556" s="3"/>
      <c r="AR556" s="3"/>
      <c r="AS556" s="3"/>
      <c r="AT556" s="3"/>
      <c r="AU556" s="3"/>
      <c r="AV556" s="3"/>
      <c r="AW556" s="3"/>
      <c r="AX556" s="3"/>
      <c r="AY556" s="3"/>
      <c r="AZ556" s="3"/>
      <c r="BA556" s="3"/>
      <c r="BB556" s="3"/>
      <c r="BC556" s="3"/>
      <c r="BD556" s="3"/>
      <c r="BE556" s="3"/>
      <c r="BF556" s="3"/>
    </row>
    <row r="557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20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  <c r="AG557" s="3"/>
      <c r="AH557" s="3"/>
      <c r="AI557" s="3"/>
      <c r="AJ557" s="3"/>
      <c r="AK557" s="3"/>
      <c r="AL557" s="3"/>
      <c r="AM557" s="3"/>
      <c r="AN557" s="3"/>
      <c r="AO557" s="3"/>
      <c r="AP557" s="3"/>
      <c r="AQ557" s="3"/>
      <c r="AR557" s="3"/>
      <c r="AS557" s="3"/>
      <c r="AT557" s="3"/>
      <c r="AU557" s="3"/>
      <c r="AV557" s="3"/>
      <c r="AW557" s="3"/>
      <c r="AX557" s="3"/>
      <c r="AY557" s="3"/>
      <c r="AZ557" s="3"/>
      <c r="BA557" s="3"/>
      <c r="BB557" s="3"/>
      <c r="BC557" s="3"/>
      <c r="BD557" s="3"/>
      <c r="BE557" s="3"/>
      <c r="BF557" s="3"/>
    </row>
    <row r="558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20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  <c r="AG558" s="3"/>
      <c r="AH558" s="3"/>
      <c r="AI558" s="3"/>
      <c r="AJ558" s="3"/>
      <c r="AK558" s="3"/>
      <c r="AL558" s="3"/>
      <c r="AM558" s="3"/>
      <c r="AN558" s="3"/>
      <c r="AO558" s="3"/>
      <c r="AP558" s="3"/>
      <c r="AQ558" s="3"/>
      <c r="AR558" s="3"/>
      <c r="AS558" s="3"/>
      <c r="AT558" s="3"/>
      <c r="AU558" s="3"/>
      <c r="AV558" s="3"/>
      <c r="AW558" s="3"/>
      <c r="AX558" s="3"/>
      <c r="AY558" s="3"/>
      <c r="AZ558" s="3"/>
      <c r="BA558" s="3"/>
      <c r="BB558" s="3"/>
      <c r="BC558" s="3"/>
      <c r="BD558" s="3"/>
      <c r="BE558" s="3"/>
      <c r="BF558" s="3"/>
    </row>
    <row r="559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20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  <c r="AG559" s="3"/>
      <c r="AH559" s="3"/>
      <c r="AI559" s="3"/>
      <c r="AJ559" s="3"/>
      <c r="AK559" s="3"/>
      <c r="AL559" s="3"/>
      <c r="AM559" s="3"/>
      <c r="AN559" s="3"/>
      <c r="AO559" s="3"/>
      <c r="AP559" s="3"/>
      <c r="AQ559" s="3"/>
      <c r="AR559" s="3"/>
      <c r="AS559" s="3"/>
      <c r="AT559" s="3"/>
      <c r="AU559" s="3"/>
      <c r="AV559" s="3"/>
      <c r="AW559" s="3"/>
      <c r="AX559" s="3"/>
      <c r="AY559" s="3"/>
      <c r="AZ559" s="3"/>
      <c r="BA559" s="3"/>
      <c r="BB559" s="3"/>
      <c r="BC559" s="3"/>
      <c r="BD559" s="3"/>
      <c r="BE559" s="3"/>
      <c r="BF559" s="3"/>
    </row>
    <row r="560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20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  <c r="AG560" s="3"/>
      <c r="AH560" s="3"/>
      <c r="AI560" s="3"/>
      <c r="AJ560" s="3"/>
      <c r="AK560" s="3"/>
      <c r="AL560" s="3"/>
      <c r="AM560" s="3"/>
      <c r="AN560" s="3"/>
      <c r="AO560" s="3"/>
      <c r="AP560" s="3"/>
      <c r="AQ560" s="3"/>
      <c r="AR560" s="3"/>
      <c r="AS560" s="3"/>
      <c r="AT560" s="3"/>
      <c r="AU560" s="3"/>
      <c r="AV560" s="3"/>
      <c r="AW560" s="3"/>
      <c r="AX560" s="3"/>
      <c r="AY560" s="3"/>
      <c r="AZ560" s="3"/>
      <c r="BA560" s="3"/>
      <c r="BB560" s="3"/>
      <c r="BC560" s="3"/>
      <c r="BD560" s="3"/>
      <c r="BE560" s="3"/>
      <c r="BF560" s="3"/>
    </row>
    <row r="56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20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  <c r="AG561" s="3"/>
      <c r="AH561" s="3"/>
      <c r="AI561" s="3"/>
      <c r="AJ561" s="3"/>
      <c r="AK561" s="3"/>
      <c r="AL561" s="3"/>
      <c r="AM561" s="3"/>
      <c r="AN561" s="3"/>
      <c r="AO561" s="3"/>
      <c r="AP561" s="3"/>
      <c r="AQ561" s="3"/>
      <c r="AR561" s="3"/>
      <c r="AS561" s="3"/>
      <c r="AT561" s="3"/>
      <c r="AU561" s="3"/>
      <c r="AV561" s="3"/>
      <c r="AW561" s="3"/>
      <c r="AX561" s="3"/>
      <c r="AY561" s="3"/>
      <c r="AZ561" s="3"/>
      <c r="BA561" s="3"/>
      <c r="BB561" s="3"/>
      <c r="BC561" s="3"/>
      <c r="BD561" s="3"/>
      <c r="BE561" s="3"/>
      <c r="BF561" s="3"/>
    </row>
    <row r="562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20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  <c r="AG562" s="3"/>
      <c r="AH562" s="3"/>
      <c r="AI562" s="3"/>
      <c r="AJ562" s="3"/>
      <c r="AK562" s="3"/>
      <c r="AL562" s="3"/>
      <c r="AM562" s="3"/>
      <c r="AN562" s="3"/>
      <c r="AO562" s="3"/>
      <c r="AP562" s="3"/>
      <c r="AQ562" s="3"/>
      <c r="AR562" s="3"/>
      <c r="AS562" s="3"/>
      <c r="AT562" s="3"/>
      <c r="AU562" s="3"/>
      <c r="AV562" s="3"/>
      <c r="AW562" s="3"/>
      <c r="AX562" s="3"/>
      <c r="AY562" s="3"/>
      <c r="AZ562" s="3"/>
      <c r="BA562" s="3"/>
      <c r="BB562" s="3"/>
      <c r="BC562" s="3"/>
      <c r="BD562" s="3"/>
      <c r="BE562" s="3"/>
      <c r="BF562" s="3"/>
    </row>
    <row r="56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20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  <c r="AG563" s="3"/>
      <c r="AH563" s="3"/>
      <c r="AI563" s="3"/>
      <c r="AJ563" s="3"/>
      <c r="AK563" s="3"/>
      <c r="AL563" s="3"/>
      <c r="AM563" s="3"/>
      <c r="AN563" s="3"/>
      <c r="AO563" s="3"/>
      <c r="AP563" s="3"/>
      <c r="AQ563" s="3"/>
      <c r="AR563" s="3"/>
      <c r="AS563" s="3"/>
      <c r="AT563" s="3"/>
      <c r="AU563" s="3"/>
      <c r="AV563" s="3"/>
      <c r="AW563" s="3"/>
      <c r="AX563" s="3"/>
      <c r="AY563" s="3"/>
      <c r="AZ563" s="3"/>
      <c r="BA563" s="3"/>
      <c r="BB563" s="3"/>
      <c r="BC563" s="3"/>
      <c r="BD563" s="3"/>
      <c r="BE563" s="3"/>
      <c r="BF563" s="3"/>
    </row>
    <row r="564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20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  <c r="AG564" s="3"/>
      <c r="AH564" s="3"/>
      <c r="AI564" s="3"/>
      <c r="AJ564" s="3"/>
      <c r="AK564" s="3"/>
      <c r="AL564" s="3"/>
      <c r="AM564" s="3"/>
      <c r="AN564" s="3"/>
      <c r="AO564" s="3"/>
      <c r="AP564" s="3"/>
      <c r="AQ564" s="3"/>
      <c r="AR564" s="3"/>
      <c r="AS564" s="3"/>
      <c r="AT564" s="3"/>
      <c r="AU564" s="3"/>
      <c r="AV564" s="3"/>
      <c r="AW564" s="3"/>
      <c r="AX564" s="3"/>
      <c r="AY564" s="3"/>
      <c r="AZ564" s="3"/>
      <c r="BA564" s="3"/>
      <c r="BB564" s="3"/>
      <c r="BC564" s="3"/>
      <c r="BD564" s="3"/>
      <c r="BE564" s="3"/>
      <c r="BF564" s="3"/>
    </row>
    <row r="565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20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  <c r="AG565" s="3"/>
      <c r="AH565" s="3"/>
      <c r="AI565" s="3"/>
      <c r="AJ565" s="3"/>
      <c r="AK565" s="3"/>
      <c r="AL565" s="3"/>
      <c r="AM565" s="3"/>
      <c r="AN565" s="3"/>
      <c r="AO565" s="3"/>
      <c r="AP565" s="3"/>
      <c r="AQ565" s="3"/>
      <c r="AR565" s="3"/>
      <c r="AS565" s="3"/>
      <c r="AT565" s="3"/>
      <c r="AU565" s="3"/>
      <c r="AV565" s="3"/>
      <c r="AW565" s="3"/>
      <c r="AX565" s="3"/>
      <c r="AY565" s="3"/>
      <c r="AZ565" s="3"/>
      <c r="BA565" s="3"/>
      <c r="BB565" s="3"/>
      <c r="BC565" s="3"/>
      <c r="BD565" s="3"/>
      <c r="BE565" s="3"/>
      <c r="BF565" s="3"/>
    </row>
    <row r="56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20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  <c r="AG566" s="3"/>
      <c r="AH566" s="3"/>
      <c r="AI566" s="3"/>
      <c r="AJ566" s="3"/>
      <c r="AK566" s="3"/>
      <c r="AL566" s="3"/>
      <c r="AM566" s="3"/>
      <c r="AN566" s="3"/>
      <c r="AO566" s="3"/>
      <c r="AP566" s="3"/>
      <c r="AQ566" s="3"/>
      <c r="AR566" s="3"/>
      <c r="AS566" s="3"/>
      <c r="AT566" s="3"/>
      <c r="AU566" s="3"/>
      <c r="AV566" s="3"/>
      <c r="AW566" s="3"/>
      <c r="AX566" s="3"/>
      <c r="AY566" s="3"/>
      <c r="AZ566" s="3"/>
      <c r="BA566" s="3"/>
      <c r="BB566" s="3"/>
      <c r="BC566" s="3"/>
      <c r="BD566" s="3"/>
      <c r="BE566" s="3"/>
      <c r="BF566" s="3"/>
    </row>
    <row r="567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20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  <c r="AG567" s="3"/>
      <c r="AH567" s="3"/>
      <c r="AI567" s="3"/>
      <c r="AJ567" s="3"/>
      <c r="AK567" s="3"/>
      <c r="AL567" s="3"/>
      <c r="AM567" s="3"/>
      <c r="AN567" s="3"/>
      <c r="AO567" s="3"/>
      <c r="AP567" s="3"/>
      <c r="AQ567" s="3"/>
      <c r="AR567" s="3"/>
      <c r="AS567" s="3"/>
      <c r="AT567" s="3"/>
      <c r="AU567" s="3"/>
      <c r="AV567" s="3"/>
      <c r="AW567" s="3"/>
      <c r="AX567" s="3"/>
      <c r="AY567" s="3"/>
      <c r="AZ567" s="3"/>
      <c r="BA567" s="3"/>
      <c r="BB567" s="3"/>
      <c r="BC567" s="3"/>
      <c r="BD567" s="3"/>
      <c r="BE567" s="3"/>
      <c r="BF567" s="3"/>
    </row>
    <row r="568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20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  <c r="AG568" s="3"/>
      <c r="AH568" s="3"/>
      <c r="AI568" s="3"/>
      <c r="AJ568" s="3"/>
      <c r="AK568" s="3"/>
      <c r="AL568" s="3"/>
      <c r="AM568" s="3"/>
      <c r="AN568" s="3"/>
      <c r="AO568" s="3"/>
      <c r="AP568" s="3"/>
      <c r="AQ568" s="3"/>
      <c r="AR568" s="3"/>
      <c r="AS568" s="3"/>
      <c r="AT568" s="3"/>
      <c r="AU568" s="3"/>
      <c r="AV568" s="3"/>
      <c r="AW568" s="3"/>
      <c r="AX568" s="3"/>
      <c r="AY568" s="3"/>
      <c r="AZ568" s="3"/>
      <c r="BA568" s="3"/>
      <c r="BB568" s="3"/>
      <c r="BC568" s="3"/>
      <c r="BD568" s="3"/>
      <c r="BE568" s="3"/>
      <c r="BF568" s="3"/>
    </row>
    <row r="569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20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  <c r="AG569" s="3"/>
      <c r="AH569" s="3"/>
      <c r="AI569" s="3"/>
      <c r="AJ569" s="3"/>
      <c r="AK569" s="3"/>
      <c r="AL569" s="3"/>
      <c r="AM569" s="3"/>
      <c r="AN569" s="3"/>
      <c r="AO569" s="3"/>
      <c r="AP569" s="3"/>
      <c r="AQ569" s="3"/>
      <c r="AR569" s="3"/>
      <c r="AS569" s="3"/>
      <c r="AT569" s="3"/>
      <c r="AU569" s="3"/>
      <c r="AV569" s="3"/>
      <c r="AW569" s="3"/>
      <c r="AX569" s="3"/>
      <c r="AY569" s="3"/>
      <c r="AZ569" s="3"/>
      <c r="BA569" s="3"/>
      <c r="BB569" s="3"/>
      <c r="BC569" s="3"/>
      <c r="BD569" s="3"/>
      <c r="BE569" s="3"/>
      <c r="BF569" s="3"/>
    </row>
    <row r="570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20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  <c r="AG570" s="3"/>
      <c r="AH570" s="3"/>
      <c r="AI570" s="3"/>
      <c r="AJ570" s="3"/>
      <c r="AK570" s="3"/>
      <c r="AL570" s="3"/>
      <c r="AM570" s="3"/>
      <c r="AN570" s="3"/>
      <c r="AO570" s="3"/>
      <c r="AP570" s="3"/>
      <c r="AQ570" s="3"/>
      <c r="AR570" s="3"/>
      <c r="AS570" s="3"/>
      <c r="AT570" s="3"/>
      <c r="AU570" s="3"/>
      <c r="AV570" s="3"/>
      <c r="AW570" s="3"/>
      <c r="AX570" s="3"/>
      <c r="AY570" s="3"/>
      <c r="AZ570" s="3"/>
      <c r="BA570" s="3"/>
      <c r="BB570" s="3"/>
      <c r="BC570" s="3"/>
      <c r="BD570" s="3"/>
      <c r="BE570" s="3"/>
      <c r="BF570" s="3"/>
    </row>
    <row r="57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20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  <c r="AG571" s="3"/>
      <c r="AH571" s="3"/>
      <c r="AI571" s="3"/>
      <c r="AJ571" s="3"/>
      <c r="AK571" s="3"/>
      <c r="AL571" s="3"/>
      <c r="AM571" s="3"/>
      <c r="AN571" s="3"/>
      <c r="AO571" s="3"/>
      <c r="AP571" s="3"/>
      <c r="AQ571" s="3"/>
      <c r="AR571" s="3"/>
      <c r="AS571" s="3"/>
      <c r="AT571" s="3"/>
      <c r="AU571" s="3"/>
      <c r="AV571" s="3"/>
      <c r="AW571" s="3"/>
      <c r="AX571" s="3"/>
      <c r="AY571" s="3"/>
      <c r="AZ571" s="3"/>
      <c r="BA571" s="3"/>
      <c r="BB571" s="3"/>
      <c r="BC571" s="3"/>
      <c r="BD571" s="3"/>
      <c r="BE571" s="3"/>
      <c r="BF571" s="3"/>
    </row>
    <row r="572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20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  <c r="AG572" s="3"/>
      <c r="AH572" s="3"/>
      <c r="AI572" s="3"/>
      <c r="AJ572" s="3"/>
      <c r="AK572" s="3"/>
      <c r="AL572" s="3"/>
      <c r="AM572" s="3"/>
      <c r="AN572" s="3"/>
      <c r="AO572" s="3"/>
      <c r="AP572" s="3"/>
      <c r="AQ572" s="3"/>
      <c r="AR572" s="3"/>
      <c r="AS572" s="3"/>
      <c r="AT572" s="3"/>
      <c r="AU572" s="3"/>
      <c r="AV572" s="3"/>
      <c r="AW572" s="3"/>
      <c r="AX572" s="3"/>
      <c r="AY572" s="3"/>
      <c r="AZ572" s="3"/>
      <c r="BA572" s="3"/>
      <c r="BB572" s="3"/>
      <c r="BC572" s="3"/>
      <c r="BD572" s="3"/>
      <c r="BE572" s="3"/>
      <c r="BF572" s="3"/>
    </row>
    <row r="57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20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  <c r="AG573" s="3"/>
      <c r="AH573" s="3"/>
      <c r="AI573" s="3"/>
      <c r="AJ573" s="3"/>
      <c r="AK573" s="3"/>
      <c r="AL573" s="3"/>
      <c r="AM573" s="3"/>
      <c r="AN573" s="3"/>
      <c r="AO573" s="3"/>
      <c r="AP573" s="3"/>
      <c r="AQ573" s="3"/>
      <c r="AR573" s="3"/>
      <c r="AS573" s="3"/>
      <c r="AT573" s="3"/>
      <c r="AU573" s="3"/>
      <c r="AV573" s="3"/>
      <c r="AW573" s="3"/>
      <c r="AX573" s="3"/>
      <c r="AY573" s="3"/>
      <c r="AZ573" s="3"/>
      <c r="BA573" s="3"/>
      <c r="BB573" s="3"/>
      <c r="BC573" s="3"/>
      <c r="BD573" s="3"/>
      <c r="BE573" s="3"/>
      <c r="BF573" s="3"/>
    </row>
    <row r="574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20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  <c r="AG574" s="3"/>
      <c r="AH574" s="3"/>
      <c r="AI574" s="3"/>
      <c r="AJ574" s="3"/>
      <c r="AK574" s="3"/>
      <c r="AL574" s="3"/>
      <c r="AM574" s="3"/>
      <c r="AN574" s="3"/>
      <c r="AO574" s="3"/>
      <c r="AP574" s="3"/>
      <c r="AQ574" s="3"/>
      <c r="AR574" s="3"/>
      <c r="AS574" s="3"/>
      <c r="AT574" s="3"/>
      <c r="AU574" s="3"/>
      <c r="AV574" s="3"/>
      <c r="AW574" s="3"/>
      <c r="AX574" s="3"/>
      <c r="AY574" s="3"/>
      <c r="AZ574" s="3"/>
      <c r="BA574" s="3"/>
      <c r="BB574" s="3"/>
      <c r="BC574" s="3"/>
      <c r="BD574" s="3"/>
      <c r="BE574" s="3"/>
      <c r="BF574" s="3"/>
    </row>
    <row r="575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20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  <c r="AG575" s="3"/>
      <c r="AH575" s="3"/>
      <c r="AI575" s="3"/>
      <c r="AJ575" s="3"/>
      <c r="AK575" s="3"/>
      <c r="AL575" s="3"/>
      <c r="AM575" s="3"/>
      <c r="AN575" s="3"/>
      <c r="AO575" s="3"/>
      <c r="AP575" s="3"/>
      <c r="AQ575" s="3"/>
      <c r="AR575" s="3"/>
      <c r="AS575" s="3"/>
      <c r="AT575" s="3"/>
      <c r="AU575" s="3"/>
      <c r="AV575" s="3"/>
      <c r="AW575" s="3"/>
      <c r="AX575" s="3"/>
      <c r="AY575" s="3"/>
      <c r="AZ575" s="3"/>
      <c r="BA575" s="3"/>
      <c r="BB575" s="3"/>
      <c r="BC575" s="3"/>
      <c r="BD575" s="3"/>
      <c r="BE575" s="3"/>
      <c r="BF575" s="3"/>
    </row>
    <row r="57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20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  <c r="AG576" s="3"/>
      <c r="AH576" s="3"/>
      <c r="AI576" s="3"/>
      <c r="AJ576" s="3"/>
      <c r="AK576" s="3"/>
      <c r="AL576" s="3"/>
      <c r="AM576" s="3"/>
      <c r="AN576" s="3"/>
      <c r="AO576" s="3"/>
      <c r="AP576" s="3"/>
      <c r="AQ576" s="3"/>
      <c r="AR576" s="3"/>
      <c r="AS576" s="3"/>
      <c r="AT576" s="3"/>
      <c r="AU576" s="3"/>
      <c r="AV576" s="3"/>
      <c r="AW576" s="3"/>
      <c r="AX576" s="3"/>
      <c r="AY576" s="3"/>
      <c r="AZ576" s="3"/>
      <c r="BA576" s="3"/>
      <c r="BB576" s="3"/>
      <c r="BC576" s="3"/>
      <c r="BD576" s="3"/>
      <c r="BE576" s="3"/>
      <c r="BF576" s="3"/>
    </row>
    <row r="577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20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  <c r="AG577" s="3"/>
      <c r="AH577" s="3"/>
      <c r="AI577" s="3"/>
      <c r="AJ577" s="3"/>
      <c r="AK577" s="3"/>
      <c r="AL577" s="3"/>
      <c r="AM577" s="3"/>
      <c r="AN577" s="3"/>
      <c r="AO577" s="3"/>
      <c r="AP577" s="3"/>
      <c r="AQ577" s="3"/>
      <c r="AR577" s="3"/>
      <c r="AS577" s="3"/>
      <c r="AT577" s="3"/>
      <c r="AU577" s="3"/>
      <c r="AV577" s="3"/>
      <c r="AW577" s="3"/>
      <c r="AX577" s="3"/>
      <c r="AY577" s="3"/>
      <c r="AZ577" s="3"/>
      <c r="BA577" s="3"/>
      <c r="BB577" s="3"/>
      <c r="BC577" s="3"/>
      <c r="BD577" s="3"/>
      <c r="BE577" s="3"/>
      <c r="BF577" s="3"/>
    </row>
    <row r="578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20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  <c r="AG578" s="3"/>
      <c r="AH578" s="3"/>
      <c r="AI578" s="3"/>
      <c r="AJ578" s="3"/>
      <c r="AK578" s="3"/>
      <c r="AL578" s="3"/>
      <c r="AM578" s="3"/>
      <c r="AN578" s="3"/>
      <c r="AO578" s="3"/>
      <c r="AP578" s="3"/>
      <c r="AQ578" s="3"/>
      <c r="AR578" s="3"/>
      <c r="AS578" s="3"/>
      <c r="AT578" s="3"/>
      <c r="AU578" s="3"/>
      <c r="AV578" s="3"/>
      <c r="AW578" s="3"/>
      <c r="AX578" s="3"/>
      <c r="AY578" s="3"/>
      <c r="AZ578" s="3"/>
      <c r="BA578" s="3"/>
      <c r="BB578" s="3"/>
      <c r="BC578" s="3"/>
      <c r="BD578" s="3"/>
      <c r="BE578" s="3"/>
      <c r="BF578" s="3"/>
    </row>
    <row r="579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20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  <c r="AG579" s="3"/>
      <c r="AH579" s="3"/>
      <c r="AI579" s="3"/>
      <c r="AJ579" s="3"/>
      <c r="AK579" s="3"/>
      <c r="AL579" s="3"/>
      <c r="AM579" s="3"/>
      <c r="AN579" s="3"/>
      <c r="AO579" s="3"/>
      <c r="AP579" s="3"/>
      <c r="AQ579" s="3"/>
      <c r="AR579" s="3"/>
      <c r="AS579" s="3"/>
      <c r="AT579" s="3"/>
      <c r="AU579" s="3"/>
      <c r="AV579" s="3"/>
      <c r="AW579" s="3"/>
      <c r="AX579" s="3"/>
      <c r="AY579" s="3"/>
      <c r="AZ579" s="3"/>
      <c r="BA579" s="3"/>
      <c r="BB579" s="3"/>
      <c r="BC579" s="3"/>
      <c r="BD579" s="3"/>
      <c r="BE579" s="3"/>
      <c r="BF579" s="3"/>
    </row>
    <row r="580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20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  <c r="AG580" s="3"/>
      <c r="AH580" s="3"/>
      <c r="AI580" s="3"/>
      <c r="AJ580" s="3"/>
      <c r="AK580" s="3"/>
      <c r="AL580" s="3"/>
      <c r="AM580" s="3"/>
      <c r="AN580" s="3"/>
      <c r="AO580" s="3"/>
      <c r="AP580" s="3"/>
      <c r="AQ580" s="3"/>
      <c r="AR580" s="3"/>
      <c r="AS580" s="3"/>
      <c r="AT580" s="3"/>
      <c r="AU580" s="3"/>
      <c r="AV580" s="3"/>
      <c r="AW580" s="3"/>
      <c r="AX580" s="3"/>
      <c r="AY580" s="3"/>
      <c r="AZ580" s="3"/>
      <c r="BA580" s="3"/>
      <c r="BB580" s="3"/>
      <c r="BC580" s="3"/>
      <c r="BD580" s="3"/>
      <c r="BE580" s="3"/>
      <c r="BF580" s="3"/>
    </row>
    <row r="58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20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  <c r="AG581" s="3"/>
      <c r="AH581" s="3"/>
      <c r="AI581" s="3"/>
      <c r="AJ581" s="3"/>
      <c r="AK581" s="3"/>
      <c r="AL581" s="3"/>
      <c r="AM581" s="3"/>
      <c r="AN581" s="3"/>
      <c r="AO581" s="3"/>
      <c r="AP581" s="3"/>
      <c r="AQ581" s="3"/>
      <c r="AR581" s="3"/>
      <c r="AS581" s="3"/>
      <c r="AT581" s="3"/>
      <c r="AU581" s="3"/>
      <c r="AV581" s="3"/>
      <c r="AW581" s="3"/>
      <c r="AX581" s="3"/>
      <c r="AY581" s="3"/>
      <c r="AZ581" s="3"/>
      <c r="BA581" s="3"/>
      <c r="BB581" s="3"/>
      <c r="BC581" s="3"/>
      <c r="BD581" s="3"/>
      <c r="BE581" s="3"/>
      <c r="BF581" s="3"/>
    </row>
    <row r="582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20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  <c r="AG582" s="3"/>
      <c r="AH582" s="3"/>
      <c r="AI582" s="3"/>
      <c r="AJ582" s="3"/>
      <c r="AK582" s="3"/>
      <c r="AL582" s="3"/>
      <c r="AM582" s="3"/>
      <c r="AN582" s="3"/>
      <c r="AO582" s="3"/>
      <c r="AP582" s="3"/>
      <c r="AQ582" s="3"/>
      <c r="AR582" s="3"/>
      <c r="AS582" s="3"/>
      <c r="AT582" s="3"/>
      <c r="AU582" s="3"/>
      <c r="AV582" s="3"/>
      <c r="AW582" s="3"/>
      <c r="AX582" s="3"/>
      <c r="AY582" s="3"/>
      <c r="AZ582" s="3"/>
      <c r="BA582" s="3"/>
      <c r="BB582" s="3"/>
      <c r="BC582" s="3"/>
      <c r="BD582" s="3"/>
      <c r="BE582" s="3"/>
      <c r="BF582" s="3"/>
    </row>
    <row r="58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20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  <c r="AG583" s="3"/>
      <c r="AH583" s="3"/>
      <c r="AI583" s="3"/>
      <c r="AJ583" s="3"/>
      <c r="AK583" s="3"/>
      <c r="AL583" s="3"/>
      <c r="AM583" s="3"/>
      <c r="AN583" s="3"/>
      <c r="AO583" s="3"/>
      <c r="AP583" s="3"/>
      <c r="AQ583" s="3"/>
      <c r="AR583" s="3"/>
      <c r="AS583" s="3"/>
      <c r="AT583" s="3"/>
      <c r="AU583" s="3"/>
      <c r="AV583" s="3"/>
      <c r="AW583" s="3"/>
      <c r="AX583" s="3"/>
      <c r="AY583" s="3"/>
      <c r="AZ583" s="3"/>
      <c r="BA583" s="3"/>
      <c r="BB583" s="3"/>
      <c r="BC583" s="3"/>
      <c r="BD583" s="3"/>
      <c r="BE583" s="3"/>
      <c r="BF583" s="3"/>
    </row>
    <row r="584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20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  <c r="AG584" s="3"/>
      <c r="AH584" s="3"/>
      <c r="AI584" s="3"/>
      <c r="AJ584" s="3"/>
      <c r="AK584" s="3"/>
      <c r="AL584" s="3"/>
      <c r="AM584" s="3"/>
      <c r="AN584" s="3"/>
      <c r="AO584" s="3"/>
      <c r="AP584" s="3"/>
      <c r="AQ584" s="3"/>
      <c r="AR584" s="3"/>
      <c r="AS584" s="3"/>
      <c r="AT584" s="3"/>
      <c r="AU584" s="3"/>
      <c r="AV584" s="3"/>
      <c r="AW584" s="3"/>
      <c r="AX584" s="3"/>
      <c r="AY584" s="3"/>
      <c r="AZ584" s="3"/>
      <c r="BA584" s="3"/>
      <c r="BB584" s="3"/>
      <c r="BC584" s="3"/>
      <c r="BD584" s="3"/>
      <c r="BE584" s="3"/>
      <c r="BF584" s="3"/>
    </row>
    <row r="585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20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  <c r="AG585" s="3"/>
      <c r="AH585" s="3"/>
      <c r="AI585" s="3"/>
      <c r="AJ585" s="3"/>
      <c r="AK585" s="3"/>
      <c r="AL585" s="3"/>
      <c r="AM585" s="3"/>
      <c r="AN585" s="3"/>
      <c r="AO585" s="3"/>
      <c r="AP585" s="3"/>
      <c r="AQ585" s="3"/>
      <c r="AR585" s="3"/>
      <c r="AS585" s="3"/>
      <c r="AT585" s="3"/>
      <c r="AU585" s="3"/>
      <c r="AV585" s="3"/>
      <c r="AW585" s="3"/>
      <c r="AX585" s="3"/>
      <c r="AY585" s="3"/>
      <c r="AZ585" s="3"/>
      <c r="BA585" s="3"/>
      <c r="BB585" s="3"/>
      <c r="BC585" s="3"/>
      <c r="BD585" s="3"/>
      <c r="BE585" s="3"/>
      <c r="BF585" s="3"/>
    </row>
    <row r="58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20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  <c r="AG586" s="3"/>
      <c r="AH586" s="3"/>
      <c r="AI586" s="3"/>
      <c r="AJ586" s="3"/>
      <c r="AK586" s="3"/>
      <c r="AL586" s="3"/>
      <c r="AM586" s="3"/>
      <c r="AN586" s="3"/>
      <c r="AO586" s="3"/>
      <c r="AP586" s="3"/>
      <c r="AQ586" s="3"/>
      <c r="AR586" s="3"/>
      <c r="AS586" s="3"/>
      <c r="AT586" s="3"/>
      <c r="AU586" s="3"/>
      <c r="AV586" s="3"/>
      <c r="AW586" s="3"/>
      <c r="AX586" s="3"/>
      <c r="AY586" s="3"/>
      <c r="AZ586" s="3"/>
      <c r="BA586" s="3"/>
      <c r="BB586" s="3"/>
      <c r="BC586" s="3"/>
      <c r="BD586" s="3"/>
      <c r="BE586" s="3"/>
      <c r="BF586" s="3"/>
    </row>
    <row r="587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20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  <c r="AG587" s="3"/>
      <c r="AH587" s="3"/>
      <c r="AI587" s="3"/>
      <c r="AJ587" s="3"/>
      <c r="AK587" s="3"/>
      <c r="AL587" s="3"/>
      <c r="AM587" s="3"/>
      <c r="AN587" s="3"/>
      <c r="AO587" s="3"/>
      <c r="AP587" s="3"/>
      <c r="AQ587" s="3"/>
      <c r="AR587" s="3"/>
      <c r="AS587" s="3"/>
      <c r="AT587" s="3"/>
      <c r="AU587" s="3"/>
      <c r="AV587" s="3"/>
      <c r="AW587" s="3"/>
      <c r="AX587" s="3"/>
      <c r="AY587" s="3"/>
      <c r="AZ587" s="3"/>
      <c r="BA587" s="3"/>
      <c r="BB587" s="3"/>
      <c r="BC587" s="3"/>
      <c r="BD587" s="3"/>
      <c r="BE587" s="3"/>
      <c r="BF587" s="3"/>
    </row>
    <row r="588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20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  <c r="AG588" s="3"/>
      <c r="AH588" s="3"/>
      <c r="AI588" s="3"/>
      <c r="AJ588" s="3"/>
      <c r="AK588" s="3"/>
      <c r="AL588" s="3"/>
      <c r="AM588" s="3"/>
      <c r="AN588" s="3"/>
      <c r="AO588" s="3"/>
      <c r="AP588" s="3"/>
      <c r="AQ588" s="3"/>
      <c r="AR588" s="3"/>
      <c r="AS588" s="3"/>
      <c r="AT588" s="3"/>
      <c r="AU588" s="3"/>
      <c r="AV588" s="3"/>
      <c r="AW588" s="3"/>
      <c r="AX588" s="3"/>
      <c r="AY588" s="3"/>
      <c r="AZ588" s="3"/>
      <c r="BA588" s="3"/>
      <c r="BB588" s="3"/>
      <c r="BC588" s="3"/>
      <c r="BD588" s="3"/>
      <c r="BE588" s="3"/>
      <c r="BF588" s="3"/>
    </row>
    <row r="589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20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  <c r="AG589" s="3"/>
      <c r="AH589" s="3"/>
      <c r="AI589" s="3"/>
      <c r="AJ589" s="3"/>
      <c r="AK589" s="3"/>
      <c r="AL589" s="3"/>
      <c r="AM589" s="3"/>
      <c r="AN589" s="3"/>
      <c r="AO589" s="3"/>
      <c r="AP589" s="3"/>
      <c r="AQ589" s="3"/>
      <c r="AR589" s="3"/>
      <c r="AS589" s="3"/>
      <c r="AT589" s="3"/>
      <c r="AU589" s="3"/>
      <c r="AV589" s="3"/>
      <c r="AW589" s="3"/>
      <c r="AX589" s="3"/>
      <c r="AY589" s="3"/>
      <c r="AZ589" s="3"/>
      <c r="BA589" s="3"/>
      <c r="BB589" s="3"/>
      <c r="BC589" s="3"/>
      <c r="BD589" s="3"/>
      <c r="BE589" s="3"/>
      <c r="BF589" s="3"/>
    </row>
    <row r="590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20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  <c r="AG590" s="3"/>
      <c r="AH590" s="3"/>
      <c r="AI590" s="3"/>
      <c r="AJ590" s="3"/>
      <c r="AK590" s="3"/>
      <c r="AL590" s="3"/>
      <c r="AM590" s="3"/>
      <c r="AN590" s="3"/>
      <c r="AO590" s="3"/>
      <c r="AP590" s="3"/>
      <c r="AQ590" s="3"/>
      <c r="AR590" s="3"/>
      <c r="AS590" s="3"/>
      <c r="AT590" s="3"/>
      <c r="AU590" s="3"/>
      <c r="AV590" s="3"/>
      <c r="AW590" s="3"/>
      <c r="AX590" s="3"/>
      <c r="AY590" s="3"/>
      <c r="AZ590" s="3"/>
      <c r="BA590" s="3"/>
      <c r="BB590" s="3"/>
      <c r="BC590" s="3"/>
      <c r="BD590" s="3"/>
      <c r="BE590" s="3"/>
      <c r="BF590" s="3"/>
    </row>
    <row r="59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20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  <c r="AG591" s="3"/>
      <c r="AH591" s="3"/>
      <c r="AI591" s="3"/>
      <c r="AJ591" s="3"/>
      <c r="AK591" s="3"/>
      <c r="AL591" s="3"/>
      <c r="AM591" s="3"/>
      <c r="AN591" s="3"/>
      <c r="AO591" s="3"/>
      <c r="AP591" s="3"/>
      <c r="AQ591" s="3"/>
      <c r="AR591" s="3"/>
      <c r="AS591" s="3"/>
      <c r="AT591" s="3"/>
      <c r="AU591" s="3"/>
      <c r="AV591" s="3"/>
      <c r="AW591" s="3"/>
      <c r="AX591" s="3"/>
      <c r="AY591" s="3"/>
      <c r="AZ591" s="3"/>
      <c r="BA591" s="3"/>
      <c r="BB591" s="3"/>
      <c r="BC591" s="3"/>
      <c r="BD591" s="3"/>
      <c r="BE591" s="3"/>
      <c r="BF591" s="3"/>
    </row>
    <row r="592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20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  <c r="AG592" s="3"/>
      <c r="AH592" s="3"/>
      <c r="AI592" s="3"/>
      <c r="AJ592" s="3"/>
      <c r="AK592" s="3"/>
      <c r="AL592" s="3"/>
      <c r="AM592" s="3"/>
      <c r="AN592" s="3"/>
      <c r="AO592" s="3"/>
      <c r="AP592" s="3"/>
      <c r="AQ592" s="3"/>
      <c r="AR592" s="3"/>
      <c r="AS592" s="3"/>
      <c r="AT592" s="3"/>
      <c r="AU592" s="3"/>
      <c r="AV592" s="3"/>
      <c r="AW592" s="3"/>
      <c r="AX592" s="3"/>
      <c r="AY592" s="3"/>
      <c r="AZ592" s="3"/>
      <c r="BA592" s="3"/>
      <c r="BB592" s="3"/>
      <c r="BC592" s="3"/>
      <c r="BD592" s="3"/>
      <c r="BE592" s="3"/>
      <c r="BF592" s="3"/>
    </row>
    <row r="59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20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  <c r="AG593" s="3"/>
      <c r="AH593" s="3"/>
      <c r="AI593" s="3"/>
      <c r="AJ593" s="3"/>
      <c r="AK593" s="3"/>
      <c r="AL593" s="3"/>
      <c r="AM593" s="3"/>
      <c r="AN593" s="3"/>
      <c r="AO593" s="3"/>
      <c r="AP593" s="3"/>
      <c r="AQ593" s="3"/>
      <c r="AR593" s="3"/>
      <c r="AS593" s="3"/>
      <c r="AT593" s="3"/>
      <c r="AU593" s="3"/>
      <c r="AV593" s="3"/>
      <c r="AW593" s="3"/>
      <c r="AX593" s="3"/>
      <c r="AY593" s="3"/>
      <c r="AZ593" s="3"/>
      <c r="BA593" s="3"/>
      <c r="BB593" s="3"/>
      <c r="BC593" s="3"/>
      <c r="BD593" s="3"/>
      <c r="BE593" s="3"/>
      <c r="BF593" s="3"/>
    </row>
    <row r="594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20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  <c r="AG594" s="3"/>
      <c r="AH594" s="3"/>
      <c r="AI594" s="3"/>
      <c r="AJ594" s="3"/>
      <c r="AK594" s="3"/>
      <c r="AL594" s="3"/>
      <c r="AM594" s="3"/>
      <c r="AN594" s="3"/>
      <c r="AO594" s="3"/>
      <c r="AP594" s="3"/>
      <c r="AQ594" s="3"/>
      <c r="AR594" s="3"/>
      <c r="AS594" s="3"/>
      <c r="AT594" s="3"/>
      <c r="AU594" s="3"/>
      <c r="AV594" s="3"/>
      <c r="AW594" s="3"/>
      <c r="AX594" s="3"/>
      <c r="AY594" s="3"/>
      <c r="AZ594" s="3"/>
      <c r="BA594" s="3"/>
      <c r="BB594" s="3"/>
      <c r="BC594" s="3"/>
      <c r="BD594" s="3"/>
      <c r="BE594" s="3"/>
      <c r="BF594" s="3"/>
    </row>
    <row r="595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20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  <c r="AG595" s="3"/>
      <c r="AH595" s="3"/>
      <c r="AI595" s="3"/>
      <c r="AJ595" s="3"/>
      <c r="AK595" s="3"/>
      <c r="AL595" s="3"/>
      <c r="AM595" s="3"/>
      <c r="AN595" s="3"/>
      <c r="AO595" s="3"/>
      <c r="AP595" s="3"/>
      <c r="AQ595" s="3"/>
      <c r="AR595" s="3"/>
      <c r="AS595" s="3"/>
      <c r="AT595" s="3"/>
      <c r="AU595" s="3"/>
      <c r="AV595" s="3"/>
      <c r="AW595" s="3"/>
      <c r="AX595" s="3"/>
      <c r="AY595" s="3"/>
      <c r="AZ595" s="3"/>
      <c r="BA595" s="3"/>
      <c r="BB595" s="3"/>
      <c r="BC595" s="3"/>
      <c r="BD595" s="3"/>
      <c r="BE595" s="3"/>
      <c r="BF595" s="3"/>
    </row>
    <row r="59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20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  <c r="AG596" s="3"/>
      <c r="AH596" s="3"/>
      <c r="AI596" s="3"/>
      <c r="AJ596" s="3"/>
      <c r="AK596" s="3"/>
      <c r="AL596" s="3"/>
      <c r="AM596" s="3"/>
      <c r="AN596" s="3"/>
      <c r="AO596" s="3"/>
      <c r="AP596" s="3"/>
      <c r="AQ596" s="3"/>
      <c r="AR596" s="3"/>
      <c r="AS596" s="3"/>
      <c r="AT596" s="3"/>
      <c r="AU596" s="3"/>
      <c r="AV596" s="3"/>
      <c r="AW596" s="3"/>
      <c r="AX596" s="3"/>
      <c r="AY596" s="3"/>
      <c r="AZ596" s="3"/>
      <c r="BA596" s="3"/>
      <c r="BB596" s="3"/>
      <c r="BC596" s="3"/>
      <c r="BD596" s="3"/>
      <c r="BE596" s="3"/>
      <c r="BF596" s="3"/>
    </row>
    <row r="597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20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  <c r="AG597" s="3"/>
      <c r="AH597" s="3"/>
      <c r="AI597" s="3"/>
      <c r="AJ597" s="3"/>
      <c r="AK597" s="3"/>
      <c r="AL597" s="3"/>
      <c r="AM597" s="3"/>
      <c r="AN597" s="3"/>
      <c r="AO597" s="3"/>
      <c r="AP597" s="3"/>
      <c r="AQ597" s="3"/>
      <c r="AR597" s="3"/>
      <c r="AS597" s="3"/>
      <c r="AT597" s="3"/>
      <c r="AU597" s="3"/>
      <c r="AV597" s="3"/>
      <c r="AW597" s="3"/>
      <c r="AX597" s="3"/>
      <c r="AY597" s="3"/>
      <c r="AZ597" s="3"/>
      <c r="BA597" s="3"/>
      <c r="BB597" s="3"/>
      <c r="BC597" s="3"/>
      <c r="BD597" s="3"/>
      <c r="BE597" s="3"/>
      <c r="BF597" s="3"/>
    </row>
    <row r="598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20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  <c r="AG598" s="3"/>
      <c r="AH598" s="3"/>
      <c r="AI598" s="3"/>
      <c r="AJ598" s="3"/>
      <c r="AK598" s="3"/>
      <c r="AL598" s="3"/>
      <c r="AM598" s="3"/>
      <c r="AN598" s="3"/>
      <c r="AO598" s="3"/>
      <c r="AP598" s="3"/>
      <c r="AQ598" s="3"/>
      <c r="AR598" s="3"/>
      <c r="AS598" s="3"/>
      <c r="AT598" s="3"/>
      <c r="AU598" s="3"/>
      <c r="AV598" s="3"/>
      <c r="AW598" s="3"/>
      <c r="AX598" s="3"/>
      <c r="AY598" s="3"/>
      <c r="AZ598" s="3"/>
      <c r="BA598" s="3"/>
      <c r="BB598" s="3"/>
      <c r="BC598" s="3"/>
      <c r="BD598" s="3"/>
      <c r="BE598" s="3"/>
      <c r="BF598" s="3"/>
    </row>
    <row r="599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20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  <c r="AG599" s="3"/>
      <c r="AH599" s="3"/>
      <c r="AI599" s="3"/>
      <c r="AJ599" s="3"/>
      <c r="AK599" s="3"/>
      <c r="AL599" s="3"/>
      <c r="AM599" s="3"/>
      <c r="AN599" s="3"/>
      <c r="AO599" s="3"/>
      <c r="AP599" s="3"/>
      <c r="AQ599" s="3"/>
      <c r="AR599" s="3"/>
      <c r="AS599" s="3"/>
      <c r="AT599" s="3"/>
      <c r="AU599" s="3"/>
      <c r="AV599" s="3"/>
      <c r="AW599" s="3"/>
      <c r="AX599" s="3"/>
      <c r="AY599" s="3"/>
      <c r="AZ599" s="3"/>
      <c r="BA599" s="3"/>
      <c r="BB599" s="3"/>
      <c r="BC599" s="3"/>
      <c r="BD599" s="3"/>
      <c r="BE599" s="3"/>
      <c r="BF599" s="3"/>
    </row>
    <row r="600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20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  <c r="AG600" s="3"/>
      <c r="AH600" s="3"/>
      <c r="AI600" s="3"/>
      <c r="AJ600" s="3"/>
      <c r="AK600" s="3"/>
      <c r="AL600" s="3"/>
      <c r="AM600" s="3"/>
      <c r="AN600" s="3"/>
      <c r="AO600" s="3"/>
      <c r="AP600" s="3"/>
      <c r="AQ600" s="3"/>
      <c r="AR600" s="3"/>
      <c r="AS600" s="3"/>
      <c r="AT600" s="3"/>
      <c r="AU600" s="3"/>
      <c r="AV600" s="3"/>
      <c r="AW600" s="3"/>
      <c r="AX600" s="3"/>
      <c r="AY600" s="3"/>
      <c r="AZ600" s="3"/>
      <c r="BA600" s="3"/>
      <c r="BB600" s="3"/>
      <c r="BC600" s="3"/>
      <c r="BD600" s="3"/>
      <c r="BE600" s="3"/>
      <c r="BF600" s="3"/>
    </row>
    <row r="60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20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  <c r="AG601" s="3"/>
      <c r="AH601" s="3"/>
      <c r="AI601" s="3"/>
      <c r="AJ601" s="3"/>
      <c r="AK601" s="3"/>
      <c r="AL601" s="3"/>
      <c r="AM601" s="3"/>
      <c r="AN601" s="3"/>
      <c r="AO601" s="3"/>
      <c r="AP601" s="3"/>
      <c r="AQ601" s="3"/>
      <c r="AR601" s="3"/>
      <c r="AS601" s="3"/>
      <c r="AT601" s="3"/>
      <c r="AU601" s="3"/>
      <c r="AV601" s="3"/>
      <c r="AW601" s="3"/>
      <c r="AX601" s="3"/>
      <c r="AY601" s="3"/>
      <c r="AZ601" s="3"/>
      <c r="BA601" s="3"/>
      <c r="BB601" s="3"/>
      <c r="BC601" s="3"/>
      <c r="BD601" s="3"/>
      <c r="BE601" s="3"/>
      <c r="BF601" s="3"/>
    </row>
    <row r="602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20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  <c r="AG602" s="3"/>
      <c r="AH602" s="3"/>
      <c r="AI602" s="3"/>
      <c r="AJ602" s="3"/>
      <c r="AK602" s="3"/>
      <c r="AL602" s="3"/>
      <c r="AM602" s="3"/>
      <c r="AN602" s="3"/>
      <c r="AO602" s="3"/>
      <c r="AP602" s="3"/>
      <c r="AQ602" s="3"/>
      <c r="AR602" s="3"/>
      <c r="AS602" s="3"/>
      <c r="AT602" s="3"/>
      <c r="AU602" s="3"/>
      <c r="AV602" s="3"/>
      <c r="AW602" s="3"/>
      <c r="AX602" s="3"/>
      <c r="AY602" s="3"/>
      <c r="AZ602" s="3"/>
      <c r="BA602" s="3"/>
      <c r="BB602" s="3"/>
      <c r="BC602" s="3"/>
      <c r="BD602" s="3"/>
      <c r="BE602" s="3"/>
      <c r="BF602" s="3"/>
    </row>
    <row r="60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20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  <c r="AG603" s="3"/>
      <c r="AH603" s="3"/>
      <c r="AI603" s="3"/>
      <c r="AJ603" s="3"/>
      <c r="AK603" s="3"/>
      <c r="AL603" s="3"/>
      <c r="AM603" s="3"/>
      <c r="AN603" s="3"/>
      <c r="AO603" s="3"/>
      <c r="AP603" s="3"/>
      <c r="AQ603" s="3"/>
      <c r="AR603" s="3"/>
      <c r="AS603" s="3"/>
      <c r="AT603" s="3"/>
      <c r="AU603" s="3"/>
      <c r="AV603" s="3"/>
      <c r="AW603" s="3"/>
      <c r="AX603" s="3"/>
      <c r="AY603" s="3"/>
      <c r="AZ603" s="3"/>
      <c r="BA603" s="3"/>
      <c r="BB603" s="3"/>
      <c r="BC603" s="3"/>
      <c r="BD603" s="3"/>
      <c r="BE603" s="3"/>
      <c r="BF603" s="3"/>
    </row>
    <row r="604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20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  <c r="AG604" s="3"/>
      <c r="AH604" s="3"/>
      <c r="AI604" s="3"/>
      <c r="AJ604" s="3"/>
      <c r="AK604" s="3"/>
      <c r="AL604" s="3"/>
      <c r="AM604" s="3"/>
      <c r="AN604" s="3"/>
      <c r="AO604" s="3"/>
      <c r="AP604" s="3"/>
      <c r="AQ604" s="3"/>
      <c r="AR604" s="3"/>
      <c r="AS604" s="3"/>
      <c r="AT604" s="3"/>
      <c r="AU604" s="3"/>
      <c r="AV604" s="3"/>
      <c r="AW604" s="3"/>
      <c r="AX604" s="3"/>
      <c r="AY604" s="3"/>
      <c r="AZ604" s="3"/>
      <c r="BA604" s="3"/>
      <c r="BB604" s="3"/>
      <c r="BC604" s="3"/>
      <c r="BD604" s="3"/>
      <c r="BE604" s="3"/>
      <c r="BF604" s="3"/>
    </row>
    <row r="605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20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  <c r="AG605" s="3"/>
      <c r="AH605" s="3"/>
      <c r="AI605" s="3"/>
      <c r="AJ605" s="3"/>
      <c r="AK605" s="3"/>
      <c r="AL605" s="3"/>
      <c r="AM605" s="3"/>
      <c r="AN605" s="3"/>
      <c r="AO605" s="3"/>
      <c r="AP605" s="3"/>
      <c r="AQ605" s="3"/>
      <c r="AR605" s="3"/>
      <c r="AS605" s="3"/>
      <c r="AT605" s="3"/>
      <c r="AU605" s="3"/>
      <c r="AV605" s="3"/>
      <c r="AW605" s="3"/>
      <c r="AX605" s="3"/>
      <c r="AY605" s="3"/>
      <c r="AZ605" s="3"/>
      <c r="BA605" s="3"/>
      <c r="BB605" s="3"/>
      <c r="BC605" s="3"/>
      <c r="BD605" s="3"/>
      <c r="BE605" s="3"/>
      <c r="BF605" s="3"/>
    </row>
    <row r="60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20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  <c r="AG606" s="3"/>
      <c r="AH606" s="3"/>
      <c r="AI606" s="3"/>
      <c r="AJ606" s="3"/>
      <c r="AK606" s="3"/>
      <c r="AL606" s="3"/>
      <c r="AM606" s="3"/>
      <c r="AN606" s="3"/>
      <c r="AO606" s="3"/>
      <c r="AP606" s="3"/>
      <c r="AQ606" s="3"/>
      <c r="AR606" s="3"/>
      <c r="AS606" s="3"/>
      <c r="AT606" s="3"/>
      <c r="AU606" s="3"/>
      <c r="AV606" s="3"/>
      <c r="AW606" s="3"/>
      <c r="AX606" s="3"/>
      <c r="AY606" s="3"/>
      <c r="AZ606" s="3"/>
      <c r="BA606" s="3"/>
      <c r="BB606" s="3"/>
      <c r="BC606" s="3"/>
      <c r="BD606" s="3"/>
      <c r="BE606" s="3"/>
      <c r="BF606" s="3"/>
    </row>
    <row r="607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20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  <c r="AG607" s="3"/>
      <c r="AH607" s="3"/>
      <c r="AI607" s="3"/>
      <c r="AJ607" s="3"/>
      <c r="AK607" s="3"/>
      <c r="AL607" s="3"/>
      <c r="AM607" s="3"/>
      <c r="AN607" s="3"/>
      <c r="AO607" s="3"/>
      <c r="AP607" s="3"/>
      <c r="AQ607" s="3"/>
      <c r="AR607" s="3"/>
      <c r="AS607" s="3"/>
      <c r="AT607" s="3"/>
      <c r="AU607" s="3"/>
      <c r="AV607" s="3"/>
      <c r="AW607" s="3"/>
      <c r="AX607" s="3"/>
      <c r="AY607" s="3"/>
      <c r="AZ607" s="3"/>
      <c r="BA607" s="3"/>
      <c r="BB607" s="3"/>
      <c r="BC607" s="3"/>
      <c r="BD607" s="3"/>
      <c r="BE607" s="3"/>
      <c r="BF607" s="3"/>
    </row>
    <row r="608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20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  <c r="AG608" s="3"/>
      <c r="AH608" s="3"/>
      <c r="AI608" s="3"/>
      <c r="AJ608" s="3"/>
      <c r="AK608" s="3"/>
      <c r="AL608" s="3"/>
      <c r="AM608" s="3"/>
      <c r="AN608" s="3"/>
      <c r="AO608" s="3"/>
      <c r="AP608" s="3"/>
      <c r="AQ608" s="3"/>
      <c r="AR608" s="3"/>
      <c r="AS608" s="3"/>
      <c r="AT608" s="3"/>
      <c r="AU608" s="3"/>
      <c r="AV608" s="3"/>
      <c r="AW608" s="3"/>
      <c r="AX608" s="3"/>
      <c r="AY608" s="3"/>
      <c r="AZ608" s="3"/>
      <c r="BA608" s="3"/>
      <c r="BB608" s="3"/>
      <c r="BC608" s="3"/>
      <c r="BD608" s="3"/>
      <c r="BE608" s="3"/>
      <c r="BF608" s="3"/>
    </row>
    <row r="609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20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  <c r="AG609" s="3"/>
      <c r="AH609" s="3"/>
      <c r="AI609" s="3"/>
      <c r="AJ609" s="3"/>
      <c r="AK609" s="3"/>
      <c r="AL609" s="3"/>
      <c r="AM609" s="3"/>
      <c r="AN609" s="3"/>
      <c r="AO609" s="3"/>
      <c r="AP609" s="3"/>
      <c r="AQ609" s="3"/>
      <c r="AR609" s="3"/>
      <c r="AS609" s="3"/>
      <c r="AT609" s="3"/>
      <c r="AU609" s="3"/>
      <c r="AV609" s="3"/>
      <c r="AW609" s="3"/>
      <c r="AX609" s="3"/>
      <c r="AY609" s="3"/>
      <c r="AZ609" s="3"/>
      <c r="BA609" s="3"/>
      <c r="BB609" s="3"/>
      <c r="BC609" s="3"/>
      <c r="BD609" s="3"/>
      <c r="BE609" s="3"/>
      <c r="BF609" s="3"/>
    </row>
    <row r="610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20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  <c r="AG610" s="3"/>
      <c r="AH610" s="3"/>
      <c r="AI610" s="3"/>
      <c r="AJ610" s="3"/>
      <c r="AK610" s="3"/>
      <c r="AL610" s="3"/>
      <c r="AM610" s="3"/>
      <c r="AN610" s="3"/>
      <c r="AO610" s="3"/>
      <c r="AP610" s="3"/>
      <c r="AQ610" s="3"/>
      <c r="AR610" s="3"/>
      <c r="AS610" s="3"/>
      <c r="AT610" s="3"/>
      <c r="AU610" s="3"/>
      <c r="AV610" s="3"/>
      <c r="AW610" s="3"/>
      <c r="AX610" s="3"/>
      <c r="AY610" s="3"/>
      <c r="AZ610" s="3"/>
      <c r="BA610" s="3"/>
      <c r="BB610" s="3"/>
      <c r="BC610" s="3"/>
      <c r="BD610" s="3"/>
      <c r="BE610" s="3"/>
      <c r="BF610" s="3"/>
    </row>
    <row r="61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20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  <c r="AG611" s="3"/>
      <c r="AH611" s="3"/>
      <c r="AI611" s="3"/>
      <c r="AJ611" s="3"/>
      <c r="AK611" s="3"/>
      <c r="AL611" s="3"/>
      <c r="AM611" s="3"/>
      <c r="AN611" s="3"/>
      <c r="AO611" s="3"/>
      <c r="AP611" s="3"/>
      <c r="AQ611" s="3"/>
      <c r="AR611" s="3"/>
      <c r="AS611" s="3"/>
      <c r="AT611" s="3"/>
      <c r="AU611" s="3"/>
      <c r="AV611" s="3"/>
      <c r="AW611" s="3"/>
      <c r="AX611" s="3"/>
      <c r="AY611" s="3"/>
      <c r="AZ611" s="3"/>
      <c r="BA611" s="3"/>
      <c r="BB611" s="3"/>
      <c r="BC611" s="3"/>
      <c r="BD611" s="3"/>
      <c r="BE611" s="3"/>
      <c r="BF611" s="3"/>
    </row>
    <row r="612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20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  <c r="AG612" s="3"/>
      <c r="AH612" s="3"/>
      <c r="AI612" s="3"/>
      <c r="AJ612" s="3"/>
      <c r="AK612" s="3"/>
      <c r="AL612" s="3"/>
      <c r="AM612" s="3"/>
      <c r="AN612" s="3"/>
      <c r="AO612" s="3"/>
      <c r="AP612" s="3"/>
      <c r="AQ612" s="3"/>
      <c r="AR612" s="3"/>
      <c r="AS612" s="3"/>
      <c r="AT612" s="3"/>
      <c r="AU612" s="3"/>
      <c r="AV612" s="3"/>
      <c r="AW612" s="3"/>
      <c r="AX612" s="3"/>
      <c r="AY612" s="3"/>
      <c r="AZ612" s="3"/>
      <c r="BA612" s="3"/>
      <c r="BB612" s="3"/>
      <c r="BC612" s="3"/>
      <c r="BD612" s="3"/>
      <c r="BE612" s="3"/>
      <c r="BF612" s="3"/>
    </row>
    <row r="61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20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  <c r="AG613" s="3"/>
      <c r="AH613" s="3"/>
      <c r="AI613" s="3"/>
      <c r="AJ613" s="3"/>
      <c r="AK613" s="3"/>
      <c r="AL613" s="3"/>
      <c r="AM613" s="3"/>
      <c r="AN613" s="3"/>
      <c r="AO613" s="3"/>
      <c r="AP613" s="3"/>
      <c r="AQ613" s="3"/>
      <c r="AR613" s="3"/>
      <c r="AS613" s="3"/>
      <c r="AT613" s="3"/>
      <c r="AU613" s="3"/>
      <c r="AV613" s="3"/>
      <c r="AW613" s="3"/>
      <c r="AX613" s="3"/>
      <c r="AY613" s="3"/>
      <c r="AZ613" s="3"/>
      <c r="BA613" s="3"/>
      <c r="BB613" s="3"/>
      <c r="BC613" s="3"/>
      <c r="BD613" s="3"/>
      <c r="BE613" s="3"/>
      <c r="BF613" s="3"/>
    </row>
    <row r="614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20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  <c r="AG614" s="3"/>
      <c r="AH614" s="3"/>
      <c r="AI614" s="3"/>
      <c r="AJ614" s="3"/>
      <c r="AK614" s="3"/>
      <c r="AL614" s="3"/>
      <c r="AM614" s="3"/>
      <c r="AN614" s="3"/>
      <c r="AO614" s="3"/>
      <c r="AP614" s="3"/>
      <c r="AQ614" s="3"/>
      <c r="AR614" s="3"/>
      <c r="AS614" s="3"/>
      <c r="AT614" s="3"/>
      <c r="AU614" s="3"/>
      <c r="AV614" s="3"/>
      <c r="AW614" s="3"/>
      <c r="AX614" s="3"/>
      <c r="AY614" s="3"/>
      <c r="AZ614" s="3"/>
      <c r="BA614" s="3"/>
      <c r="BB614" s="3"/>
      <c r="BC614" s="3"/>
      <c r="BD614" s="3"/>
      <c r="BE614" s="3"/>
      <c r="BF614" s="3"/>
    </row>
    <row r="615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20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  <c r="AG615" s="3"/>
      <c r="AH615" s="3"/>
      <c r="AI615" s="3"/>
      <c r="AJ615" s="3"/>
      <c r="AK615" s="3"/>
      <c r="AL615" s="3"/>
      <c r="AM615" s="3"/>
      <c r="AN615" s="3"/>
      <c r="AO615" s="3"/>
      <c r="AP615" s="3"/>
      <c r="AQ615" s="3"/>
      <c r="AR615" s="3"/>
      <c r="AS615" s="3"/>
      <c r="AT615" s="3"/>
      <c r="AU615" s="3"/>
      <c r="AV615" s="3"/>
      <c r="AW615" s="3"/>
      <c r="AX615" s="3"/>
      <c r="AY615" s="3"/>
      <c r="AZ615" s="3"/>
      <c r="BA615" s="3"/>
      <c r="BB615" s="3"/>
      <c r="BC615" s="3"/>
      <c r="BD615" s="3"/>
      <c r="BE615" s="3"/>
      <c r="BF615" s="3"/>
    </row>
    <row r="61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20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  <c r="AG616" s="3"/>
      <c r="AH616" s="3"/>
      <c r="AI616" s="3"/>
      <c r="AJ616" s="3"/>
      <c r="AK616" s="3"/>
      <c r="AL616" s="3"/>
      <c r="AM616" s="3"/>
      <c r="AN616" s="3"/>
      <c r="AO616" s="3"/>
      <c r="AP616" s="3"/>
      <c r="AQ616" s="3"/>
      <c r="AR616" s="3"/>
      <c r="AS616" s="3"/>
      <c r="AT616" s="3"/>
      <c r="AU616" s="3"/>
      <c r="AV616" s="3"/>
      <c r="AW616" s="3"/>
      <c r="AX616" s="3"/>
      <c r="AY616" s="3"/>
      <c r="AZ616" s="3"/>
      <c r="BA616" s="3"/>
      <c r="BB616" s="3"/>
      <c r="BC616" s="3"/>
      <c r="BD616" s="3"/>
      <c r="BE616" s="3"/>
      <c r="BF616" s="3"/>
    </row>
    <row r="617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20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  <c r="AG617" s="3"/>
      <c r="AH617" s="3"/>
      <c r="AI617" s="3"/>
      <c r="AJ617" s="3"/>
      <c r="AK617" s="3"/>
      <c r="AL617" s="3"/>
      <c r="AM617" s="3"/>
      <c r="AN617" s="3"/>
      <c r="AO617" s="3"/>
      <c r="AP617" s="3"/>
      <c r="AQ617" s="3"/>
      <c r="AR617" s="3"/>
      <c r="AS617" s="3"/>
      <c r="AT617" s="3"/>
      <c r="AU617" s="3"/>
      <c r="AV617" s="3"/>
      <c r="AW617" s="3"/>
      <c r="AX617" s="3"/>
      <c r="AY617" s="3"/>
      <c r="AZ617" s="3"/>
      <c r="BA617" s="3"/>
      <c r="BB617" s="3"/>
      <c r="BC617" s="3"/>
      <c r="BD617" s="3"/>
      <c r="BE617" s="3"/>
      <c r="BF617" s="3"/>
    </row>
    <row r="618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20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  <c r="AG618" s="3"/>
      <c r="AH618" s="3"/>
      <c r="AI618" s="3"/>
      <c r="AJ618" s="3"/>
      <c r="AK618" s="3"/>
      <c r="AL618" s="3"/>
      <c r="AM618" s="3"/>
      <c r="AN618" s="3"/>
      <c r="AO618" s="3"/>
      <c r="AP618" s="3"/>
      <c r="AQ618" s="3"/>
      <c r="AR618" s="3"/>
      <c r="AS618" s="3"/>
      <c r="AT618" s="3"/>
      <c r="AU618" s="3"/>
      <c r="AV618" s="3"/>
      <c r="AW618" s="3"/>
      <c r="AX618" s="3"/>
      <c r="AY618" s="3"/>
      <c r="AZ618" s="3"/>
      <c r="BA618" s="3"/>
      <c r="BB618" s="3"/>
      <c r="BC618" s="3"/>
      <c r="BD618" s="3"/>
      <c r="BE618" s="3"/>
      <c r="BF618" s="3"/>
    </row>
    <row r="619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20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  <c r="AG619" s="3"/>
      <c r="AH619" s="3"/>
      <c r="AI619" s="3"/>
      <c r="AJ619" s="3"/>
      <c r="AK619" s="3"/>
      <c r="AL619" s="3"/>
      <c r="AM619" s="3"/>
      <c r="AN619" s="3"/>
      <c r="AO619" s="3"/>
      <c r="AP619" s="3"/>
      <c r="AQ619" s="3"/>
      <c r="AR619" s="3"/>
      <c r="AS619" s="3"/>
      <c r="AT619" s="3"/>
      <c r="AU619" s="3"/>
      <c r="AV619" s="3"/>
      <c r="AW619" s="3"/>
      <c r="AX619" s="3"/>
      <c r="AY619" s="3"/>
      <c r="AZ619" s="3"/>
      <c r="BA619" s="3"/>
      <c r="BB619" s="3"/>
      <c r="BC619" s="3"/>
      <c r="BD619" s="3"/>
      <c r="BE619" s="3"/>
      <c r="BF619" s="3"/>
    </row>
    <row r="620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20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  <c r="AG620" s="3"/>
      <c r="AH620" s="3"/>
      <c r="AI620" s="3"/>
      <c r="AJ620" s="3"/>
      <c r="AK620" s="3"/>
      <c r="AL620" s="3"/>
      <c r="AM620" s="3"/>
      <c r="AN620" s="3"/>
      <c r="AO620" s="3"/>
      <c r="AP620" s="3"/>
      <c r="AQ620" s="3"/>
      <c r="AR620" s="3"/>
      <c r="AS620" s="3"/>
      <c r="AT620" s="3"/>
      <c r="AU620" s="3"/>
      <c r="AV620" s="3"/>
      <c r="AW620" s="3"/>
      <c r="AX620" s="3"/>
      <c r="AY620" s="3"/>
      <c r="AZ620" s="3"/>
      <c r="BA620" s="3"/>
      <c r="BB620" s="3"/>
      <c r="BC620" s="3"/>
      <c r="BD620" s="3"/>
      <c r="BE620" s="3"/>
      <c r="BF620" s="3"/>
    </row>
    <row r="62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20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  <c r="AG621" s="3"/>
      <c r="AH621" s="3"/>
      <c r="AI621" s="3"/>
      <c r="AJ621" s="3"/>
      <c r="AK621" s="3"/>
      <c r="AL621" s="3"/>
      <c r="AM621" s="3"/>
      <c r="AN621" s="3"/>
      <c r="AO621" s="3"/>
      <c r="AP621" s="3"/>
      <c r="AQ621" s="3"/>
      <c r="AR621" s="3"/>
      <c r="AS621" s="3"/>
      <c r="AT621" s="3"/>
      <c r="AU621" s="3"/>
      <c r="AV621" s="3"/>
      <c r="AW621" s="3"/>
      <c r="AX621" s="3"/>
      <c r="AY621" s="3"/>
      <c r="AZ621" s="3"/>
      <c r="BA621" s="3"/>
      <c r="BB621" s="3"/>
      <c r="BC621" s="3"/>
      <c r="BD621" s="3"/>
      <c r="BE621" s="3"/>
      <c r="BF621" s="3"/>
    </row>
    <row r="622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20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  <c r="AG622" s="3"/>
      <c r="AH622" s="3"/>
      <c r="AI622" s="3"/>
      <c r="AJ622" s="3"/>
      <c r="AK622" s="3"/>
      <c r="AL622" s="3"/>
      <c r="AM622" s="3"/>
      <c r="AN622" s="3"/>
      <c r="AO622" s="3"/>
      <c r="AP622" s="3"/>
      <c r="AQ622" s="3"/>
      <c r="AR622" s="3"/>
      <c r="AS622" s="3"/>
      <c r="AT622" s="3"/>
      <c r="AU622" s="3"/>
      <c r="AV622" s="3"/>
      <c r="AW622" s="3"/>
      <c r="AX622" s="3"/>
      <c r="AY622" s="3"/>
      <c r="AZ622" s="3"/>
      <c r="BA622" s="3"/>
      <c r="BB622" s="3"/>
      <c r="BC622" s="3"/>
      <c r="BD622" s="3"/>
      <c r="BE622" s="3"/>
      <c r="BF622" s="3"/>
    </row>
    <row r="62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20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  <c r="AG623" s="3"/>
      <c r="AH623" s="3"/>
      <c r="AI623" s="3"/>
      <c r="AJ623" s="3"/>
      <c r="AK623" s="3"/>
      <c r="AL623" s="3"/>
      <c r="AM623" s="3"/>
      <c r="AN623" s="3"/>
      <c r="AO623" s="3"/>
      <c r="AP623" s="3"/>
      <c r="AQ623" s="3"/>
      <c r="AR623" s="3"/>
      <c r="AS623" s="3"/>
      <c r="AT623" s="3"/>
      <c r="AU623" s="3"/>
      <c r="AV623" s="3"/>
      <c r="AW623" s="3"/>
      <c r="AX623" s="3"/>
      <c r="AY623" s="3"/>
      <c r="AZ623" s="3"/>
      <c r="BA623" s="3"/>
      <c r="BB623" s="3"/>
      <c r="BC623" s="3"/>
      <c r="BD623" s="3"/>
      <c r="BE623" s="3"/>
      <c r="BF623" s="3"/>
    </row>
    <row r="624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20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  <c r="AG624" s="3"/>
      <c r="AH624" s="3"/>
      <c r="AI624" s="3"/>
      <c r="AJ624" s="3"/>
      <c r="AK624" s="3"/>
      <c r="AL624" s="3"/>
      <c r="AM624" s="3"/>
      <c r="AN624" s="3"/>
      <c r="AO624" s="3"/>
      <c r="AP624" s="3"/>
      <c r="AQ624" s="3"/>
      <c r="AR624" s="3"/>
      <c r="AS624" s="3"/>
      <c r="AT624" s="3"/>
      <c r="AU624" s="3"/>
      <c r="AV624" s="3"/>
      <c r="AW624" s="3"/>
      <c r="AX624" s="3"/>
      <c r="AY624" s="3"/>
      <c r="AZ624" s="3"/>
      <c r="BA624" s="3"/>
      <c r="BB624" s="3"/>
      <c r="BC624" s="3"/>
      <c r="BD624" s="3"/>
      <c r="BE624" s="3"/>
      <c r="BF624" s="3"/>
    </row>
    <row r="625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20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  <c r="AG625" s="3"/>
      <c r="AH625" s="3"/>
      <c r="AI625" s="3"/>
      <c r="AJ625" s="3"/>
      <c r="AK625" s="3"/>
      <c r="AL625" s="3"/>
      <c r="AM625" s="3"/>
      <c r="AN625" s="3"/>
      <c r="AO625" s="3"/>
      <c r="AP625" s="3"/>
      <c r="AQ625" s="3"/>
      <c r="AR625" s="3"/>
      <c r="AS625" s="3"/>
      <c r="AT625" s="3"/>
      <c r="AU625" s="3"/>
      <c r="AV625" s="3"/>
      <c r="AW625" s="3"/>
      <c r="AX625" s="3"/>
      <c r="AY625" s="3"/>
      <c r="AZ625" s="3"/>
      <c r="BA625" s="3"/>
      <c r="BB625" s="3"/>
      <c r="BC625" s="3"/>
      <c r="BD625" s="3"/>
      <c r="BE625" s="3"/>
      <c r="BF625" s="3"/>
    </row>
    <row r="6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20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  <c r="AG626" s="3"/>
      <c r="AH626" s="3"/>
      <c r="AI626" s="3"/>
      <c r="AJ626" s="3"/>
      <c r="AK626" s="3"/>
      <c r="AL626" s="3"/>
      <c r="AM626" s="3"/>
      <c r="AN626" s="3"/>
      <c r="AO626" s="3"/>
      <c r="AP626" s="3"/>
      <c r="AQ626" s="3"/>
      <c r="AR626" s="3"/>
      <c r="AS626" s="3"/>
      <c r="AT626" s="3"/>
      <c r="AU626" s="3"/>
      <c r="AV626" s="3"/>
      <c r="AW626" s="3"/>
      <c r="AX626" s="3"/>
      <c r="AY626" s="3"/>
      <c r="AZ626" s="3"/>
      <c r="BA626" s="3"/>
      <c r="BB626" s="3"/>
      <c r="BC626" s="3"/>
      <c r="BD626" s="3"/>
      <c r="BE626" s="3"/>
      <c r="BF626" s="3"/>
    </row>
    <row r="627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20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  <c r="AG627" s="3"/>
      <c r="AH627" s="3"/>
      <c r="AI627" s="3"/>
      <c r="AJ627" s="3"/>
      <c r="AK627" s="3"/>
      <c r="AL627" s="3"/>
      <c r="AM627" s="3"/>
      <c r="AN627" s="3"/>
      <c r="AO627" s="3"/>
      <c r="AP627" s="3"/>
      <c r="AQ627" s="3"/>
      <c r="AR627" s="3"/>
      <c r="AS627" s="3"/>
      <c r="AT627" s="3"/>
      <c r="AU627" s="3"/>
      <c r="AV627" s="3"/>
      <c r="AW627" s="3"/>
      <c r="AX627" s="3"/>
      <c r="AY627" s="3"/>
      <c r="AZ627" s="3"/>
      <c r="BA627" s="3"/>
      <c r="BB627" s="3"/>
      <c r="BC627" s="3"/>
      <c r="BD627" s="3"/>
      <c r="BE627" s="3"/>
      <c r="BF627" s="3"/>
    </row>
    <row r="628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20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  <c r="AG628" s="3"/>
      <c r="AH628" s="3"/>
      <c r="AI628" s="3"/>
      <c r="AJ628" s="3"/>
      <c r="AK628" s="3"/>
      <c r="AL628" s="3"/>
      <c r="AM628" s="3"/>
      <c r="AN628" s="3"/>
      <c r="AO628" s="3"/>
      <c r="AP628" s="3"/>
      <c r="AQ628" s="3"/>
      <c r="AR628" s="3"/>
      <c r="AS628" s="3"/>
      <c r="AT628" s="3"/>
      <c r="AU628" s="3"/>
      <c r="AV628" s="3"/>
      <c r="AW628" s="3"/>
      <c r="AX628" s="3"/>
      <c r="AY628" s="3"/>
      <c r="AZ628" s="3"/>
      <c r="BA628" s="3"/>
      <c r="BB628" s="3"/>
      <c r="BC628" s="3"/>
      <c r="BD628" s="3"/>
      <c r="BE628" s="3"/>
      <c r="BF628" s="3"/>
    </row>
    <row r="629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20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  <c r="AG629" s="3"/>
      <c r="AH629" s="3"/>
      <c r="AI629" s="3"/>
      <c r="AJ629" s="3"/>
      <c r="AK629" s="3"/>
      <c r="AL629" s="3"/>
      <c r="AM629" s="3"/>
      <c r="AN629" s="3"/>
      <c r="AO629" s="3"/>
      <c r="AP629" s="3"/>
      <c r="AQ629" s="3"/>
      <c r="AR629" s="3"/>
      <c r="AS629" s="3"/>
      <c r="AT629" s="3"/>
      <c r="AU629" s="3"/>
      <c r="AV629" s="3"/>
      <c r="AW629" s="3"/>
      <c r="AX629" s="3"/>
      <c r="AY629" s="3"/>
      <c r="AZ629" s="3"/>
      <c r="BA629" s="3"/>
      <c r="BB629" s="3"/>
      <c r="BC629" s="3"/>
      <c r="BD629" s="3"/>
      <c r="BE629" s="3"/>
      <c r="BF629" s="3"/>
    </row>
    <row r="630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20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  <c r="AG630" s="3"/>
      <c r="AH630" s="3"/>
      <c r="AI630" s="3"/>
      <c r="AJ630" s="3"/>
      <c r="AK630" s="3"/>
      <c r="AL630" s="3"/>
      <c r="AM630" s="3"/>
      <c r="AN630" s="3"/>
      <c r="AO630" s="3"/>
      <c r="AP630" s="3"/>
      <c r="AQ630" s="3"/>
      <c r="AR630" s="3"/>
      <c r="AS630" s="3"/>
      <c r="AT630" s="3"/>
      <c r="AU630" s="3"/>
      <c r="AV630" s="3"/>
      <c r="AW630" s="3"/>
      <c r="AX630" s="3"/>
      <c r="AY630" s="3"/>
      <c r="AZ630" s="3"/>
      <c r="BA630" s="3"/>
      <c r="BB630" s="3"/>
      <c r="BC630" s="3"/>
      <c r="BD630" s="3"/>
      <c r="BE630" s="3"/>
      <c r="BF630" s="3"/>
    </row>
    <row r="63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20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  <c r="AG631" s="3"/>
      <c r="AH631" s="3"/>
      <c r="AI631" s="3"/>
      <c r="AJ631" s="3"/>
      <c r="AK631" s="3"/>
      <c r="AL631" s="3"/>
      <c r="AM631" s="3"/>
      <c r="AN631" s="3"/>
      <c r="AO631" s="3"/>
      <c r="AP631" s="3"/>
      <c r="AQ631" s="3"/>
      <c r="AR631" s="3"/>
      <c r="AS631" s="3"/>
      <c r="AT631" s="3"/>
      <c r="AU631" s="3"/>
      <c r="AV631" s="3"/>
      <c r="AW631" s="3"/>
      <c r="AX631" s="3"/>
      <c r="AY631" s="3"/>
      <c r="AZ631" s="3"/>
      <c r="BA631" s="3"/>
      <c r="BB631" s="3"/>
      <c r="BC631" s="3"/>
      <c r="BD631" s="3"/>
      <c r="BE631" s="3"/>
      <c r="BF631" s="3"/>
    </row>
    <row r="632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20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  <c r="AG632" s="3"/>
      <c r="AH632" s="3"/>
      <c r="AI632" s="3"/>
      <c r="AJ632" s="3"/>
      <c r="AK632" s="3"/>
      <c r="AL632" s="3"/>
      <c r="AM632" s="3"/>
      <c r="AN632" s="3"/>
      <c r="AO632" s="3"/>
      <c r="AP632" s="3"/>
      <c r="AQ632" s="3"/>
      <c r="AR632" s="3"/>
      <c r="AS632" s="3"/>
      <c r="AT632" s="3"/>
      <c r="AU632" s="3"/>
      <c r="AV632" s="3"/>
      <c r="AW632" s="3"/>
      <c r="AX632" s="3"/>
      <c r="AY632" s="3"/>
      <c r="AZ632" s="3"/>
      <c r="BA632" s="3"/>
      <c r="BB632" s="3"/>
      <c r="BC632" s="3"/>
      <c r="BD632" s="3"/>
      <c r="BE632" s="3"/>
      <c r="BF632" s="3"/>
    </row>
    <row r="63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20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  <c r="AG633" s="3"/>
      <c r="AH633" s="3"/>
      <c r="AI633" s="3"/>
      <c r="AJ633" s="3"/>
      <c r="AK633" s="3"/>
      <c r="AL633" s="3"/>
      <c r="AM633" s="3"/>
      <c r="AN633" s="3"/>
      <c r="AO633" s="3"/>
      <c r="AP633" s="3"/>
      <c r="AQ633" s="3"/>
      <c r="AR633" s="3"/>
      <c r="AS633" s="3"/>
      <c r="AT633" s="3"/>
      <c r="AU633" s="3"/>
      <c r="AV633" s="3"/>
      <c r="AW633" s="3"/>
      <c r="AX633" s="3"/>
      <c r="AY633" s="3"/>
      <c r="AZ633" s="3"/>
      <c r="BA633" s="3"/>
      <c r="BB633" s="3"/>
      <c r="BC633" s="3"/>
      <c r="BD633" s="3"/>
      <c r="BE633" s="3"/>
      <c r="BF633" s="3"/>
    </row>
    <row r="634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20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  <c r="AG634" s="3"/>
      <c r="AH634" s="3"/>
      <c r="AI634" s="3"/>
      <c r="AJ634" s="3"/>
      <c r="AK634" s="3"/>
      <c r="AL634" s="3"/>
      <c r="AM634" s="3"/>
      <c r="AN634" s="3"/>
      <c r="AO634" s="3"/>
      <c r="AP634" s="3"/>
      <c r="AQ634" s="3"/>
      <c r="AR634" s="3"/>
      <c r="AS634" s="3"/>
      <c r="AT634" s="3"/>
      <c r="AU634" s="3"/>
      <c r="AV634" s="3"/>
      <c r="AW634" s="3"/>
      <c r="AX634" s="3"/>
      <c r="AY634" s="3"/>
      <c r="AZ634" s="3"/>
      <c r="BA634" s="3"/>
      <c r="BB634" s="3"/>
      <c r="BC634" s="3"/>
      <c r="BD634" s="3"/>
      <c r="BE634" s="3"/>
      <c r="BF634" s="3"/>
    </row>
    <row r="635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20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  <c r="AG635" s="3"/>
      <c r="AH635" s="3"/>
      <c r="AI635" s="3"/>
      <c r="AJ635" s="3"/>
      <c r="AK635" s="3"/>
      <c r="AL635" s="3"/>
      <c r="AM635" s="3"/>
      <c r="AN635" s="3"/>
      <c r="AO635" s="3"/>
      <c r="AP635" s="3"/>
      <c r="AQ635" s="3"/>
      <c r="AR635" s="3"/>
      <c r="AS635" s="3"/>
      <c r="AT635" s="3"/>
      <c r="AU635" s="3"/>
      <c r="AV635" s="3"/>
      <c r="AW635" s="3"/>
      <c r="AX635" s="3"/>
      <c r="AY635" s="3"/>
      <c r="AZ635" s="3"/>
      <c r="BA635" s="3"/>
      <c r="BB635" s="3"/>
      <c r="BC635" s="3"/>
      <c r="BD635" s="3"/>
      <c r="BE635" s="3"/>
      <c r="BF635" s="3"/>
    </row>
    <row r="63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20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  <c r="AG636" s="3"/>
      <c r="AH636" s="3"/>
      <c r="AI636" s="3"/>
      <c r="AJ636" s="3"/>
      <c r="AK636" s="3"/>
      <c r="AL636" s="3"/>
      <c r="AM636" s="3"/>
      <c r="AN636" s="3"/>
      <c r="AO636" s="3"/>
      <c r="AP636" s="3"/>
      <c r="AQ636" s="3"/>
      <c r="AR636" s="3"/>
      <c r="AS636" s="3"/>
      <c r="AT636" s="3"/>
      <c r="AU636" s="3"/>
      <c r="AV636" s="3"/>
      <c r="AW636" s="3"/>
      <c r="AX636" s="3"/>
      <c r="AY636" s="3"/>
      <c r="AZ636" s="3"/>
      <c r="BA636" s="3"/>
      <c r="BB636" s="3"/>
      <c r="BC636" s="3"/>
      <c r="BD636" s="3"/>
      <c r="BE636" s="3"/>
      <c r="BF636" s="3"/>
    </row>
    <row r="637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20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  <c r="AG637" s="3"/>
      <c r="AH637" s="3"/>
      <c r="AI637" s="3"/>
      <c r="AJ637" s="3"/>
      <c r="AK637" s="3"/>
      <c r="AL637" s="3"/>
      <c r="AM637" s="3"/>
      <c r="AN637" s="3"/>
      <c r="AO637" s="3"/>
      <c r="AP637" s="3"/>
      <c r="AQ637" s="3"/>
      <c r="AR637" s="3"/>
      <c r="AS637" s="3"/>
      <c r="AT637" s="3"/>
      <c r="AU637" s="3"/>
      <c r="AV637" s="3"/>
      <c r="AW637" s="3"/>
      <c r="AX637" s="3"/>
      <c r="AY637" s="3"/>
      <c r="AZ637" s="3"/>
      <c r="BA637" s="3"/>
      <c r="BB637" s="3"/>
      <c r="BC637" s="3"/>
      <c r="BD637" s="3"/>
      <c r="BE637" s="3"/>
      <c r="BF637" s="3"/>
    </row>
    <row r="638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20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  <c r="AG638" s="3"/>
      <c r="AH638" s="3"/>
      <c r="AI638" s="3"/>
      <c r="AJ638" s="3"/>
      <c r="AK638" s="3"/>
      <c r="AL638" s="3"/>
      <c r="AM638" s="3"/>
      <c r="AN638" s="3"/>
      <c r="AO638" s="3"/>
      <c r="AP638" s="3"/>
      <c r="AQ638" s="3"/>
      <c r="AR638" s="3"/>
      <c r="AS638" s="3"/>
      <c r="AT638" s="3"/>
      <c r="AU638" s="3"/>
      <c r="AV638" s="3"/>
      <c r="AW638" s="3"/>
      <c r="AX638" s="3"/>
      <c r="AY638" s="3"/>
      <c r="AZ638" s="3"/>
      <c r="BA638" s="3"/>
      <c r="BB638" s="3"/>
      <c r="BC638" s="3"/>
      <c r="BD638" s="3"/>
      <c r="BE638" s="3"/>
      <c r="BF638" s="3"/>
    </row>
    <row r="639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20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  <c r="AG639" s="3"/>
      <c r="AH639" s="3"/>
      <c r="AI639" s="3"/>
      <c r="AJ639" s="3"/>
      <c r="AK639" s="3"/>
      <c r="AL639" s="3"/>
      <c r="AM639" s="3"/>
      <c r="AN639" s="3"/>
      <c r="AO639" s="3"/>
      <c r="AP639" s="3"/>
      <c r="AQ639" s="3"/>
      <c r="AR639" s="3"/>
      <c r="AS639" s="3"/>
      <c r="AT639" s="3"/>
      <c r="AU639" s="3"/>
      <c r="AV639" s="3"/>
      <c r="AW639" s="3"/>
      <c r="AX639" s="3"/>
      <c r="AY639" s="3"/>
      <c r="AZ639" s="3"/>
      <c r="BA639" s="3"/>
      <c r="BB639" s="3"/>
      <c r="BC639" s="3"/>
      <c r="BD639" s="3"/>
      <c r="BE639" s="3"/>
      <c r="BF639" s="3"/>
    </row>
    <row r="640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20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  <c r="AG640" s="3"/>
      <c r="AH640" s="3"/>
      <c r="AI640" s="3"/>
      <c r="AJ640" s="3"/>
      <c r="AK640" s="3"/>
      <c r="AL640" s="3"/>
      <c r="AM640" s="3"/>
      <c r="AN640" s="3"/>
      <c r="AO640" s="3"/>
      <c r="AP640" s="3"/>
      <c r="AQ640" s="3"/>
      <c r="AR640" s="3"/>
      <c r="AS640" s="3"/>
      <c r="AT640" s="3"/>
      <c r="AU640" s="3"/>
      <c r="AV640" s="3"/>
      <c r="AW640" s="3"/>
      <c r="AX640" s="3"/>
      <c r="AY640" s="3"/>
      <c r="AZ640" s="3"/>
      <c r="BA640" s="3"/>
      <c r="BB640" s="3"/>
      <c r="BC640" s="3"/>
      <c r="BD640" s="3"/>
      <c r="BE640" s="3"/>
      <c r="BF640" s="3"/>
    </row>
    <row r="64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20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  <c r="AG641" s="3"/>
      <c r="AH641" s="3"/>
      <c r="AI641" s="3"/>
      <c r="AJ641" s="3"/>
      <c r="AK641" s="3"/>
      <c r="AL641" s="3"/>
      <c r="AM641" s="3"/>
      <c r="AN641" s="3"/>
      <c r="AO641" s="3"/>
      <c r="AP641" s="3"/>
      <c r="AQ641" s="3"/>
      <c r="AR641" s="3"/>
      <c r="AS641" s="3"/>
      <c r="AT641" s="3"/>
      <c r="AU641" s="3"/>
      <c r="AV641" s="3"/>
      <c r="AW641" s="3"/>
      <c r="AX641" s="3"/>
      <c r="AY641" s="3"/>
      <c r="AZ641" s="3"/>
      <c r="BA641" s="3"/>
      <c r="BB641" s="3"/>
      <c r="BC641" s="3"/>
      <c r="BD641" s="3"/>
      <c r="BE641" s="3"/>
      <c r="BF641" s="3"/>
    </row>
    <row r="642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20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  <c r="AG642" s="3"/>
      <c r="AH642" s="3"/>
      <c r="AI642" s="3"/>
      <c r="AJ642" s="3"/>
      <c r="AK642" s="3"/>
      <c r="AL642" s="3"/>
      <c r="AM642" s="3"/>
      <c r="AN642" s="3"/>
      <c r="AO642" s="3"/>
      <c r="AP642" s="3"/>
      <c r="AQ642" s="3"/>
      <c r="AR642" s="3"/>
      <c r="AS642" s="3"/>
      <c r="AT642" s="3"/>
      <c r="AU642" s="3"/>
      <c r="AV642" s="3"/>
      <c r="AW642" s="3"/>
      <c r="AX642" s="3"/>
      <c r="AY642" s="3"/>
      <c r="AZ642" s="3"/>
      <c r="BA642" s="3"/>
      <c r="BB642" s="3"/>
      <c r="BC642" s="3"/>
      <c r="BD642" s="3"/>
      <c r="BE642" s="3"/>
      <c r="BF642" s="3"/>
    </row>
    <row r="64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20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  <c r="AG643" s="3"/>
      <c r="AH643" s="3"/>
      <c r="AI643" s="3"/>
      <c r="AJ643" s="3"/>
      <c r="AK643" s="3"/>
      <c r="AL643" s="3"/>
      <c r="AM643" s="3"/>
      <c r="AN643" s="3"/>
      <c r="AO643" s="3"/>
      <c r="AP643" s="3"/>
      <c r="AQ643" s="3"/>
      <c r="AR643" s="3"/>
      <c r="AS643" s="3"/>
      <c r="AT643" s="3"/>
      <c r="AU643" s="3"/>
      <c r="AV643" s="3"/>
      <c r="AW643" s="3"/>
      <c r="AX643" s="3"/>
      <c r="AY643" s="3"/>
      <c r="AZ643" s="3"/>
      <c r="BA643" s="3"/>
      <c r="BB643" s="3"/>
      <c r="BC643" s="3"/>
      <c r="BD643" s="3"/>
      <c r="BE643" s="3"/>
      <c r="BF643" s="3"/>
    </row>
    <row r="644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20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  <c r="AG644" s="3"/>
      <c r="AH644" s="3"/>
      <c r="AI644" s="3"/>
      <c r="AJ644" s="3"/>
      <c r="AK644" s="3"/>
      <c r="AL644" s="3"/>
      <c r="AM644" s="3"/>
      <c r="AN644" s="3"/>
      <c r="AO644" s="3"/>
      <c r="AP644" s="3"/>
      <c r="AQ644" s="3"/>
      <c r="AR644" s="3"/>
      <c r="AS644" s="3"/>
      <c r="AT644" s="3"/>
      <c r="AU644" s="3"/>
      <c r="AV644" s="3"/>
      <c r="AW644" s="3"/>
      <c r="AX644" s="3"/>
      <c r="AY644" s="3"/>
      <c r="AZ644" s="3"/>
      <c r="BA644" s="3"/>
      <c r="BB644" s="3"/>
      <c r="BC644" s="3"/>
      <c r="BD644" s="3"/>
      <c r="BE644" s="3"/>
      <c r="BF644" s="3"/>
    </row>
    <row r="645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20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  <c r="AG645" s="3"/>
      <c r="AH645" s="3"/>
      <c r="AI645" s="3"/>
      <c r="AJ645" s="3"/>
      <c r="AK645" s="3"/>
      <c r="AL645" s="3"/>
      <c r="AM645" s="3"/>
      <c r="AN645" s="3"/>
      <c r="AO645" s="3"/>
      <c r="AP645" s="3"/>
      <c r="AQ645" s="3"/>
      <c r="AR645" s="3"/>
      <c r="AS645" s="3"/>
      <c r="AT645" s="3"/>
      <c r="AU645" s="3"/>
      <c r="AV645" s="3"/>
      <c r="AW645" s="3"/>
      <c r="AX645" s="3"/>
      <c r="AY645" s="3"/>
      <c r="AZ645" s="3"/>
      <c r="BA645" s="3"/>
      <c r="BB645" s="3"/>
      <c r="BC645" s="3"/>
      <c r="BD645" s="3"/>
      <c r="BE645" s="3"/>
      <c r="BF645" s="3"/>
    </row>
    <row r="64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20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  <c r="AG646" s="3"/>
      <c r="AH646" s="3"/>
      <c r="AI646" s="3"/>
      <c r="AJ646" s="3"/>
      <c r="AK646" s="3"/>
      <c r="AL646" s="3"/>
      <c r="AM646" s="3"/>
      <c r="AN646" s="3"/>
      <c r="AO646" s="3"/>
      <c r="AP646" s="3"/>
      <c r="AQ646" s="3"/>
      <c r="AR646" s="3"/>
      <c r="AS646" s="3"/>
      <c r="AT646" s="3"/>
      <c r="AU646" s="3"/>
      <c r="AV646" s="3"/>
      <c r="AW646" s="3"/>
      <c r="AX646" s="3"/>
      <c r="AY646" s="3"/>
      <c r="AZ646" s="3"/>
      <c r="BA646" s="3"/>
      <c r="BB646" s="3"/>
      <c r="BC646" s="3"/>
      <c r="BD646" s="3"/>
      <c r="BE646" s="3"/>
      <c r="BF646" s="3"/>
    </row>
    <row r="647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20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  <c r="AG647" s="3"/>
      <c r="AH647" s="3"/>
      <c r="AI647" s="3"/>
      <c r="AJ647" s="3"/>
      <c r="AK647" s="3"/>
      <c r="AL647" s="3"/>
      <c r="AM647" s="3"/>
      <c r="AN647" s="3"/>
      <c r="AO647" s="3"/>
      <c r="AP647" s="3"/>
      <c r="AQ647" s="3"/>
      <c r="AR647" s="3"/>
      <c r="AS647" s="3"/>
      <c r="AT647" s="3"/>
      <c r="AU647" s="3"/>
      <c r="AV647" s="3"/>
      <c r="AW647" s="3"/>
      <c r="AX647" s="3"/>
      <c r="AY647" s="3"/>
      <c r="AZ647" s="3"/>
      <c r="BA647" s="3"/>
      <c r="BB647" s="3"/>
      <c r="BC647" s="3"/>
      <c r="BD647" s="3"/>
      <c r="BE647" s="3"/>
      <c r="BF647" s="3"/>
    </row>
    <row r="648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20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  <c r="AG648" s="3"/>
      <c r="AH648" s="3"/>
      <c r="AI648" s="3"/>
      <c r="AJ648" s="3"/>
      <c r="AK648" s="3"/>
      <c r="AL648" s="3"/>
      <c r="AM648" s="3"/>
      <c r="AN648" s="3"/>
      <c r="AO648" s="3"/>
      <c r="AP648" s="3"/>
      <c r="AQ648" s="3"/>
      <c r="AR648" s="3"/>
      <c r="AS648" s="3"/>
      <c r="AT648" s="3"/>
      <c r="AU648" s="3"/>
      <c r="AV648" s="3"/>
      <c r="AW648" s="3"/>
      <c r="AX648" s="3"/>
      <c r="AY648" s="3"/>
      <c r="AZ648" s="3"/>
      <c r="BA648" s="3"/>
      <c r="BB648" s="3"/>
      <c r="BC648" s="3"/>
      <c r="BD648" s="3"/>
      <c r="BE648" s="3"/>
      <c r="BF648" s="3"/>
    </row>
    <row r="649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20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  <c r="AG649" s="3"/>
      <c r="AH649" s="3"/>
      <c r="AI649" s="3"/>
      <c r="AJ649" s="3"/>
      <c r="AK649" s="3"/>
      <c r="AL649" s="3"/>
      <c r="AM649" s="3"/>
      <c r="AN649" s="3"/>
      <c r="AO649" s="3"/>
      <c r="AP649" s="3"/>
      <c r="AQ649" s="3"/>
      <c r="AR649" s="3"/>
      <c r="AS649" s="3"/>
      <c r="AT649" s="3"/>
      <c r="AU649" s="3"/>
      <c r="AV649" s="3"/>
      <c r="AW649" s="3"/>
      <c r="AX649" s="3"/>
      <c r="AY649" s="3"/>
      <c r="AZ649" s="3"/>
      <c r="BA649" s="3"/>
      <c r="BB649" s="3"/>
      <c r="BC649" s="3"/>
      <c r="BD649" s="3"/>
      <c r="BE649" s="3"/>
      <c r="BF649" s="3"/>
    </row>
    <row r="650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20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  <c r="AG650" s="3"/>
      <c r="AH650" s="3"/>
      <c r="AI650" s="3"/>
      <c r="AJ650" s="3"/>
      <c r="AK650" s="3"/>
      <c r="AL650" s="3"/>
      <c r="AM650" s="3"/>
      <c r="AN650" s="3"/>
      <c r="AO650" s="3"/>
      <c r="AP650" s="3"/>
      <c r="AQ650" s="3"/>
      <c r="AR650" s="3"/>
      <c r="AS650" s="3"/>
      <c r="AT650" s="3"/>
      <c r="AU650" s="3"/>
      <c r="AV650" s="3"/>
      <c r="AW650" s="3"/>
      <c r="AX650" s="3"/>
      <c r="AY650" s="3"/>
      <c r="AZ650" s="3"/>
      <c r="BA650" s="3"/>
      <c r="BB650" s="3"/>
      <c r="BC650" s="3"/>
      <c r="BD650" s="3"/>
      <c r="BE650" s="3"/>
      <c r="BF650" s="3"/>
    </row>
    <row r="65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20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  <c r="AG651" s="3"/>
      <c r="AH651" s="3"/>
      <c r="AI651" s="3"/>
      <c r="AJ651" s="3"/>
      <c r="AK651" s="3"/>
      <c r="AL651" s="3"/>
      <c r="AM651" s="3"/>
      <c r="AN651" s="3"/>
      <c r="AO651" s="3"/>
      <c r="AP651" s="3"/>
      <c r="AQ651" s="3"/>
      <c r="AR651" s="3"/>
      <c r="AS651" s="3"/>
      <c r="AT651" s="3"/>
      <c r="AU651" s="3"/>
      <c r="AV651" s="3"/>
      <c r="AW651" s="3"/>
      <c r="AX651" s="3"/>
      <c r="AY651" s="3"/>
      <c r="AZ651" s="3"/>
      <c r="BA651" s="3"/>
      <c r="BB651" s="3"/>
      <c r="BC651" s="3"/>
      <c r="BD651" s="3"/>
      <c r="BE651" s="3"/>
      <c r="BF651" s="3"/>
    </row>
    <row r="652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20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  <c r="AG652" s="3"/>
      <c r="AH652" s="3"/>
      <c r="AI652" s="3"/>
      <c r="AJ652" s="3"/>
      <c r="AK652" s="3"/>
      <c r="AL652" s="3"/>
      <c r="AM652" s="3"/>
      <c r="AN652" s="3"/>
      <c r="AO652" s="3"/>
      <c r="AP652" s="3"/>
      <c r="AQ652" s="3"/>
      <c r="AR652" s="3"/>
      <c r="AS652" s="3"/>
      <c r="AT652" s="3"/>
      <c r="AU652" s="3"/>
      <c r="AV652" s="3"/>
      <c r="AW652" s="3"/>
      <c r="AX652" s="3"/>
      <c r="AY652" s="3"/>
      <c r="AZ652" s="3"/>
      <c r="BA652" s="3"/>
      <c r="BB652" s="3"/>
      <c r="BC652" s="3"/>
      <c r="BD652" s="3"/>
      <c r="BE652" s="3"/>
      <c r="BF652" s="3"/>
    </row>
    <row r="65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20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  <c r="AG653" s="3"/>
      <c r="AH653" s="3"/>
      <c r="AI653" s="3"/>
      <c r="AJ653" s="3"/>
      <c r="AK653" s="3"/>
      <c r="AL653" s="3"/>
      <c r="AM653" s="3"/>
      <c r="AN653" s="3"/>
      <c r="AO653" s="3"/>
      <c r="AP653" s="3"/>
      <c r="AQ653" s="3"/>
      <c r="AR653" s="3"/>
      <c r="AS653" s="3"/>
      <c r="AT653" s="3"/>
      <c r="AU653" s="3"/>
      <c r="AV653" s="3"/>
      <c r="AW653" s="3"/>
      <c r="AX653" s="3"/>
      <c r="AY653" s="3"/>
      <c r="AZ653" s="3"/>
      <c r="BA653" s="3"/>
      <c r="BB653" s="3"/>
      <c r="BC653" s="3"/>
      <c r="BD653" s="3"/>
      <c r="BE653" s="3"/>
      <c r="BF653" s="3"/>
    </row>
    <row r="654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20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  <c r="AG654" s="3"/>
      <c r="AH654" s="3"/>
      <c r="AI654" s="3"/>
      <c r="AJ654" s="3"/>
      <c r="AK654" s="3"/>
      <c r="AL654" s="3"/>
      <c r="AM654" s="3"/>
      <c r="AN654" s="3"/>
      <c r="AO654" s="3"/>
      <c r="AP654" s="3"/>
      <c r="AQ654" s="3"/>
      <c r="AR654" s="3"/>
      <c r="AS654" s="3"/>
      <c r="AT654" s="3"/>
      <c r="AU654" s="3"/>
      <c r="AV654" s="3"/>
      <c r="AW654" s="3"/>
      <c r="AX654" s="3"/>
      <c r="AY654" s="3"/>
      <c r="AZ654" s="3"/>
      <c r="BA654" s="3"/>
      <c r="BB654" s="3"/>
      <c r="BC654" s="3"/>
      <c r="BD654" s="3"/>
      <c r="BE654" s="3"/>
      <c r="BF654" s="3"/>
    </row>
    <row r="655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20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  <c r="AG655" s="3"/>
      <c r="AH655" s="3"/>
      <c r="AI655" s="3"/>
      <c r="AJ655" s="3"/>
      <c r="AK655" s="3"/>
      <c r="AL655" s="3"/>
      <c r="AM655" s="3"/>
      <c r="AN655" s="3"/>
      <c r="AO655" s="3"/>
      <c r="AP655" s="3"/>
      <c r="AQ655" s="3"/>
      <c r="AR655" s="3"/>
      <c r="AS655" s="3"/>
      <c r="AT655" s="3"/>
      <c r="AU655" s="3"/>
      <c r="AV655" s="3"/>
      <c r="AW655" s="3"/>
      <c r="AX655" s="3"/>
      <c r="AY655" s="3"/>
      <c r="AZ655" s="3"/>
      <c r="BA655" s="3"/>
      <c r="BB655" s="3"/>
      <c r="BC655" s="3"/>
      <c r="BD655" s="3"/>
      <c r="BE655" s="3"/>
      <c r="BF655" s="3"/>
    </row>
    <row r="65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20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  <c r="AG656" s="3"/>
      <c r="AH656" s="3"/>
      <c r="AI656" s="3"/>
      <c r="AJ656" s="3"/>
      <c r="AK656" s="3"/>
      <c r="AL656" s="3"/>
      <c r="AM656" s="3"/>
      <c r="AN656" s="3"/>
      <c r="AO656" s="3"/>
      <c r="AP656" s="3"/>
      <c r="AQ656" s="3"/>
      <c r="AR656" s="3"/>
      <c r="AS656" s="3"/>
      <c r="AT656" s="3"/>
      <c r="AU656" s="3"/>
      <c r="AV656" s="3"/>
      <c r="AW656" s="3"/>
      <c r="AX656" s="3"/>
      <c r="AY656" s="3"/>
      <c r="AZ656" s="3"/>
      <c r="BA656" s="3"/>
      <c r="BB656" s="3"/>
      <c r="BC656" s="3"/>
      <c r="BD656" s="3"/>
      <c r="BE656" s="3"/>
      <c r="BF656" s="3"/>
    </row>
    <row r="657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20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  <c r="AG657" s="3"/>
      <c r="AH657" s="3"/>
      <c r="AI657" s="3"/>
      <c r="AJ657" s="3"/>
      <c r="AK657" s="3"/>
      <c r="AL657" s="3"/>
      <c r="AM657" s="3"/>
      <c r="AN657" s="3"/>
      <c r="AO657" s="3"/>
      <c r="AP657" s="3"/>
      <c r="AQ657" s="3"/>
      <c r="AR657" s="3"/>
      <c r="AS657" s="3"/>
      <c r="AT657" s="3"/>
      <c r="AU657" s="3"/>
      <c r="AV657" s="3"/>
      <c r="AW657" s="3"/>
      <c r="AX657" s="3"/>
      <c r="AY657" s="3"/>
      <c r="AZ657" s="3"/>
      <c r="BA657" s="3"/>
      <c r="BB657" s="3"/>
      <c r="BC657" s="3"/>
      <c r="BD657" s="3"/>
      <c r="BE657" s="3"/>
      <c r="BF657" s="3"/>
    </row>
    <row r="658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20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  <c r="AG658" s="3"/>
      <c r="AH658" s="3"/>
      <c r="AI658" s="3"/>
      <c r="AJ658" s="3"/>
      <c r="AK658" s="3"/>
      <c r="AL658" s="3"/>
      <c r="AM658" s="3"/>
      <c r="AN658" s="3"/>
      <c r="AO658" s="3"/>
      <c r="AP658" s="3"/>
      <c r="AQ658" s="3"/>
      <c r="AR658" s="3"/>
      <c r="AS658" s="3"/>
      <c r="AT658" s="3"/>
      <c r="AU658" s="3"/>
      <c r="AV658" s="3"/>
      <c r="AW658" s="3"/>
      <c r="AX658" s="3"/>
      <c r="AY658" s="3"/>
      <c r="AZ658" s="3"/>
      <c r="BA658" s="3"/>
      <c r="BB658" s="3"/>
      <c r="BC658" s="3"/>
      <c r="BD658" s="3"/>
      <c r="BE658" s="3"/>
      <c r="BF658" s="3"/>
    </row>
    <row r="659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20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  <c r="AG659" s="3"/>
      <c r="AH659" s="3"/>
      <c r="AI659" s="3"/>
      <c r="AJ659" s="3"/>
      <c r="AK659" s="3"/>
      <c r="AL659" s="3"/>
      <c r="AM659" s="3"/>
      <c r="AN659" s="3"/>
      <c r="AO659" s="3"/>
      <c r="AP659" s="3"/>
      <c r="AQ659" s="3"/>
      <c r="AR659" s="3"/>
      <c r="AS659" s="3"/>
      <c r="AT659" s="3"/>
      <c r="AU659" s="3"/>
      <c r="AV659" s="3"/>
      <c r="AW659" s="3"/>
      <c r="AX659" s="3"/>
      <c r="AY659" s="3"/>
      <c r="AZ659" s="3"/>
      <c r="BA659" s="3"/>
      <c r="BB659" s="3"/>
      <c r="BC659" s="3"/>
      <c r="BD659" s="3"/>
      <c r="BE659" s="3"/>
      <c r="BF659" s="3"/>
    </row>
    <row r="660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20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  <c r="AG660" s="3"/>
      <c r="AH660" s="3"/>
      <c r="AI660" s="3"/>
      <c r="AJ660" s="3"/>
      <c r="AK660" s="3"/>
      <c r="AL660" s="3"/>
      <c r="AM660" s="3"/>
      <c r="AN660" s="3"/>
      <c r="AO660" s="3"/>
      <c r="AP660" s="3"/>
      <c r="AQ660" s="3"/>
      <c r="AR660" s="3"/>
      <c r="AS660" s="3"/>
      <c r="AT660" s="3"/>
      <c r="AU660" s="3"/>
      <c r="AV660" s="3"/>
      <c r="AW660" s="3"/>
      <c r="AX660" s="3"/>
      <c r="AY660" s="3"/>
      <c r="AZ660" s="3"/>
      <c r="BA660" s="3"/>
      <c r="BB660" s="3"/>
      <c r="BC660" s="3"/>
      <c r="BD660" s="3"/>
      <c r="BE660" s="3"/>
      <c r="BF660" s="3"/>
    </row>
    <row r="66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20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  <c r="AG661" s="3"/>
      <c r="AH661" s="3"/>
      <c r="AI661" s="3"/>
      <c r="AJ661" s="3"/>
      <c r="AK661" s="3"/>
      <c r="AL661" s="3"/>
      <c r="AM661" s="3"/>
      <c r="AN661" s="3"/>
      <c r="AO661" s="3"/>
      <c r="AP661" s="3"/>
      <c r="AQ661" s="3"/>
      <c r="AR661" s="3"/>
      <c r="AS661" s="3"/>
      <c r="AT661" s="3"/>
      <c r="AU661" s="3"/>
      <c r="AV661" s="3"/>
      <c r="AW661" s="3"/>
      <c r="AX661" s="3"/>
      <c r="AY661" s="3"/>
      <c r="AZ661" s="3"/>
      <c r="BA661" s="3"/>
      <c r="BB661" s="3"/>
      <c r="BC661" s="3"/>
      <c r="BD661" s="3"/>
      <c r="BE661" s="3"/>
      <c r="BF661" s="3"/>
    </row>
    <row r="662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20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  <c r="AG662" s="3"/>
      <c r="AH662" s="3"/>
      <c r="AI662" s="3"/>
      <c r="AJ662" s="3"/>
      <c r="AK662" s="3"/>
      <c r="AL662" s="3"/>
      <c r="AM662" s="3"/>
      <c r="AN662" s="3"/>
      <c r="AO662" s="3"/>
      <c r="AP662" s="3"/>
      <c r="AQ662" s="3"/>
      <c r="AR662" s="3"/>
      <c r="AS662" s="3"/>
      <c r="AT662" s="3"/>
      <c r="AU662" s="3"/>
      <c r="AV662" s="3"/>
      <c r="AW662" s="3"/>
      <c r="AX662" s="3"/>
      <c r="AY662" s="3"/>
      <c r="AZ662" s="3"/>
      <c r="BA662" s="3"/>
      <c r="BB662" s="3"/>
      <c r="BC662" s="3"/>
      <c r="BD662" s="3"/>
      <c r="BE662" s="3"/>
      <c r="BF662" s="3"/>
    </row>
    <row r="66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20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  <c r="AG663" s="3"/>
      <c r="AH663" s="3"/>
      <c r="AI663" s="3"/>
      <c r="AJ663" s="3"/>
      <c r="AK663" s="3"/>
      <c r="AL663" s="3"/>
      <c r="AM663" s="3"/>
      <c r="AN663" s="3"/>
      <c r="AO663" s="3"/>
      <c r="AP663" s="3"/>
      <c r="AQ663" s="3"/>
      <c r="AR663" s="3"/>
      <c r="AS663" s="3"/>
      <c r="AT663" s="3"/>
      <c r="AU663" s="3"/>
      <c r="AV663" s="3"/>
      <c r="AW663" s="3"/>
      <c r="AX663" s="3"/>
      <c r="AY663" s="3"/>
      <c r="AZ663" s="3"/>
      <c r="BA663" s="3"/>
      <c r="BB663" s="3"/>
      <c r="BC663" s="3"/>
      <c r="BD663" s="3"/>
      <c r="BE663" s="3"/>
      <c r="BF663" s="3"/>
    </row>
    <row r="664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20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  <c r="AG664" s="3"/>
      <c r="AH664" s="3"/>
      <c r="AI664" s="3"/>
      <c r="AJ664" s="3"/>
      <c r="AK664" s="3"/>
      <c r="AL664" s="3"/>
      <c r="AM664" s="3"/>
      <c r="AN664" s="3"/>
      <c r="AO664" s="3"/>
      <c r="AP664" s="3"/>
      <c r="AQ664" s="3"/>
      <c r="AR664" s="3"/>
      <c r="AS664" s="3"/>
      <c r="AT664" s="3"/>
      <c r="AU664" s="3"/>
      <c r="AV664" s="3"/>
      <c r="AW664" s="3"/>
      <c r="AX664" s="3"/>
      <c r="AY664" s="3"/>
      <c r="AZ664" s="3"/>
      <c r="BA664" s="3"/>
      <c r="BB664" s="3"/>
      <c r="BC664" s="3"/>
      <c r="BD664" s="3"/>
      <c r="BE664" s="3"/>
      <c r="BF664" s="3"/>
    </row>
    <row r="665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20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  <c r="AG665" s="3"/>
      <c r="AH665" s="3"/>
      <c r="AI665" s="3"/>
      <c r="AJ665" s="3"/>
      <c r="AK665" s="3"/>
      <c r="AL665" s="3"/>
      <c r="AM665" s="3"/>
      <c r="AN665" s="3"/>
      <c r="AO665" s="3"/>
      <c r="AP665" s="3"/>
      <c r="AQ665" s="3"/>
      <c r="AR665" s="3"/>
      <c r="AS665" s="3"/>
      <c r="AT665" s="3"/>
      <c r="AU665" s="3"/>
      <c r="AV665" s="3"/>
      <c r="AW665" s="3"/>
      <c r="AX665" s="3"/>
      <c r="AY665" s="3"/>
      <c r="AZ665" s="3"/>
      <c r="BA665" s="3"/>
      <c r="BB665" s="3"/>
      <c r="BC665" s="3"/>
      <c r="BD665" s="3"/>
      <c r="BE665" s="3"/>
      <c r="BF665" s="3"/>
    </row>
    <row r="66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20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  <c r="AG666" s="3"/>
      <c r="AH666" s="3"/>
      <c r="AI666" s="3"/>
      <c r="AJ666" s="3"/>
      <c r="AK666" s="3"/>
      <c r="AL666" s="3"/>
      <c r="AM666" s="3"/>
      <c r="AN666" s="3"/>
      <c r="AO666" s="3"/>
      <c r="AP666" s="3"/>
      <c r="AQ666" s="3"/>
      <c r="AR666" s="3"/>
      <c r="AS666" s="3"/>
      <c r="AT666" s="3"/>
      <c r="AU666" s="3"/>
      <c r="AV666" s="3"/>
      <c r="AW666" s="3"/>
      <c r="AX666" s="3"/>
      <c r="AY666" s="3"/>
      <c r="AZ666" s="3"/>
      <c r="BA666" s="3"/>
      <c r="BB666" s="3"/>
      <c r="BC666" s="3"/>
      <c r="BD666" s="3"/>
      <c r="BE666" s="3"/>
      <c r="BF666" s="3"/>
    </row>
    <row r="667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20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  <c r="AG667" s="3"/>
      <c r="AH667" s="3"/>
      <c r="AI667" s="3"/>
      <c r="AJ667" s="3"/>
      <c r="AK667" s="3"/>
      <c r="AL667" s="3"/>
      <c r="AM667" s="3"/>
      <c r="AN667" s="3"/>
      <c r="AO667" s="3"/>
      <c r="AP667" s="3"/>
      <c r="AQ667" s="3"/>
      <c r="AR667" s="3"/>
      <c r="AS667" s="3"/>
      <c r="AT667" s="3"/>
      <c r="AU667" s="3"/>
      <c r="AV667" s="3"/>
      <c r="AW667" s="3"/>
      <c r="AX667" s="3"/>
      <c r="AY667" s="3"/>
      <c r="AZ667" s="3"/>
      <c r="BA667" s="3"/>
      <c r="BB667" s="3"/>
      <c r="BC667" s="3"/>
      <c r="BD667" s="3"/>
      <c r="BE667" s="3"/>
      <c r="BF667" s="3"/>
    </row>
    <row r="668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20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  <c r="AG668" s="3"/>
      <c r="AH668" s="3"/>
      <c r="AI668" s="3"/>
      <c r="AJ668" s="3"/>
      <c r="AK668" s="3"/>
      <c r="AL668" s="3"/>
      <c r="AM668" s="3"/>
      <c r="AN668" s="3"/>
      <c r="AO668" s="3"/>
      <c r="AP668" s="3"/>
      <c r="AQ668" s="3"/>
      <c r="AR668" s="3"/>
      <c r="AS668" s="3"/>
      <c r="AT668" s="3"/>
      <c r="AU668" s="3"/>
      <c r="AV668" s="3"/>
      <c r="AW668" s="3"/>
      <c r="AX668" s="3"/>
      <c r="AY668" s="3"/>
      <c r="AZ668" s="3"/>
      <c r="BA668" s="3"/>
      <c r="BB668" s="3"/>
      <c r="BC668" s="3"/>
      <c r="BD668" s="3"/>
      <c r="BE668" s="3"/>
      <c r="BF668" s="3"/>
    </row>
    <row r="669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20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  <c r="AG669" s="3"/>
      <c r="AH669" s="3"/>
      <c r="AI669" s="3"/>
      <c r="AJ669" s="3"/>
      <c r="AK669" s="3"/>
      <c r="AL669" s="3"/>
      <c r="AM669" s="3"/>
      <c r="AN669" s="3"/>
      <c r="AO669" s="3"/>
      <c r="AP669" s="3"/>
      <c r="AQ669" s="3"/>
      <c r="AR669" s="3"/>
      <c r="AS669" s="3"/>
      <c r="AT669" s="3"/>
      <c r="AU669" s="3"/>
      <c r="AV669" s="3"/>
      <c r="AW669" s="3"/>
      <c r="AX669" s="3"/>
      <c r="AY669" s="3"/>
      <c r="AZ669" s="3"/>
      <c r="BA669" s="3"/>
      <c r="BB669" s="3"/>
      <c r="BC669" s="3"/>
      <c r="BD669" s="3"/>
      <c r="BE669" s="3"/>
      <c r="BF669" s="3"/>
    </row>
    <row r="670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20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  <c r="AG670" s="3"/>
      <c r="AH670" s="3"/>
      <c r="AI670" s="3"/>
      <c r="AJ670" s="3"/>
      <c r="AK670" s="3"/>
      <c r="AL670" s="3"/>
      <c r="AM670" s="3"/>
      <c r="AN670" s="3"/>
      <c r="AO670" s="3"/>
      <c r="AP670" s="3"/>
      <c r="AQ670" s="3"/>
      <c r="AR670" s="3"/>
      <c r="AS670" s="3"/>
      <c r="AT670" s="3"/>
      <c r="AU670" s="3"/>
      <c r="AV670" s="3"/>
      <c r="AW670" s="3"/>
      <c r="AX670" s="3"/>
      <c r="AY670" s="3"/>
      <c r="AZ670" s="3"/>
      <c r="BA670" s="3"/>
      <c r="BB670" s="3"/>
      <c r="BC670" s="3"/>
      <c r="BD670" s="3"/>
      <c r="BE670" s="3"/>
      <c r="BF670" s="3"/>
    </row>
    <row r="67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20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  <c r="AG671" s="3"/>
      <c r="AH671" s="3"/>
      <c r="AI671" s="3"/>
      <c r="AJ671" s="3"/>
      <c r="AK671" s="3"/>
      <c r="AL671" s="3"/>
      <c r="AM671" s="3"/>
      <c r="AN671" s="3"/>
      <c r="AO671" s="3"/>
      <c r="AP671" s="3"/>
      <c r="AQ671" s="3"/>
      <c r="AR671" s="3"/>
      <c r="AS671" s="3"/>
      <c r="AT671" s="3"/>
      <c r="AU671" s="3"/>
      <c r="AV671" s="3"/>
      <c r="AW671" s="3"/>
      <c r="AX671" s="3"/>
      <c r="AY671" s="3"/>
      <c r="AZ671" s="3"/>
      <c r="BA671" s="3"/>
      <c r="BB671" s="3"/>
      <c r="BC671" s="3"/>
      <c r="BD671" s="3"/>
      <c r="BE671" s="3"/>
      <c r="BF671" s="3"/>
    </row>
    <row r="672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20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  <c r="AG672" s="3"/>
      <c r="AH672" s="3"/>
      <c r="AI672" s="3"/>
      <c r="AJ672" s="3"/>
      <c r="AK672" s="3"/>
      <c r="AL672" s="3"/>
      <c r="AM672" s="3"/>
      <c r="AN672" s="3"/>
      <c r="AO672" s="3"/>
      <c r="AP672" s="3"/>
      <c r="AQ672" s="3"/>
      <c r="AR672" s="3"/>
      <c r="AS672" s="3"/>
      <c r="AT672" s="3"/>
      <c r="AU672" s="3"/>
      <c r="AV672" s="3"/>
      <c r="AW672" s="3"/>
      <c r="AX672" s="3"/>
      <c r="AY672" s="3"/>
      <c r="AZ672" s="3"/>
      <c r="BA672" s="3"/>
      <c r="BB672" s="3"/>
      <c r="BC672" s="3"/>
      <c r="BD672" s="3"/>
      <c r="BE672" s="3"/>
      <c r="BF672" s="3"/>
    </row>
    <row r="67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20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  <c r="AG673" s="3"/>
      <c r="AH673" s="3"/>
      <c r="AI673" s="3"/>
      <c r="AJ673" s="3"/>
      <c r="AK673" s="3"/>
      <c r="AL673" s="3"/>
      <c r="AM673" s="3"/>
      <c r="AN673" s="3"/>
      <c r="AO673" s="3"/>
      <c r="AP673" s="3"/>
      <c r="AQ673" s="3"/>
      <c r="AR673" s="3"/>
      <c r="AS673" s="3"/>
      <c r="AT673" s="3"/>
      <c r="AU673" s="3"/>
      <c r="AV673" s="3"/>
      <c r="AW673" s="3"/>
      <c r="AX673" s="3"/>
      <c r="AY673" s="3"/>
      <c r="AZ673" s="3"/>
      <c r="BA673" s="3"/>
      <c r="BB673" s="3"/>
      <c r="BC673" s="3"/>
      <c r="BD673" s="3"/>
      <c r="BE673" s="3"/>
      <c r="BF673" s="3"/>
    </row>
    <row r="674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20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  <c r="AG674" s="3"/>
      <c r="AH674" s="3"/>
      <c r="AI674" s="3"/>
      <c r="AJ674" s="3"/>
      <c r="AK674" s="3"/>
      <c r="AL674" s="3"/>
      <c r="AM674" s="3"/>
      <c r="AN674" s="3"/>
      <c r="AO674" s="3"/>
      <c r="AP674" s="3"/>
      <c r="AQ674" s="3"/>
      <c r="AR674" s="3"/>
      <c r="AS674" s="3"/>
      <c r="AT674" s="3"/>
      <c r="AU674" s="3"/>
      <c r="AV674" s="3"/>
      <c r="AW674" s="3"/>
      <c r="AX674" s="3"/>
      <c r="AY674" s="3"/>
      <c r="AZ674" s="3"/>
      <c r="BA674" s="3"/>
      <c r="BB674" s="3"/>
      <c r="BC674" s="3"/>
      <c r="BD674" s="3"/>
      <c r="BE674" s="3"/>
      <c r="BF674" s="3"/>
    </row>
    <row r="675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20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  <c r="AG675" s="3"/>
      <c r="AH675" s="3"/>
      <c r="AI675" s="3"/>
      <c r="AJ675" s="3"/>
      <c r="AK675" s="3"/>
      <c r="AL675" s="3"/>
      <c r="AM675" s="3"/>
      <c r="AN675" s="3"/>
      <c r="AO675" s="3"/>
      <c r="AP675" s="3"/>
      <c r="AQ675" s="3"/>
      <c r="AR675" s="3"/>
      <c r="AS675" s="3"/>
      <c r="AT675" s="3"/>
      <c r="AU675" s="3"/>
      <c r="AV675" s="3"/>
      <c r="AW675" s="3"/>
      <c r="AX675" s="3"/>
      <c r="AY675" s="3"/>
      <c r="AZ675" s="3"/>
      <c r="BA675" s="3"/>
      <c r="BB675" s="3"/>
      <c r="BC675" s="3"/>
      <c r="BD675" s="3"/>
      <c r="BE675" s="3"/>
      <c r="BF675" s="3"/>
    </row>
    <row r="67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20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  <c r="AG676" s="3"/>
      <c r="AH676" s="3"/>
      <c r="AI676" s="3"/>
      <c r="AJ676" s="3"/>
      <c r="AK676" s="3"/>
      <c r="AL676" s="3"/>
      <c r="AM676" s="3"/>
      <c r="AN676" s="3"/>
      <c r="AO676" s="3"/>
      <c r="AP676" s="3"/>
      <c r="AQ676" s="3"/>
      <c r="AR676" s="3"/>
      <c r="AS676" s="3"/>
      <c r="AT676" s="3"/>
      <c r="AU676" s="3"/>
      <c r="AV676" s="3"/>
      <c r="AW676" s="3"/>
      <c r="AX676" s="3"/>
      <c r="AY676" s="3"/>
      <c r="AZ676" s="3"/>
      <c r="BA676" s="3"/>
      <c r="BB676" s="3"/>
      <c r="BC676" s="3"/>
      <c r="BD676" s="3"/>
      <c r="BE676" s="3"/>
      <c r="BF676" s="3"/>
    </row>
    <row r="677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20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  <c r="AG677" s="3"/>
      <c r="AH677" s="3"/>
      <c r="AI677" s="3"/>
      <c r="AJ677" s="3"/>
      <c r="AK677" s="3"/>
      <c r="AL677" s="3"/>
      <c r="AM677" s="3"/>
      <c r="AN677" s="3"/>
      <c r="AO677" s="3"/>
      <c r="AP677" s="3"/>
      <c r="AQ677" s="3"/>
      <c r="AR677" s="3"/>
      <c r="AS677" s="3"/>
      <c r="AT677" s="3"/>
      <c r="AU677" s="3"/>
      <c r="AV677" s="3"/>
      <c r="AW677" s="3"/>
      <c r="AX677" s="3"/>
      <c r="AY677" s="3"/>
      <c r="AZ677" s="3"/>
      <c r="BA677" s="3"/>
      <c r="BB677" s="3"/>
      <c r="BC677" s="3"/>
      <c r="BD677" s="3"/>
      <c r="BE677" s="3"/>
      <c r="BF677" s="3"/>
    </row>
    <row r="678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20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  <c r="AG678" s="3"/>
      <c r="AH678" s="3"/>
      <c r="AI678" s="3"/>
      <c r="AJ678" s="3"/>
      <c r="AK678" s="3"/>
      <c r="AL678" s="3"/>
      <c r="AM678" s="3"/>
      <c r="AN678" s="3"/>
      <c r="AO678" s="3"/>
      <c r="AP678" s="3"/>
      <c r="AQ678" s="3"/>
      <c r="AR678" s="3"/>
      <c r="AS678" s="3"/>
      <c r="AT678" s="3"/>
      <c r="AU678" s="3"/>
      <c r="AV678" s="3"/>
      <c r="AW678" s="3"/>
      <c r="AX678" s="3"/>
      <c r="AY678" s="3"/>
      <c r="AZ678" s="3"/>
      <c r="BA678" s="3"/>
      <c r="BB678" s="3"/>
      <c r="BC678" s="3"/>
      <c r="BD678" s="3"/>
      <c r="BE678" s="3"/>
      <c r="BF678" s="3"/>
    </row>
    <row r="679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20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  <c r="AG679" s="3"/>
      <c r="AH679" s="3"/>
      <c r="AI679" s="3"/>
      <c r="AJ679" s="3"/>
      <c r="AK679" s="3"/>
      <c r="AL679" s="3"/>
      <c r="AM679" s="3"/>
      <c r="AN679" s="3"/>
      <c r="AO679" s="3"/>
      <c r="AP679" s="3"/>
      <c r="AQ679" s="3"/>
      <c r="AR679" s="3"/>
      <c r="AS679" s="3"/>
      <c r="AT679" s="3"/>
      <c r="AU679" s="3"/>
      <c r="AV679" s="3"/>
      <c r="AW679" s="3"/>
      <c r="AX679" s="3"/>
      <c r="AY679" s="3"/>
      <c r="AZ679" s="3"/>
      <c r="BA679" s="3"/>
      <c r="BB679" s="3"/>
      <c r="BC679" s="3"/>
      <c r="BD679" s="3"/>
      <c r="BE679" s="3"/>
      <c r="BF679" s="3"/>
    </row>
    <row r="680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20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  <c r="AG680" s="3"/>
      <c r="AH680" s="3"/>
      <c r="AI680" s="3"/>
      <c r="AJ680" s="3"/>
      <c r="AK680" s="3"/>
      <c r="AL680" s="3"/>
      <c r="AM680" s="3"/>
      <c r="AN680" s="3"/>
      <c r="AO680" s="3"/>
      <c r="AP680" s="3"/>
      <c r="AQ680" s="3"/>
      <c r="AR680" s="3"/>
      <c r="AS680" s="3"/>
      <c r="AT680" s="3"/>
      <c r="AU680" s="3"/>
      <c r="AV680" s="3"/>
      <c r="AW680" s="3"/>
      <c r="AX680" s="3"/>
      <c r="AY680" s="3"/>
      <c r="AZ680" s="3"/>
      <c r="BA680" s="3"/>
      <c r="BB680" s="3"/>
      <c r="BC680" s="3"/>
      <c r="BD680" s="3"/>
      <c r="BE680" s="3"/>
      <c r="BF680" s="3"/>
    </row>
    <row r="68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20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  <c r="AG681" s="3"/>
      <c r="AH681" s="3"/>
      <c r="AI681" s="3"/>
      <c r="AJ681" s="3"/>
      <c r="AK681" s="3"/>
      <c r="AL681" s="3"/>
      <c r="AM681" s="3"/>
      <c r="AN681" s="3"/>
      <c r="AO681" s="3"/>
      <c r="AP681" s="3"/>
      <c r="AQ681" s="3"/>
      <c r="AR681" s="3"/>
      <c r="AS681" s="3"/>
      <c r="AT681" s="3"/>
      <c r="AU681" s="3"/>
      <c r="AV681" s="3"/>
      <c r="AW681" s="3"/>
      <c r="AX681" s="3"/>
      <c r="AY681" s="3"/>
      <c r="AZ681" s="3"/>
      <c r="BA681" s="3"/>
      <c r="BB681" s="3"/>
      <c r="BC681" s="3"/>
      <c r="BD681" s="3"/>
      <c r="BE681" s="3"/>
      <c r="BF681" s="3"/>
    </row>
    <row r="682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20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  <c r="AG682" s="3"/>
      <c r="AH682" s="3"/>
      <c r="AI682" s="3"/>
      <c r="AJ682" s="3"/>
      <c r="AK682" s="3"/>
      <c r="AL682" s="3"/>
      <c r="AM682" s="3"/>
      <c r="AN682" s="3"/>
      <c r="AO682" s="3"/>
      <c r="AP682" s="3"/>
      <c r="AQ682" s="3"/>
      <c r="AR682" s="3"/>
      <c r="AS682" s="3"/>
      <c r="AT682" s="3"/>
      <c r="AU682" s="3"/>
      <c r="AV682" s="3"/>
      <c r="AW682" s="3"/>
      <c r="AX682" s="3"/>
      <c r="AY682" s="3"/>
      <c r="AZ682" s="3"/>
      <c r="BA682" s="3"/>
      <c r="BB682" s="3"/>
      <c r="BC682" s="3"/>
      <c r="BD682" s="3"/>
      <c r="BE682" s="3"/>
      <c r="BF682" s="3"/>
    </row>
    <row r="68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20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  <c r="AG683" s="3"/>
      <c r="AH683" s="3"/>
      <c r="AI683" s="3"/>
      <c r="AJ683" s="3"/>
      <c r="AK683" s="3"/>
      <c r="AL683" s="3"/>
      <c r="AM683" s="3"/>
      <c r="AN683" s="3"/>
      <c r="AO683" s="3"/>
      <c r="AP683" s="3"/>
      <c r="AQ683" s="3"/>
      <c r="AR683" s="3"/>
      <c r="AS683" s="3"/>
      <c r="AT683" s="3"/>
      <c r="AU683" s="3"/>
      <c r="AV683" s="3"/>
      <c r="AW683" s="3"/>
      <c r="AX683" s="3"/>
      <c r="AY683" s="3"/>
      <c r="AZ683" s="3"/>
      <c r="BA683" s="3"/>
      <c r="BB683" s="3"/>
      <c r="BC683" s="3"/>
      <c r="BD683" s="3"/>
      <c r="BE683" s="3"/>
      <c r="BF683" s="3"/>
    </row>
    <row r="684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20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  <c r="AG684" s="3"/>
      <c r="AH684" s="3"/>
      <c r="AI684" s="3"/>
      <c r="AJ684" s="3"/>
      <c r="AK684" s="3"/>
      <c r="AL684" s="3"/>
      <c r="AM684" s="3"/>
      <c r="AN684" s="3"/>
      <c r="AO684" s="3"/>
      <c r="AP684" s="3"/>
      <c r="AQ684" s="3"/>
      <c r="AR684" s="3"/>
      <c r="AS684" s="3"/>
      <c r="AT684" s="3"/>
      <c r="AU684" s="3"/>
      <c r="AV684" s="3"/>
      <c r="AW684" s="3"/>
      <c r="AX684" s="3"/>
      <c r="AY684" s="3"/>
      <c r="AZ684" s="3"/>
      <c r="BA684" s="3"/>
      <c r="BB684" s="3"/>
      <c r="BC684" s="3"/>
      <c r="BD684" s="3"/>
      <c r="BE684" s="3"/>
      <c r="BF684" s="3"/>
    </row>
    <row r="685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20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  <c r="AG685" s="3"/>
      <c r="AH685" s="3"/>
      <c r="AI685" s="3"/>
      <c r="AJ685" s="3"/>
      <c r="AK685" s="3"/>
      <c r="AL685" s="3"/>
      <c r="AM685" s="3"/>
      <c r="AN685" s="3"/>
      <c r="AO685" s="3"/>
      <c r="AP685" s="3"/>
      <c r="AQ685" s="3"/>
      <c r="AR685" s="3"/>
      <c r="AS685" s="3"/>
      <c r="AT685" s="3"/>
      <c r="AU685" s="3"/>
      <c r="AV685" s="3"/>
      <c r="AW685" s="3"/>
      <c r="AX685" s="3"/>
      <c r="AY685" s="3"/>
      <c r="AZ685" s="3"/>
      <c r="BA685" s="3"/>
      <c r="BB685" s="3"/>
      <c r="BC685" s="3"/>
      <c r="BD685" s="3"/>
      <c r="BE685" s="3"/>
      <c r="BF685" s="3"/>
    </row>
    <row r="68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20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  <c r="AG686" s="3"/>
      <c r="AH686" s="3"/>
      <c r="AI686" s="3"/>
      <c r="AJ686" s="3"/>
      <c r="AK686" s="3"/>
      <c r="AL686" s="3"/>
      <c r="AM686" s="3"/>
      <c r="AN686" s="3"/>
      <c r="AO686" s="3"/>
      <c r="AP686" s="3"/>
      <c r="AQ686" s="3"/>
      <c r="AR686" s="3"/>
      <c r="AS686" s="3"/>
      <c r="AT686" s="3"/>
      <c r="AU686" s="3"/>
      <c r="AV686" s="3"/>
      <c r="AW686" s="3"/>
      <c r="AX686" s="3"/>
      <c r="AY686" s="3"/>
      <c r="AZ686" s="3"/>
      <c r="BA686" s="3"/>
      <c r="BB686" s="3"/>
      <c r="BC686" s="3"/>
      <c r="BD686" s="3"/>
      <c r="BE686" s="3"/>
      <c r="BF686" s="3"/>
    </row>
    <row r="687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20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  <c r="AG687" s="3"/>
      <c r="AH687" s="3"/>
      <c r="AI687" s="3"/>
      <c r="AJ687" s="3"/>
      <c r="AK687" s="3"/>
      <c r="AL687" s="3"/>
      <c r="AM687" s="3"/>
      <c r="AN687" s="3"/>
      <c r="AO687" s="3"/>
      <c r="AP687" s="3"/>
      <c r="AQ687" s="3"/>
      <c r="AR687" s="3"/>
      <c r="AS687" s="3"/>
      <c r="AT687" s="3"/>
      <c r="AU687" s="3"/>
      <c r="AV687" s="3"/>
      <c r="AW687" s="3"/>
      <c r="AX687" s="3"/>
      <c r="AY687" s="3"/>
      <c r="AZ687" s="3"/>
      <c r="BA687" s="3"/>
      <c r="BB687" s="3"/>
      <c r="BC687" s="3"/>
      <c r="BD687" s="3"/>
      <c r="BE687" s="3"/>
      <c r="BF687" s="3"/>
    </row>
    <row r="688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20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  <c r="AG688" s="3"/>
      <c r="AH688" s="3"/>
      <c r="AI688" s="3"/>
      <c r="AJ688" s="3"/>
      <c r="AK688" s="3"/>
      <c r="AL688" s="3"/>
      <c r="AM688" s="3"/>
      <c r="AN688" s="3"/>
      <c r="AO688" s="3"/>
      <c r="AP688" s="3"/>
      <c r="AQ688" s="3"/>
      <c r="AR688" s="3"/>
      <c r="AS688" s="3"/>
      <c r="AT688" s="3"/>
      <c r="AU688" s="3"/>
      <c r="AV688" s="3"/>
      <c r="AW688" s="3"/>
      <c r="AX688" s="3"/>
      <c r="AY688" s="3"/>
      <c r="AZ688" s="3"/>
      <c r="BA688" s="3"/>
      <c r="BB688" s="3"/>
      <c r="BC688" s="3"/>
      <c r="BD688" s="3"/>
      <c r="BE688" s="3"/>
      <c r="BF688" s="3"/>
    </row>
    <row r="689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20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  <c r="AG689" s="3"/>
      <c r="AH689" s="3"/>
      <c r="AI689" s="3"/>
      <c r="AJ689" s="3"/>
      <c r="AK689" s="3"/>
      <c r="AL689" s="3"/>
      <c r="AM689" s="3"/>
      <c r="AN689" s="3"/>
      <c r="AO689" s="3"/>
      <c r="AP689" s="3"/>
      <c r="AQ689" s="3"/>
      <c r="AR689" s="3"/>
      <c r="AS689" s="3"/>
      <c r="AT689" s="3"/>
      <c r="AU689" s="3"/>
      <c r="AV689" s="3"/>
      <c r="AW689" s="3"/>
      <c r="AX689" s="3"/>
      <c r="AY689" s="3"/>
      <c r="AZ689" s="3"/>
      <c r="BA689" s="3"/>
      <c r="BB689" s="3"/>
      <c r="BC689" s="3"/>
      <c r="BD689" s="3"/>
      <c r="BE689" s="3"/>
      <c r="BF689" s="3"/>
    </row>
    <row r="690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20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  <c r="AG690" s="3"/>
      <c r="AH690" s="3"/>
      <c r="AI690" s="3"/>
      <c r="AJ690" s="3"/>
      <c r="AK690" s="3"/>
      <c r="AL690" s="3"/>
      <c r="AM690" s="3"/>
      <c r="AN690" s="3"/>
      <c r="AO690" s="3"/>
      <c r="AP690" s="3"/>
      <c r="AQ690" s="3"/>
      <c r="AR690" s="3"/>
      <c r="AS690" s="3"/>
      <c r="AT690" s="3"/>
      <c r="AU690" s="3"/>
      <c r="AV690" s="3"/>
      <c r="AW690" s="3"/>
      <c r="AX690" s="3"/>
      <c r="AY690" s="3"/>
      <c r="AZ690" s="3"/>
      <c r="BA690" s="3"/>
      <c r="BB690" s="3"/>
      <c r="BC690" s="3"/>
      <c r="BD690" s="3"/>
      <c r="BE690" s="3"/>
      <c r="BF690" s="3"/>
    </row>
    <row r="69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20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  <c r="AG691" s="3"/>
      <c r="AH691" s="3"/>
      <c r="AI691" s="3"/>
      <c r="AJ691" s="3"/>
      <c r="AK691" s="3"/>
      <c r="AL691" s="3"/>
      <c r="AM691" s="3"/>
      <c r="AN691" s="3"/>
      <c r="AO691" s="3"/>
      <c r="AP691" s="3"/>
      <c r="AQ691" s="3"/>
      <c r="AR691" s="3"/>
      <c r="AS691" s="3"/>
      <c r="AT691" s="3"/>
      <c r="AU691" s="3"/>
      <c r="AV691" s="3"/>
      <c r="AW691" s="3"/>
      <c r="AX691" s="3"/>
      <c r="AY691" s="3"/>
      <c r="AZ691" s="3"/>
      <c r="BA691" s="3"/>
      <c r="BB691" s="3"/>
      <c r="BC691" s="3"/>
      <c r="BD691" s="3"/>
      <c r="BE691" s="3"/>
      <c r="BF691" s="3"/>
    </row>
    <row r="692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20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  <c r="AG692" s="3"/>
      <c r="AH692" s="3"/>
      <c r="AI692" s="3"/>
      <c r="AJ692" s="3"/>
      <c r="AK692" s="3"/>
      <c r="AL692" s="3"/>
      <c r="AM692" s="3"/>
      <c r="AN692" s="3"/>
      <c r="AO692" s="3"/>
      <c r="AP692" s="3"/>
      <c r="AQ692" s="3"/>
      <c r="AR692" s="3"/>
      <c r="AS692" s="3"/>
      <c r="AT692" s="3"/>
      <c r="AU692" s="3"/>
      <c r="AV692" s="3"/>
      <c r="AW692" s="3"/>
      <c r="AX692" s="3"/>
      <c r="AY692" s="3"/>
      <c r="AZ692" s="3"/>
      <c r="BA692" s="3"/>
      <c r="BB692" s="3"/>
      <c r="BC692" s="3"/>
      <c r="BD692" s="3"/>
      <c r="BE692" s="3"/>
      <c r="BF692" s="3"/>
    </row>
    <row r="69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20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  <c r="AG693" s="3"/>
      <c r="AH693" s="3"/>
      <c r="AI693" s="3"/>
      <c r="AJ693" s="3"/>
      <c r="AK693" s="3"/>
      <c r="AL693" s="3"/>
      <c r="AM693" s="3"/>
      <c r="AN693" s="3"/>
      <c r="AO693" s="3"/>
      <c r="AP693" s="3"/>
      <c r="AQ693" s="3"/>
      <c r="AR693" s="3"/>
      <c r="AS693" s="3"/>
      <c r="AT693" s="3"/>
      <c r="AU693" s="3"/>
      <c r="AV693" s="3"/>
      <c r="AW693" s="3"/>
      <c r="AX693" s="3"/>
      <c r="AY693" s="3"/>
      <c r="AZ693" s="3"/>
      <c r="BA693" s="3"/>
      <c r="BB693" s="3"/>
      <c r="BC693" s="3"/>
      <c r="BD693" s="3"/>
      <c r="BE693" s="3"/>
      <c r="BF693" s="3"/>
    </row>
    <row r="694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20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  <c r="AG694" s="3"/>
      <c r="AH694" s="3"/>
      <c r="AI694" s="3"/>
      <c r="AJ694" s="3"/>
      <c r="AK694" s="3"/>
      <c r="AL694" s="3"/>
      <c r="AM694" s="3"/>
      <c r="AN694" s="3"/>
      <c r="AO694" s="3"/>
      <c r="AP694" s="3"/>
      <c r="AQ694" s="3"/>
      <c r="AR694" s="3"/>
      <c r="AS694" s="3"/>
      <c r="AT694" s="3"/>
      <c r="AU694" s="3"/>
      <c r="AV694" s="3"/>
      <c r="AW694" s="3"/>
      <c r="AX694" s="3"/>
      <c r="AY694" s="3"/>
      <c r="AZ694" s="3"/>
      <c r="BA694" s="3"/>
      <c r="BB694" s="3"/>
      <c r="BC694" s="3"/>
      <c r="BD694" s="3"/>
      <c r="BE694" s="3"/>
      <c r="BF694" s="3"/>
    </row>
    <row r="695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20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  <c r="AG695" s="3"/>
      <c r="AH695" s="3"/>
      <c r="AI695" s="3"/>
      <c r="AJ695" s="3"/>
      <c r="AK695" s="3"/>
      <c r="AL695" s="3"/>
      <c r="AM695" s="3"/>
      <c r="AN695" s="3"/>
      <c r="AO695" s="3"/>
      <c r="AP695" s="3"/>
      <c r="AQ695" s="3"/>
      <c r="AR695" s="3"/>
      <c r="AS695" s="3"/>
      <c r="AT695" s="3"/>
      <c r="AU695" s="3"/>
      <c r="AV695" s="3"/>
      <c r="AW695" s="3"/>
      <c r="AX695" s="3"/>
      <c r="AY695" s="3"/>
      <c r="AZ695" s="3"/>
      <c r="BA695" s="3"/>
      <c r="BB695" s="3"/>
      <c r="BC695" s="3"/>
      <c r="BD695" s="3"/>
      <c r="BE695" s="3"/>
      <c r="BF695" s="3"/>
    </row>
    <row r="69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20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  <c r="AG696" s="3"/>
      <c r="AH696" s="3"/>
      <c r="AI696" s="3"/>
      <c r="AJ696" s="3"/>
      <c r="AK696" s="3"/>
      <c r="AL696" s="3"/>
      <c r="AM696" s="3"/>
      <c r="AN696" s="3"/>
      <c r="AO696" s="3"/>
      <c r="AP696" s="3"/>
      <c r="AQ696" s="3"/>
      <c r="AR696" s="3"/>
      <c r="AS696" s="3"/>
      <c r="AT696" s="3"/>
      <c r="AU696" s="3"/>
      <c r="AV696" s="3"/>
      <c r="AW696" s="3"/>
      <c r="AX696" s="3"/>
      <c r="AY696" s="3"/>
      <c r="AZ696" s="3"/>
      <c r="BA696" s="3"/>
      <c r="BB696" s="3"/>
      <c r="BC696" s="3"/>
      <c r="BD696" s="3"/>
      <c r="BE696" s="3"/>
      <c r="BF696" s="3"/>
    </row>
    <row r="697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20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  <c r="AG697" s="3"/>
      <c r="AH697" s="3"/>
      <c r="AI697" s="3"/>
      <c r="AJ697" s="3"/>
      <c r="AK697" s="3"/>
      <c r="AL697" s="3"/>
      <c r="AM697" s="3"/>
      <c r="AN697" s="3"/>
      <c r="AO697" s="3"/>
      <c r="AP697" s="3"/>
      <c r="AQ697" s="3"/>
      <c r="AR697" s="3"/>
      <c r="AS697" s="3"/>
      <c r="AT697" s="3"/>
      <c r="AU697" s="3"/>
      <c r="AV697" s="3"/>
      <c r="AW697" s="3"/>
      <c r="AX697" s="3"/>
      <c r="AY697" s="3"/>
      <c r="AZ697" s="3"/>
      <c r="BA697" s="3"/>
      <c r="BB697" s="3"/>
      <c r="BC697" s="3"/>
      <c r="BD697" s="3"/>
      <c r="BE697" s="3"/>
      <c r="BF697" s="3"/>
    </row>
    <row r="698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20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  <c r="AG698" s="3"/>
      <c r="AH698" s="3"/>
      <c r="AI698" s="3"/>
      <c r="AJ698" s="3"/>
      <c r="AK698" s="3"/>
      <c r="AL698" s="3"/>
      <c r="AM698" s="3"/>
      <c r="AN698" s="3"/>
      <c r="AO698" s="3"/>
      <c r="AP698" s="3"/>
      <c r="AQ698" s="3"/>
      <c r="AR698" s="3"/>
      <c r="AS698" s="3"/>
      <c r="AT698" s="3"/>
      <c r="AU698" s="3"/>
      <c r="AV698" s="3"/>
      <c r="AW698" s="3"/>
      <c r="AX698" s="3"/>
      <c r="AY698" s="3"/>
      <c r="AZ698" s="3"/>
      <c r="BA698" s="3"/>
      <c r="BB698" s="3"/>
      <c r="BC698" s="3"/>
      <c r="BD698" s="3"/>
      <c r="BE698" s="3"/>
      <c r="BF698" s="3"/>
    </row>
    <row r="699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20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  <c r="AG699" s="3"/>
      <c r="AH699" s="3"/>
      <c r="AI699" s="3"/>
      <c r="AJ699" s="3"/>
      <c r="AK699" s="3"/>
      <c r="AL699" s="3"/>
      <c r="AM699" s="3"/>
      <c r="AN699" s="3"/>
      <c r="AO699" s="3"/>
      <c r="AP699" s="3"/>
      <c r="AQ699" s="3"/>
      <c r="AR699" s="3"/>
      <c r="AS699" s="3"/>
      <c r="AT699" s="3"/>
      <c r="AU699" s="3"/>
      <c r="AV699" s="3"/>
      <c r="AW699" s="3"/>
      <c r="AX699" s="3"/>
      <c r="AY699" s="3"/>
      <c r="AZ699" s="3"/>
      <c r="BA699" s="3"/>
      <c r="BB699" s="3"/>
      <c r="BC699" s="3"/>
      <c r="BD699" s="3"/>
      <c r="BE699" s="3"/>
      <c r="BF699" s="3"/>
    </row>
    <row r="700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20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  <c r="AG700" s="3"/>
      <c r="AH700" s="3"/>
      <c r="AI700" s="3"/>
      <c r="AJ700" s="3"/>
      <c r="AK700" s="3"/>
      <c r="AL700" s="3"/>
      <c r="AM700" s="3"/>
      <c r="AN700" s="3"/>
      <c r="AO700" s="3"/>
      <c r="AP700" s="3"/>
      <c r="AQ700" s="3"/>
      <c r="AR700" s="3"/>
      <c r="AS700" s="3"/>
      <c r="AT700" s="3"/>
      <c r="AU700" s="3"/>
      <c r="AV700" s="3"/>
      <c r="AW700" s="3"/>
      <c r="AX700" s="3"/>
      <c r="AY700" s="3"/>
      <c r="AZ700" s="3"/>
      <c r="BA700" s="3"/>
      <c r="BB700" s="3"/>
      <c r="BC700" s="3"/>
      <c r="BD700" s="3"/>
      <c r="BE700" s="3"/>
      <c r="BF700" s="3"/>
    </row>
    <row r="70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20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  <c r="AG701" s="3"/>
      <c r="AH701" s="3"/>
      <c r="AI701" s="3"/>
      <c r="AJ701" s="3"/>
      <c r="AK701" s="3"/>
      <c r="AL701" s="3"/>
      <c r="AM701" s="3"/>
      <c r="AN701" s="3"/>
      <c r="AO701" s="3"/>
      <c r="AP701" s="3"/>
      <c r="AQ701" s="3"/>
      <c r="AR701" s="3"/>
      <c r="AS701" s="3"/>
      <c r="AT701" s="3"/>
      <c r="AU701" s="3"/>
      <c r="AV701" s="3"/>
      <c r="AW701" s="3"/>
      <c r="AX701" s="3"/>
      <c r="AY701" s="3"/>
      <c r="AZ701" s="3"/>
      <c r="BA701" s="3"/>
      <c r="BB701" s="3"/>
      <c r="BC701" s="3"/>
      <c r="BD701" s="3"/>
      <c r="BE701" s="3"/>
      <c r="BF701" s="3"/>
    </row>
    <row r="702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20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  <c r="AG702" s="3"/>
      <c r="AH702" s="3"/>
      <c r="AI702" s="3"/>
      <c r="AJ702" s="3"/>
      <c r="AK702" s="3"/>
      <c r="AL702" s="3"/>
      <c r="AM702" s="3"/>
      <c r="AN702" s="3"/>
      <c r="AO702" s="3"/>
      <c r="AP702" s="3"/>
      <c r="AQ702" s="3"/>
      <c r="AR702" s="3"/>
      <c r="AS702" s="3"/>
      <c r="AT702" s="3"/>
      <c r="AU702" s="3"/>
      <c r="AV702" s="3"/>
      <c r="AW702" s="3"/>
      <c r="AX702" s="3"/>
      <c r="AY702" s="3"/>
      <c r="AZ702" s="3"/>
      <c r="BA702" s="3"/>
      <c r="BB702" s="3"/>
      <c r="BC702" s="3"/>
      <c r="BD702" s="3"/>
      <c r="BE702" s="3"/>
      <c r="BF702" s="3"/>
    </row>
    <row r="70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20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  <c r="AG703" s="3"/>
      <c r="AH703" s="3"/>
      <c r="AI703" s="3"/>
      <c r="AJ703" s="3"/>
      <c r="AK703" s="3"/>
      <c r="AL703" s="3"/>
      <c r="AM703" s="3"/>
      <c r="AN703" s="3"/>
      <c r="AO703" s="3"/>
      <c r="AP703" s="3"/>
      <c r="AQ703" s="3"/>
      <c r="AR703" s="3"/>
      <c r="AS703" s="3"/>
      <c r="AT703" s="3"/>
      <c r="AU703" s="3"/>
      <c r="AV703" s="3"/>
      <c r="AW703" s="3"/>
      <c r="AX703" s="3"/>
      <c r="AY703" s="3"/>
      <c r="AZ703" s="3"/>
      <c r="BA703" s="3"/>
      <c r="BB703" s="3"/>
      <c r="BC703" s="3"/>
      <c r="BD703" s="3"/>
      <c r="BE703" s="3"/>
      <c r="BF703" s="3"/>
    </row>
    <row r="704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20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  <c r="AG704" s="3"/>
      <c r="AH704" s="3"/>
      <c r="AI704" s="3"/>
      <c r="AJ704" s="3"/>
      <c r="AK704" s="3"/>
      <c r="AL704" s="3"/>
      <c r="AM704" s="3"/>
      <c r="AN704" s="3"/>
      <c r="AO704" s="3"/>
      <c r="AP704" s="3"/>
      <c r="AQ704" s="3"/>
      <c r="AR704" s="3"/>
      <c r="AS704" s="3"/>
      <c r="AT704" s="3"/>
      <c r="AU704" s="3"/>
      <c r="AV704" s="3"/>
      <c r="AW704" s="3"/>
      <c r="AX704" s="3"/>
      <c r="AY704" s="3"/>
      <c r="AZ704" s="3"/>
      <c r="BA704" s="3"/>
      <c r="BB704" s="3"/>
      <c r="BC704" s="3"/>
      <c r="BD704" s="3"/>
      <c r="BE704" s="3"/>
      <c r="BF704" s="3"/>
    </row>
    <row r="705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20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  <c r="AG705" s="3"/>
      <c r="AH705" s="3"/>
      <c r="AI705" s="3"/>
      <c r="AJ705" s="3"/>
      <c r="AK705" s="3"/>
      <c r="AL705" s="3"/>
      <c r="AM705" s="3"/>
      <c r="AN705" s="3"/>
      <c r="AO705" s="3"/>
      <c r="AP705" s="3"/>
      <c r="AQ705" s="3"/>
      <c r="AR705" s="3"/>
      <c r="AS705" s="3"/>
      <c r="AT705" s="3"/>
      <c r="AU705" s="3"/>
      <c r="AV705" s="3"/>
      <c r="AW705" s="3"/>
      <c r="AX705" s="3"/>
      <c r="AY705" s="3"/>
      <c r="AZ705" s="3"/>
      <c r="BA705" s="3"/>
      <c r="BB705" s="3"/>
      <c r="BC705" s="3"/>
      <c r="BD705" s="3"/>
      <c r="BE705" s="3"/>
      <c r="BF705" s="3"/>
    </row>
    <row r="70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20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  <c r="AG706" s="3"/>
      <c r="AH706" s="3"/>
      <c r="AI706" s="3"/>
      <c r="AJ706" s="3"/>
      <c r="AK706" s="3"/>
      <c r="AL706" s="3"/>
      <c r="AM706" s="3"/>
      <c r="AN706" s="3"/>
      <c r="AO706" s="3"/>
      <c r="AP706" s="3"/>
      <c r="AQ706" s="3"/>
      <c r="AR706" s="3"/>
      <c r="AS706" s="3"/>
      <c r="AT706" s="3"/>
      <c r="AU706" s="3"/>
      <c r="AV706" s="3"/>
      <c r="AW706" s="3"/>
      <c r="AX706" s="3"/>
      <c r="AY706" s="3"/>
      <c r="AZ706" s="3"/>
      <c r="BA706" s="3"/>
      <c r="BB706" s="3"/>
      <c r="BC706" s="3"/>
      <c r="BD706" s="3"/>
      <c r="BE706" s="3"/>
      <c r="BF706" s="3"/>
    </row>
    <row r="707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20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  <c r="AG707" s="3"/>
      <c r="AH707" s="3"/>
      <c r="AI707" s="3"/>
      <c r="AJ707" s="3"/>
      <c r="AK707" s="3"/>
      <c r="AL707" s="3"/>
      <c r="AM707" s="3"/>
      <c r="AN707" s="3"/>
      <c r="AO707" s="3"/>
      <c r="AP707" s="3"/>
      <c r="AQ707" s="3"/>
      <c r="AR707" s="3"/>
      <c r="AS707" s="3"/>
      <c r="AT707" s="3"/>
      <c r="AU707" s="3"/>
      <c r="AV707" s="3"/>
      <c r="AW707" s="3"/>
      <c r="AX707" s="3"/>
      <c r="AY707" s="3"/>
      <c r="AZ707" s="3"/>
      <c r="BA707" s="3"/>
      <c r="BB707" s="3"/>
      <c r="BC707" s="3"/>
      <c r="BD707" s="3"/>
      <c r="BE707" s="3"/>
      <c r="BF707" s="3"/>
    </row>
    <row r="708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20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  <c r="AG708" s="3"/>
      <c r="AH708" s="3"/>
      <c r="AI708" s="3"/>
      <c r="AJ708" s="3"/>
      <c r="AK708" s="3"/>
      <c r="AL708" s="3"/>
      <c r="AM708" s="3"/>
      <c r="AN708" s="3"/>
      <c r="AO708" s="3"/>
      <c r="AP708" s="3"/>
      <c r="AQ708" s="3"/>
      <c r="AR708" s="3"/>
      <c r="AS708" s="3"/>
      <c r="AT708" s="3"/>
      <c r="AU708" s="3"/>
      <c r="AV708" s="3"/>
      <c r="AW708" s="3"/>
      <c r="AX708" s="3"/>
      <c r="AY708" s="3"/>
      <c r="AZ708" s="3"/>
      <c r="BA708" s="3"/>
      <c r="BB708" s="3"/>
      <c r="BC708" s="3"/>
      <c r="BD708" s="3"/>
      <c r="BE708" s="3"/>
      <c r="BF708" s="3"/>
    </row>
    <row r="709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20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  <c r="AG709" s="3"/>
      <c r="AH709" s="3"/>
      <c r="AI709" s="3"/>
      <c r="AJ709" s="3"/>
      <c r="AK709" s="3"/>
      <c r="AL709" s="3"/>
      <c r="AM709" s="3"/>
      <c r="AN709" s="3"/>
      <c r="AO709" s="3"/>
      <c r="AP709" s="3"/>
      <c r="AQ709" s="3"/>
      <c r="AR709" s="3"/>
      <c r="AS709" s="3"/>
      <c r="AT709" s="3"/>
      <c r="AU709" s="3"/>
      <c r="AV709" s="3"/>
      <c r="AW709" s="3"/>
      <c r="AX709" s="3"/>
      <c r="AY709" s="3"/>
      <c r="AZ709" s="3"/>
      <c r="BA709" s="3"/>
      <c r="BB709" s="3"/>
      <c r="BC709" s="3"/>
      <c r="BD709" s="3"/>
      <c r="BE709" s="3"/>
      <c r="BF709" s="3"/>
    </row>
    <row r="710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20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  <c r="AG710" s="3"/>
      <c r="AH710" s="3"/>
      <c r="AI710" s="3"/>
      <c r="AJ710" s="3"/>
      <c r="AK710" s="3"/>
      <c r="AL710" s="3"/>
      <c r="AM710" s="3"/>
      <c r="AN710" s="3"/>
      <c r="AO710" s="3"/>
      <c r="AP710" s="3"/>
      <c r="AQ710" s="3"/>
      <c r="AR710" s="3"/>
      <c r="AS710" s="3"/>
      <c r="AT710" s="3"/>
      <c r="AU710" s="3"/>
      <c r="AV710" s="3"/>
      <c r="AW710" s="3"/>
      <c r="AX710" s="3"/>
      <c r="AY710" s="3"/>
      <c r="AZ710" s="3"/>
      <c r="BA710" s="3"/>
      <c r="BB710" s="3"/>
      <c r="BC710" s="3"/>
      <c r="BD710" s="3"/>
      <c r="BE710" s="3"/>
      <c r="BF710" s="3"/>
    </row>
    <row r="71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20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  <c r="AG711" s="3"/>
      <c r="AH711" s="3"/>
      <c r="AI711" s="3"/>
      <c r="AJ711" s="3"/>
      <c r="AK711" s="3"/>
      <c r="AL711" s="3"/>
      <c r="AM711" s="3"/>
      <c r="AN711" s="3"/>
      <c r="AO711" s="3"/>
      <c r="AP711" s="3"/>
      <c r="AQ711" s="3"/>
      <c r="AR711" s="3"/>
      <c r="AS711" s="3"/>
      <c r="AT711" s="3"/>
      <c r="AU711" s="3"/>
      <c r="AV711" s="3"/>
      <c r="AW711" s="3"/>
      <c r="AX711" s="3"/>
      <c r="AY711" s="3"/>
      <c r="AZ711" s="3"/>
      <c r="BA711" s="3"/>
      <c r="BB711" s="3"/>
      <c r="BC711" s="3"/>
      <c r="BD711" s="3"/>
      <c r="BE711" s="3"/>
      <c r="BF711" s="3"/>
    </row>
    <row r="712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20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  <c r="AG712" s="3"/>
      <c r="AH712" s="3"/>
      <c r="AI712" s="3"/>
      <c r="AJ712" s="3"/>
      <c r="AK712" s="3"/>
      <c r="AL712" s="3"/>
      <c r="AM712" s="3"/>
      <c r="AN712" s="3"/>
      <c r="AO712" s="3"/>
      <c r="AP712" s="3"/>
      <c r="AQ712" s="3"/>
      <c r="AR712" s="3"/>
      <c r="AS712" s="3"/>
      <c r="AT712" s="3"/>
      <c r="AU712" s="3"/>
      <c r="AV712" s="3"/>
      <c r="AW712" s="3"/>
      <c r="AX712" s="3"/>
      <c r="AY712" s="3"/>
      <c r="AZ712" s="3"/>
      <c r="BA712" s="3"/>
      <c r="BB712" s="3"/>
      <c r="BC712" s="3"/>
      <c r="BD712" s="3"/>
      <c r="BE712" s="3"/>
      <c r="BF712" s="3"/>
    </row>
    <row r="71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20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  <c r="AG713" s="3"/>
      <c r="AH713" s="3"/>
      <c r="AI713" s="3"/>
      <c r="AJ713" s="3"/>
      <c r="AK713" s="3"/>
      <c r="AL713" s="3"/>
      <c r="AM713" s="3"/>
      <c r="AN713" s="3"/>
      <c r="AO713" s="3"/>
      <c r="AP713" s="3"/>
      <c r="AQ713" s="3"/>
      <c r="AR713" s="3"/>
      <c r="AS713" s="3"/>
      <c r="AT713" s="3"/>
      <c r="AU713" s="3"/>
      <c r="AV713" s="3"/>
      <c r="AW713" s="3"/>
      <c r="AX713" s="3"/>
      <c r="AY713" s="3"/>
      <c r="AZ713" s="3"/>
      <c r="BA713" s="3"/>
      <c r="BB713" s="3"/>
      <c r="BC713" s="3"/>
      <c r="BD713" s="3"/>
      <c r="BE713" s="3"/>
      <c r="BF713" s="3"/>
    </row>
    <row r="714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20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  <c r="AG714" s="3"/>
      <c r="AH714" s="3"/>
      <c r="AI714" s="3"/>
      <c r="AJ714" s="3"/>
      <c r="AK714" s="3"/>
      <c r="AL714" s="3"/>
      <c r="AM714" s="3"/>
      <c r="AN714" s="3"/>
      <c r="AO714" s="3"/>
      <c r="AP714" s="3"/>
      <c r="AQ714" s="3"/>
      <c r="AR714" s="3"/>
      <c r="AS714" s="3"/>
      <c r="AT714" s="3"/>
      <c r="AU714" s="3"/>
      <c r="AV714" s="3"/>
      <c r="AW714" s="3"/>
      <c r="AX714" s="3"/>
      <c r="AY714" s="3"/>
      <c r="AZ714" s="3"/>
      <c r="BA714" s="3"/>
      <c r="BB714" s="3"/>
      <c r="BC714" s="3"/>
      <c r="BD714" s="3"/>
      <c r="BE714" s="3"/>
      <c r="BF714" s="3"/>
    </row>
    <row r="715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20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  <c r="AG715" s="3"/>
      <c r="AH715" s="3"/>
      <c r="AI715" s="3"/>
      <c r="AJ715" s="3"/>
      <c r="AK715" s="3"/>
      <c r="AL715" s="3"/>
      <c r="AM715" s="3"/>
      <c r="AN715" s="3"/>
      <c r="AO715" s="3"/>
      <c r="AP715" s="3"/>
      <c r="AQ715" s="3"/>
      <c r="AR715" s="3"/>
      <c r="AS715" s="3"/>
      <c r="AT715" s="3"/>
      <c r="AU715" s="3"/>
      <c r="AV715" s="3"/>
      <c r="AW715" s="3"/>
      <c r="AX715" s="3"/>
      <c r="AY715" s="3"/>
      <c r="AZ715" s="3"/>
      <c r="BA715" s="3"/>
      <c r="BB715" s="3"/>
      <c r="BC715" s="3"/>
      <c r="BD715" s="3"/>
      <c r="BE715" s="3"/>
      <c r="BF715" s="3"/>
    </row>
    <row r="71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20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  <c r="AG716" s="3"/>
      <c r="AH716" s="3"/>
      <c r="AI716" s="3"/>
      <c r="AJ716" s="3"/>
      <c r="AK716" s="3"/>
      <c r="AL716" s="3"/>
      <c r="AM716" s="3"/>
      <c r="AN716" s="3"/>
      <c r="AO716" s="3"/>
      <c r="AP716" s="3"/>
      <c r="AQ716" s="3"/>
      <c r="AR716" s="3"/>
      <c r="AS716" s="3"/>
      <c r="AT716" s="3"/>
      <c r="AU716" s="3"/>
      <c r="AV716" s="3"/>
      <c r="AW716" s="3"/>
      <c r="AX716" s="3"/>
      <c r="AY716" s="3"/>
      <c r="AZ716" s="3"/>
      <c r="BA716" s="3"/>
      <c r="BB716" s="3"/>
      <c r="BC716" s="3"/>
      <c r="BD716" s="3"/>
      <c r="BE716" s="3"/>
      <c r="BF716" s="3"/>
    </row>
    <row r="717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20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  <c r="AG717" s="3"/>
      <c r="AH717" s="3"/>
      <c r="AI717" s="3"/>
      <c r="AJ717" s="3"/>
      <c r="AK717" s="3"/>
      <c r="AL717" s="3"/>
      <c r="AM717" s="3"/>
      <c r="AN717" s="3"/>
      <c r="AO717" s="3"/>
      <c r="AP717" s="3"/>
      <c r="AQ717" s="3"/>
      <c r="AR717" s="3"/>
      <c r="AS717" s="3"/>
      <c r="AT717" s="3"/>
      <c r="AU717" s="3"/>
      <c r="AV717" s="3"/>
      <c r="AW717" s="3"/>
      <c r="AX717" s="3"/>
      <c r="AY717" s="3"/>
      <c r="AZ717" s="3"/>
      <c r="BA717" s="3"/>
      <c r="BB717" s="3"/>
      <c r="BC717" s="3"/>
      <c r="BD717" s="3"/>
      <c r="BE717" s="3"/>
      <c r="BF717" s="3"/>
    </row>
    <row r="718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20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  <c r="AG718" s="3"/>
      <c r="AH718" s="3"/>
      <c r="AI718" s="3"/>
      <c r="AJ718" s="3"/>
      <c r="AK718" s="3"/>
      <c r="AL718" s="3"/>
      <c r="AM718" s="3"/>
      <c r="AN718" s="3"/>
      <c r="AO718" s="3"/>
      <c r="AP718" s="3"/>
      <c r="AQ718" s="3"/>
      <c r="AR718" s="3"/>
      <c r="AS718" s="3"/>
      <c r="AT718" s="3"/>
      <c r="AU718" s="3"/>
      <c r="AV718" s="3"/>
      <c r="AW718" s="3"/>
      <c r="AX718" s="3"/>
      <c r="AY718" s="3"/>
      <c r="AZ718" s="3"/>
      <c r="BA718" s="3"/>
      <c r="BB718" s="3"/>
      <c r="BC718" s="3"/>
      <c r="BD718" s="3"/>
      <c r="BE718" s="3"/>
      <c r="BF718" s="3"/>
    </row>
    <row r="719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20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  <c r="AG719" s="3"/>
      <c r="AH719" s="3"/>
      <c r="AI719" s="3"/>
      <c r="AJ719" s="3"/>
      <c r="AK719" s="3"/>
      <c r="AL719" s="3"/>
      <c r="AM719" s="3"/>
      <c r="AN719" s="3"/>
      <c r="AO719" s="3"/>
      <c r="AP719" s="3"/>
      <c r="AQ719" s="3"/>
      <c r="AR719" s="3"/>
      <c r="AS719" s="3"/>
      <c r="AT719" s="3"/>
      <c r="AU719" s="3"/>
      <c r="AV719" s="3"/>
      <c r="AW719" s="3"/>
      <c r="AX719" s="3"/>
      <c r="AY719" s="3"/>
      <c r="AZ719" s="3"/>
      <c r="BA719" s="3"/>
      <c r="BB719" s="3"/>
      <c r="BC719" s="3"/>
      <c r="BD719" s="3"/>
      <c r="BE719" s="3"/>
      <c r="BF719" s="3"/>
    </row>
    <row r="720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20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  <c r="AG720" s="3"/>
      <c r="AH720" s="3"/>
      <c r="AI720" s="3"/>
      <c r="AJ720" s="3"/>
      <c r="AK720" s="3"/>
      <c r="AL720" s="3"/>
      <c r="AM720" s="3"/>
      <c r="AN720" s="3"/>
      <c r="AO720" s="3"/>
      <c r="AP720" s="3"/>
      <c r="AQ720" s="3"/>
      <c r="AR720" s="3"/>
      <c r="AS720" s="3"/>
      <c r="AT720" s="3"/>
      <c r="AU720" s="3"/>
      <c r="AV720" s="3"/>
      <c r="AW720" s="3"/>
      <c r="AX720" s="3"/>
      <c r="AY720" s="3"/>
      <c r="AZ720" s="3"/>
      <c r="BA720" s="3"/>
      <c r="BB720" s="3"/>
      <c r="BC720" s="3"/>
      <c r="BD720" s="3"/>
      <c r="BE720" s="3"/>
      <c r="BF720" s="3"/>
    </row>
    <row r="72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20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  <c r="AG721" s="3"/>
      <c r="AH721" s="3"/>
      <c r="AI721" s="3"/>
      <c r="AJ721" s="3"/>
      <c r="AK721" s="3"/>
      <c r="AL721" s="3"/>
      <c r="AM721" s="3"/>
      <c r="AN721" s="3"/>
      <c r="AO721" s="3"/>
      <c r="AP721" s="3"/>
      <c r="AQ721" s="3"/>
      <c r="AR721" s="3"/>
      <c r="AS721" s="3"/>
      <c r="AT721" s="3"/>
      <c r="AU721" s="3"/>
      <c r="AV721" s="3"/>
      <c r="AW721" s="3"/>
      <c r="AX721" s="3"/>
      <c r="AY721" s="3"/>
      <c r="AZ721" s="3"/>
      <c r="BA721" s="3"/>
      <c r="BB721" s="3"/>
      <c r="BC721" s="3"/>
      <c r="BD721" s="3"/>
      <c r="BE721" s="3"/>
      <c r="BF721" s="3"/>
    </row>
    <row r="722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20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  <c r="AG722" s="3"/>
      <c r="AH722" s="3"/>
      <c r="AI722" s="3"/>
      <c r="AJ722" s="3"/>
      <c r="AK722" s="3"/>
      <c r="AL722" s="3"/>
      <c r="AM722" s="3"/>
      <c r="AN722" s="3"/>
      <c r="AO722" s="3"/>
      <c r="AP722" s="3"/>
      <c r="AQ722" s="3"/>
      <c r="AR722" s="3"/>
      <c r="AS722" s="3"/>
      <c r="AT722" s="3"/>
      <c r="AU722" s="3"/>
      <c r="AV722" s="3"/>
      <c r="AW722" s="3"/>
      <c r="AX722" s="3"/>
      <c r="AY722" s="3"/>
      <c r="AZ722" s="3"/>
      <c r="BA722" s="3"/>
      <c r="BB722" s="3"/>
      <c r="BC722" s="3"/>
      <c r="BD722" s="3"/>
      <c r="BE722" s="3"/>
      <c r="BF722" s="3"/>
    </row>
    <row r="72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20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  <c r="AG723" s="3"/>
      <c r="AH723" s="3"/>
      <c r="AI723" s="3"/>
      <c r="AJ723" s="3"/>
      <c r="AK723" s="3"/>
      <c r="AL723" s="3"/>
      <c r="AM723" s="3"/>
      <c r="AN723" s="3"/>
      <c r="AO723" s="3"/>
      <c r="AP723" s="3"/>
      <c r="AQ723" s="3"/>
      <c r="AR723" s="3"/>
      <c r="AS723" s="3"/>
      <c r="AT723" s="3"/>
      <c r="AU723" s="3"/>
      <c r="AV723" s="3"/>
      <c r="AW723" s="3"/>
      <c r="AX723" s="3"/>
      <c r="AY723" s="3"/>
      <c r="AZ723" s="3"/>
      <c r="BA723" s="3"/>
      <c r="BB723" s="3"/>
      <c r="BC723" s="3"/>
      <c r="BD723" s="3"/>
      <c r="BE723" s="3"/>
      <c r="BF723" s="3"/>
    </row>
    <row r="724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20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  <c r="AG724" s="3"/>
      <c r="AH724" s="3"/>
      <c r="AI724" s="3"/>
      <c r="AJ724" s="3"/>
      <c r="AK724" s="3"/>
      <c r="AL724" s="3"/>
      <c r="AM724" s="3"/>
      <c r="AN724" s="3"/>
      <c r="AO724" s="3"/>
      <c r="AP724" s="3"/>
      <c r="AQ724" s="3"/>
      <c r="AR724" s="3"/>
      <c r="AS724" s="3"/>
      <c r="AT724" s="3"/>
      <c r="AU724" s="3"/>
      <c r="AV724" s="3"/>
      <c r="AW724" s="3"/>
      <c r="AX724" s="3"/>
      <c r="AY724" s="3"/>
      <c r="AZ724" s="3"/>
      <c r="BA724" s="3"/>
      <c r="BB724" s="3"/>
      <c r="BC724" s="3"/>
      <c r="BD724" s="3"/>
      <c r="BE724" s="3"/>
      <c r="BF724" s="3"/>
    </row>
    <row r="725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20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  <c r="AG725" s="3"/>
      <c r="AH725" s="3"/>
      <c r="AI725" s="3"/>
      <c r="AJ725" s="3"/>
      <c r="AK725" s="3"/>
      <c r="AL725" s="3"/>
      <c r="AM725" s="3"/>
      <c r="AN725" s="3"/>
      <c r="AO725" s="3"/>
      <c r="AP725" s="3"/>
      <c r="AQ725" s="3"/>
      <c r="AR725" s="3"/>
      <c r="AS725" s="3"/>
      <c r="AT725" s="3"/>
      <c r="AU725" s="3"/>
      <c r="AV725" s="3"/>
      <c r="AW725" s="3"/>
      <c r="AX725" s="3"/>
      <c r="AY725" s="3"/>
      <c r="AZ725" s="3"/>
      <c r="BA725" s="3"/>
      <c r="BB725" s="3"/>
      <c r="BC725" s="3"/>
      <c r="BD725" s="3"/>
      <c r="BE725" s="3"/>
      <c r="BF725" s="3"/>
    </row>
    <row r="7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20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  <c r="AG726" s="3"/>
      <c r="AH726" s="3"/>
      <c r="AI726" s="3"/>
      <c r="AJ726" s="3"/>
      <c r="AK726" s="3"/>
      <c r="AL726" s="3"/>
      <c r="AM726" s="3"/>
      <c r="AN726" s="3"/>
      <c r="AO726" s="3"/>
      <c r="AP726" s="3"/>
      <c r="AQ726" s="3"/>
      <c r="AR726" s="3"/>
      <c r="AS726" s="3"/>
      <c r="AT726" s="3"/>
      <c r="AU726" s="3"/>
      <c r="AV726" s="3"/>
      <c r="AW726" s="3"/>
      <c r="AX726" s="3"/>
      <c r="AY726" s="3"/>
      <c r="AZ726" s="3"/>
      <c r="BA726" s="3"/>
      <c r="BB726" s="3"/>
      <c r="BC726" s="3"/>
      <c r="BD726" s="3"/>
      <c r="BE726" s="3"/>
      <c r="BF726" s="3"/>
    </row>
    <row r="727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20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  <c r="AG727" s="3"/>
      <c r="AH727" s="3"/>
      <c r="AI727" s="3"/>
      <c r="AJ727" s="3"/>
      <c r="AK727" s="3"/>
      <c r="AL727" s="3"/>
      <c r="AM727" s="3"/>
      <c r="AN727" s="3"/>
      <c r="AO727" s="3"/>
      <c r="AP727" s="3"/>
      <c r="AQ727" s="3"/>
      <c r="AR727" s="3"/>
      <c r="AS727" s="3"/>
      <c r="AT727" s="3"/>
      <c r="AU727" s="3"/>
      <c r="AV727" s="3"/>
      <c r="AW727" s="3"/>
      <c r="AX727" s="3"/>
      <c r="AY727" s="3"/>
      <c r="AZ727" s="3"/>
      <c r="BA727" s="3"/>
      <c r="BB727" s="3"/>
      <c r="BC727" s="3"/>
      <c r="BD727" s="3"/>
      <c r="BE727" s="3"/>
      <c r="BF727" s="3"/>
    </row>
    <row r="728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20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  <c r="AG728" s="3"/>
      <c r="AH728" s="3"/>
      <c r="AI728" s="3"/>
      <c r="AJ728" s="3"/>
      <c r="AK728" s="3"/>
      <c r="AL728" s="3"/>
      <c r="AM728" s="3"/>
      <c r="AN728" s="3"/>
      <c r="AO728" s="3"/>
      <c r="AP728" s="3"/>
      <c r="AQ728" s="3"/>
      <c r="AR728" s="3"/>
      <c r="AS728" s="3"/>
      <c r="AT728" s="3"/>
      <c r="AU728" s="3"/>
      <c r="AV728" s="3"/>
      <c r="AW728" s="3"/>
      <c r="AX728" s="3"/>
      <c r="AY728" s="3"/>
      <c r="AZ728" s="3"/>
      <c r="BA728" s="3"/>
      <c r="BB728" s="3"/>
      <c r="BC728" s="3"/>
      <c r="BD728" s="3"/>
      <c r="BE728" s="3"/>
      <c r="BF728" s="3"/>
    </row>
    <row r="729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20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  <c r="AG729" s="3"/>
      <c r="AH729" s="3"/>
      <c r="AI729" s="3"/>
      <c r="AJ729" s="3"/>
      <c r="AK729" s="3"/>
      <c r="AL729" s="3"/>
      <c r="AM729" s="3"/>
      <c r="AN729" s="3"/>
      <c r="AO729" s="3"/>
      <c r="AP729" s="3"/>
      <c r="AQ729" s="3"/>
      <c r="AR729" s="3"/>
      <c r="AS729" s="3"/>
      <c r="AT729" s="3"/>
      <c r="AU729" s="3"/>
      <c r="AV729" s="3"/>
      <c r="AW729" s="3"/>
      <c r="AX729" s="3"/>
      <c r="AY729" s="3"/>
      <c r="AZ729" s="3"/>
      <c r="BA729" s="3"/>
      <c r="BB729" s="3"/>
      <c r="BC729" s="3"/>
      <c r="BD729" s="3"/>
      <c r="BE729" s="3"/>
      <c r="BF729" s="3"/>
    </row>
    <row r="730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20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  <c r="AG730" s="3"/>
      <c r="AH730" s="3"/>
      <c r="AI730" s="3"/>
      <c r="AJ730" s="3"/>
      <c r="AK730" s="3"/>
      <c r="AL730" s="3"/>
      <c r="AM730" s="3"/>
      <c r="AN730" s="3"/>
      <c r="AO730" s="3"/>
      <c r="AP730" s="3"/>
      <c r="AQ730" s="3"/>
      <c r="AR730" s="3"/>
      <c r="AS730" s="3"/>
      <c r="AT730" s="3"/>
      <c r="AU730" s="3"/>
      <c r="AV730" s="3"/>
      <c r="AW730" s="3"/>
      <c r="AX730" s="3"/>
      <c r="AY730" s="3"/>
      <c r="AZ730" s="3"/>
      <c r="BA730" s="3"/>
      <c r="BB730" s="3"/>
      <c r="BC730" s="3"/>
      <c r="BD730" s="3"/>
      <c r="BE730" s="3"/>
      <c r="BF730" s="3"/>
    </row>
    <row r="73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20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  <c r="AG731" s="3"/>
      <c r="AH731" s="3"/>
      <c r="AI731" s="3"/>
      <c r="AJ731" s="3"/>
      <c r="AK731" s="3"/>
      <c r="AL731" s="3"/>
      <c r="AM731" s="3"/>
      <c r="AN731" s="3"/>
      <c r="AO731" s="3"/>
      <c r="AP731" s="3"/>
      <c r="AQ731" s="3"/>
      <c r="AR731" s="3"/>
      <c r="AS731" s="3"/>
      <c r="AT731" s="3"/>
      <c r="AU731" s="3"/>
      <c r="AV731" s="3"/>
      <c r="AW731" s="3"/>
      <c r="AX731" s="3"/>
      <c r="AY731" s="3"/>
      <c r="AZ731" s="3"/>
      <c r="BA731" s="3"/>
      <c r="BB731" s="3"/>
      <c r="BC731" s="3"/>
      <c r="BD731" s="3"/>
      <c r="BE731" s="3"/>
      <c r="BF731" s="3"/>
    </row>
    <row r="732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20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  <c r="AG732" s="3"/>
      <c r="AH732" s="3"/>
      <c r="AI732" s="3"/>
      <c r="AJ732" s="3"/>
      <c r="AK732" s="3"/>
      <c r="AL732" s="3"/>
      <c r="AM732" s="3"/>
      <c r="AN732" s="3"/>
      <c r="AO732" s="3"/>
      <c r="AP732" s="3"/>
      <c r="AQ732" s="3"/>
      <c r="AR732" s="3"/>
      <c r="AS732" s="3"/>
      <c r="AT732" s="3"/>
      <c r="AU732" s="3"/>
      <c r="AV732" s="3"/>
      <c r="AW732" s="3"/>
      <c r="AX732" s="3"/>
      <c r="AY732" s="3"/>
      <c r="AZ732" s="3"/>
      <c r="BA732" s="3"/>
      <c r="BB732" s="3"/>
      <c r="BC732" s="3"/>
      <c r="BD732" s="3"/>
      <c r="BE732" s="3"/>
      <c r="BF732" s="3"/>
    </row>
    <row r="73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20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  <c r="AG733" s="3"/>
      <c r="AH733" s="3"/>
      <c r="AI733" s="3"/>
      <c r="AJ733" s="3"/>
      <c r="AK733" s="3"/>
      <c r="AL733" s="3"/>
      <c r="AM733" s="3"/>
      <c r="AN733" s="3"/>
      <c r="AO733" s="3"/>
      <c r="AP733" s="3"/>
      <c r="AQ733" s="3"/>
      <c r="AR733" s="3"/>
      <c r="AS733" s="3"/>
      <c r="AT733" s="3"/>
      <c r="AU733" s="3"/>
      <c r="AV733" s="3"/>
      <c r="AW733" s="3"/>
      <c r="AX733" s="3"/>
      <c r="AY733" s="3"/>
      <c r="AZ733" s="3"/>
      <c r="BA733" s="3"/>
      <c r="BB733" s="3"/>
      <c r="BC733" s="3"/>
      <c r="BD733" s="3"/>
      <c r="BE733" s="3"/>
      <c r="BF733" s="3"/>
    </row>
    <row r="734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20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  <c r="AG734" s="3"/>
      <c r="AH734" s="3"/>
      <c r="AI734" s="3"/>
      <c r="AJ734" s="3"/>
      <c r="AK734" s="3"/>
      <c r="AL734" s="3"/>
      <c r="AM734" s="3"/>
      <c r="AN734" s="3"/>
      <c r="AO734" s="3"/>
      <c r="AP734" s="3"/>
      <c r="AQ734" s="3"/>
      <c r="AR734" s="3"/>
      <c r="AS734" s="3"/>
      <c r="AT734" s="3"/>
      <c r="AU734" s="3"/>
      <c r="AV734" s="3"/>
      <c r="AW734" s="3"/>
      <c r="AX734" s="3"/>
      <c r="AY734" s="3"/>
      <c r="AZ734" s="3"/>
      <c r="BA734" s="3"/>
      <c r="BB734" s="3"/>
      <c r="BC734" s="3"/>
      <c r="BD734" s="3"/>
      <c r="BE734" s="3"/>
      <c r="BF734" s="3"/>
    </row>
    <row r="735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20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  <c r="AG735" s="3"/>
      <c r="AH735" s="3"/>
      <c r="AI735" s="3"/>
      <c r="AJ735" s="3"/>
      <c r="AK735" s="3"/>
      <c r="AL735" s="3"/>
      <c r="AM735" s="3"/>
      <c r="AN735" s="3"/>
      <c r="AO735" s="3"/>
      <c r="AP735" s="3"/>
      <c r="AQ735" s="3"/>
      <c r="AR735" s="3"/>
      <c r="AS735" s="3"/>
      <c r="AT735" s="3"/>
      <c r="AU735" s="3"/>
      <c r="AV735" s="3"/>
      <c r="AW735" s="3"/>
      <c r="AX735" s="3"/>
      <c r="AY735" s="3"/>
      <c r="AZ735" s="3"/>
      <c r="BA735" s="3"/>
      <c r="BB735" s="3"/>
      <c r="BC735" s="3"/>
      <c r="BD735" s="3"/>
      <c r="BE735" s="3"/>
      <c r="BF735" s="3"/>
    </row>
    <row r="73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20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  <c r="AG736" s="3"/>
      <c r="AH736" s="3"/>
      <c r="AI736" s="3"/>
      <c r="AJ736" s="3"/>
      <c r="AK736" s="3"/>
      <c r="AL736" s="3"/>
      <c r="AM736" s="3"/>
      <c r="AN736" s="3"/>
      <c r="AO736" s="3"/>
      <c r="AP736" s="3"/>
      <c r="AQ736" s="3"/>
      <c r="AR736" s="3"/>
      <c r="AS736" s="3"/>
      <c r="AT736" s="3"/>
      <c r="AU736" s="3"/>
      <c r="AV736" s="3"/>
      <c r="AW736" s="3"/>
      <c r="AX736" s="3"/>
      <c r="AY736" s="3"/>
      <c r="AZ736" s="3"/>
      <c r="BA736" s="3"/>
      <c r="BB736" s="3"/>
      <c r="BC736" s="3"/>
      <c r="BD736" s="3"/>
      <c r="BE736" s="3"/>
      <c r="BF736" s="3"/>
    </row>
    <row r="737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20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  <c r="AG737" s="3"/>
      <c r="AH737" s="3"/>
      <c r="AI737" s="3"/>
      <c r="AJ737" s="3"/>
      <c r="AK737" s="3"/>
      <c r="AL737" s="3"/>
      <c r="AM737" s="3"/>
      <c r="AN737" s="3"/>
      <c r="AO737" s="3"/>
      <c r="AP737" s="3"/>
      <c r="AQ737" s="3"/>
      <c r="AR737" s="3"/>
      <c r="AS737" s="3"/>
      <c r="AT737" s="3"/>
      <c r="AU737" s="3"/>
      <c r="AV737" s="3"/>
      <c r="AW737" s="3"/>
      <c r="AX737" s="3"/>
      <c r="AY737" s="3"/>
      <c r="AZ737" s="3"/>
      <c r="BA737" s="3"/>
      <c r="BB737" s="3"/>
      <c r="BC737" s="3"/>
      <c r="BD737" s="3"/>
      <c r="BE737" s="3"/>
      <c r="BF737" s="3"/>
    </row>
    <row r="738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20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  <c r="AG738" s="3"/>
      <c r="AH738" s="3"/>
      <c r="AI738" s="3"/>
      <c r="AJ738" s="3"/>
      <c r="AK738" s="3"/>
      <c r="AL738" s="3"/>
      <c r="AM738" s="3"/>
      <c r="AN738" s="3"/>
      <c r="AO738" s="3"/>
      <c r="AP738" s="3"/>
      <c r="AQ738" s="3"/>
      <c r="AR738" s="3"/>
      <c r="AS738" s="3"/>
      <c r="AT738" s="3"/>
      <c r="AU738" s="3"/>
      <c r="AV738" s="3"/>
      <c r="AW738" s="3"/>
      <c r="AX738" s="3"/>
      <c r="AY738" s="3"/>
      <c r="AZ738" s="3"/>
      <c r="BA738" s="3"/>
      <c r="BB738" s="3"/>
      <c r="BC738" s="3"/>
      <c r="BD738" s="3"/>
      <c r="BE738" s="3"/>
      <c r="BF738" s="3"/>
    </row>
    <row r="739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20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  <c r="AG739" s="3"/>
      <c r="AH739" s="3"/>
      <c r="AI739" s="3"/>
      <c r="AJ739" s="3"/>
      <c r="AK739" s="3"/>
      <c r="AL739" s="3"/>
      <c r="AM739" s="3"/>
      <c r="AN739" s="3"/>
      <c r="AO739" s="3"/>
      <c r="AP739" s="3"/>
      <c r="AQ739" s="3"/>
      <c r="AR739" s="3"/>
      <c r="AS739" s="3"/>
      <c r="AT739" s="3"/>
      <c r="AU739" s="3"/>
      <c r="AV739" s="3"/>
      <c r="AW739" s="3"/>
      <c r="AX739" s="3"/>
      <c r="AY739" s="3"/>
      <c r="AZ739" s="3"/>
      <c r="BA739" s="3"/>
      <c r="BB739" s="3"/>
      <c r="BC739" s="3"/>
      <c r="BD739" s="3"/>
      <c r="BE739" s="3"/>
      <c r="BF739" s="3"/>
    </row>
    <row r="740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20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  <c r="AG740" s="3"/>
      <c r="AH740" s="3"/>
      <c r="AI740" s="3"/>
      <c r="AJ740" s="3"/>
      <c r="AK740" s="3"/>
      <c r="AL740" s="3"/>
      <c r="AM740" s="3"/>
      <c r="AN740" s="3"/>
      <c r="AO740" s="3"/>
      <c r="AP740" s="3"/>
      <c r="AQ740" s="3"/>
      <c r="AR740" s="3"/>
      <c r="AS740" s="3"/>
      <c r="AT740" s="3"/>
      <c r="AU740" s="3"/>
      <c r="AV740" s="3"/>
      <c r="AW740" s="3"/>
      <c r="AX740" s="3"/>
      <c r="AY740" s="3"/>
      <c r="AZ740" s="3"/>
      <c r="BA740" s="3"/>
      <c r="BB740" s="3"/>
      <c r="BC740" s="3"/>
      <c r="BD740" s="3"/>
      <c r="BE740" s="3"/>
      <c r="BF740" s="3"/>
    </row>
    <row r="74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20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  <c r="AG741" s="3"/>
      <c r="AH741" s="3"/>
      <c r="AI741" s="3"/>
      <c r="AJ741" s="3"/>
      <c r="AK741" s="3"/>
      <c r="AL741" s="3"/>
      <c r="AM741" s="3"/>
      <c r="AN741" s="3"/>
      <c r="AO741" s="3"/>
      <c r="AP741" s="3"/>
      <c r="AQ741" s="3"/>
      <c r="AR741" s="3"/>
      <c r="AS741" s="3"/>
      <c r="AT741" s="3"/>
      <c r="AU741" s="3"/>
      <c r="AV741" s="3"/>
      <c r="AW741" s="3"/>
      <c r="AX741" s="3"/>
      <c r="AY741" s="3"/>
      <c r="AZ741" s="3"/>
      <c r="BA741" s="3"/>
      <c r="BB741" s="3"/>
      <c r="BC741" s="3"/>
      <c r="BD741" s="3"/>
      <c r="BE741" s="3"/>
      <c r="BF741" s="3"/>
    </row>
    <row r="742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20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  <c r="AG742" s="3"/>
      <c r="AH742" s="3"/>
      <c r="AI742" s="3"/>
      <c r="AJ742" s="3"/>
      <c r="AK742" s="3"/>
      <c r="AL742" s="3"/>
      <c r="AM742" s="3"/>
      <c r="AN742" s="3"/>
      <c r="AO742" s="3"/>
      <c r="AP742" s="3"/>
      <c r="AQ742" s="3"/>
      <c r="AR742" s="3"/>
      <c r="AS742" s="3"/>
      <c r="AT742" s="3"/>
      <c r="AU742" s="3"/>
      <c r="AV742" s="3"/>
      <c r="AW742" s="3"/>
      <c r="AX742" s="3"/>
      <c r="AY742" s="3"/>
      <c r="AZ742" s="3"/>
      <c r="BA742" s="3"/>
      <c r="BB742" s="3"/>
      <c r="BC742" s="3"/>
      <c r="BD742" s="3"/>
      <c r="BE742" s="3"/>
      <c r="BF742" s="3"/>
    </row>
    <row r="74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20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  <c r="AG743" s="3"/>
      <c r="AH743" s="3"/>
      <c r="AI743" s="3"/>
      <c r="AJ743" s="3"/>
      <c r="AK743" s="3"/>
      <c r="AL743" s="3"/>
      <c r="AM743" s="3"/>
      <c r="AN743" s="3"/>
      <c r="AO743" s="3"/>
      <c r="AP743" s="3"/>
      <c r="AQ743" s="3"/>
      <c r="AR743" s="3"/>
      <c r="AS743" s="3"/>
      <c r="AT743" s="3"/>
      <c r="AU743" s="3"/>
      <c r="AV743" s="3"/>
      <c r="AW743" s="3"/>
      <c r="AX743" s="3"/>
      <c r="AY743" s="3"/>
      <c r="AZ743" s="3"/>
      <c r="BA743" s="3"/>
      <c r="BB743" s="3"/>
      <c r="BC743" s="3"/>
      <c r="BD743" s="3"/>
      <c r="BE743" s="3"/>
      <c r="BF743" s="3"/>
    </row>
    <row r="744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20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  <c r="AG744" s="3"/>
      <c r="AH744" s="3"/>
      <c r="AI744" s="3"/>
      <c r="AJ744" s="3"/>
      <c r="AK744" s="3"/>
      <c r="AL744" s="3"/>
      <c r="AM744" s="3"/>
      <c r="AN744" s="3"/>
      <c r="AO744" s="3"/>
      <c r="AP744" s="3"/>
      <c r="AQ744" s="3"/>
      <c r="AR744" s="3"/>
      <c r="AS744" s="3"/>
      <c r="AT744" s="3"/>
      <c r="AU744" s="3"/>
      <c r="AV744" s="3"/>
      <c r="AW744" s="3"/>
      <c r="AX744" s="3"/>
      <c r="AY744" s="3"/>
      <c r="AZ744" s="3"/>
      <c r="BA744" s="3"/>
      <c r="BB744" s="3"/>
      <c r="BC744" s="3"/>
      <c r="BD744" s="3"/>
      <c r="BE744" s="3"/>
      <c r="BF744" s="3"/>
    </row>
    <row r="745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20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  <c r="AG745" s="3"/>
      <c r="AH745" s="3"/>
      <c r="AI745" s="3"/>
      <c r="AJ745" s="3"/>
      <c r="AK745" s="3"/>
      <c r="AL745" s="3"/>
      <c r="AM745" s="3"/>
      <c r="AN745" s="3"/>
      <c r="AO745" s="3"/>
      <c r="AP745" s="3"/>
      <c r="AQ745" s="3"/>
      <c r="AR745" s="3"/>
      <c r="AS745" s="3"/>
      <c r="AT745" s="3"/>
      <c r="AU745" s="3"/>
      <c r="AV745" s="3"/>
      <c r="AW745" s="3"/>
      <c r="AX745" s="3"/>
      <c r="AY745" s="3"/>
      <c r="AZ745" s="3"/>
      <c r="BA745" s="3"/>
      <c r="BB745" s="3"/>
      <c r="BC745" s="3"/>
      <c r="BD745" s="3"/>
      <c r="BE745" s="3"/>
      <c r="BF745" s="3"/>
    </row>
    <row r="74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20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  <c r="AG746" s="3"/>
      <c r="AH746" s="3"/>
      <c r="AI746" s="3"/>
      <c r="AJ746" s="3"/>
      <c r="AK746" s="3"/>
      <c r="AL746" s="3"/>
      <c r="AM746" s="3"/>
      <c r="AN746" s="3"/>
      <c r="AO746" s="3"/>
      <c r="AP746" s="3"/>
      <c r="AQ746" s="3"/>
      <c r="AR746" s="3"/>
      <c r="AS746" s="3"/>
      <c r="AT746" s="3"/>
      <c r="AU746" s="3"/>
      <c r="AV746" s="3"/>
      <c r="AW746" s="3"/>
      <c r="AX746" s="3"/>
      <c r="AY746" s="3"/>
      <c r="AZ746" s="3"/>
      <c r="BA746" s="3"/>
      <c r="BB746" s="3"/>
      <c r="BC746" s="3"/>
      <c r="BD746" s="3"/>
      <c r="BE746" s="3"/>
      <c r="BF746" s="3"/>
    </row>
    <row r="747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20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  <c r="AG747" s="3"/>
      <c r="AH747" s="3"/>
      <c r="AI747" s="3"/>
      <c r="AJ747" s="3"/>
      <c r="AK747" s="3"/>
      <c r="AL747" s="3"/>
      <c r="AM747" s="3"/>
      <c r="AN747" s="3"/>
      <c r="AO747" s="3"/>
      <c r="AP747" s="3"/>
      <c r="AQ747" s="3"/>
      <c r="AR747" s="3"/>
      <c r="AS747" s="3"/>
      <c r="AT747" s="3"/>
      <c r="AU747" s="3"/>
      <c r="AV747" s="3"/>
      <c r="AW747" s="3"/>
      <c r="AX747" s="3"/>
      <c r="AY747" s="3"/>
      <c r="AZ747" s="3"/>
      <c r="BA747" s="3"/>
      <c r="BB747" s="3"/>
      <c r="BC747" s="3"/>
      <c r="BD747" s="3"/>
      <c r="BE747" s="3"/>
      <c r="BF747" s="3"/>
    </row>
    <row r="748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20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  <c r="AG748" s="3"/>
      <c r="AH748" s="3"/>
      <c r="AI748" s="3"/>
      <c r="AJ748" s="3"/>
      <c r="AK748" s="3"/>
      <c r="AL748" s="3"/>
      <c r="AM748" s="3"/>
      <c r="AN748" s="3"/>
      <c r="AO748" s="3"/>
      <c r="AP748" s="3"/>
      <c r="AQ748" s="3"/>
      <c r="AR748" s="3"/>
      <c r="AS748" s="3"/>
      <c r="AT748" s="3"/>
      <c r="AU748" s="3"/>
      <c r="AV748" s="3"/>
      <c r="AW748" s="3"/>
      <c r="AX748" s="3"/>
      <c r="AY748" s="3"/>
      <c r="AZ748" s="3"/>
      <c r="BA748" s="3"/>
      <c r="BB748" s="3"/>
      <c r="BC748" s="3"/>
      <c r="BD748" s="3"/>
      <c r="BE748" s="3"/>
      <c r="BF748" s="3"/>
    </row>
    <row r="749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20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  <c r="AG749" s="3"/>
      <c r="AH749" s="3"/>
      <c r="AI749" s="3"/>
      <c r="AJ749" s="3"/>
      <c r="AK749" s="3"/>
      <c r="AL749" s="3"/>
      <c r="AM749" s="3"/>
      <c r="AN749" s="3"/>
      <c r="AO749" s="3"/>
      <c r="AP749" s="3"/>
      <c r="AQ749" s="3"/>
      <c r="AR749" s="3"/>
      <c r="AS749" s="3"/>
      <c r="AT749" s="3"/>
      <c r="AU749" s="3"/>
      <c r="AV749" s="3"/>
      <c r="AW749" s="3"/>
      <c r="AX749" s="3"/>
      <c r="AY749" s="3"/>
      <c r="AZ749" s="3"/>
      <c r="BA749" s="3"/>
      <c r="BB749" s="3"/>
      <c r="BC749" s="3"/>
      <c r="BD749" s="3"/>
      <c r="BE749" s="3"/>
      <c r="BF749" s="3"/>
    </row>
    <row r="750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20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  <c r="AG750" s="3"/>
      <c r="AH750" s="3"/>
      <c r="AI750" s="3"/>
      <c r="AJ750" s="3"/>
      <c r="AK750" s="3"/>
      <c r="AL750" s="3"/>
      <c r="AM750" s="3"/>
      <c r="AN750" s="3"/>
      <c r="AO750" s="3"/>
      <c r="AP750" s="3"/>
      <c r="AQ750" s="3"/>
      <c r="AR750" s="3"/>
      <c r="AS750" s="3"/>
      <c r="AT750" s="3"/>
      <c r="AU750" s="3"/>
      <c r="AV750" s="3"/>
      <c r="AW750" s="3"/>
      <c r="AX750" s="3"/>
      <c r="AY750" s="3"/>
      <c r="AZ750" s="3"/>
      <c r="BA750" s="3"/>
      <c r="BB750" s="3"/>
      <c r="BC750" s="3"/>
      <c r="BD750" s="3"/>
      <c r="BE750" s="3"/>
      <c r="BF750" s="3"/>
    </row>
    <row r="75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20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  <c r="AG751" s="3"/>
      <c r="AH751" s="3"/>
      <c r="AI751" s="3"/>
      <c r="AJ751" s="3"/>
      <c r="AK751" s="3"/>
      <c r="AL751" s="3"/>
      <c r="AM751" s="3"/>
      <c r="AN751" s="3"/>
      <c r="AO751" s="3"/>
      <c r="AP751" s="3"/>
      <c r="AQ751" s="3"/>
      <c r="AR751" s="3"/>
      <c r="AS751" s="3"/>
      <c r="AT751" s="3"/>
      <c r="AU751" s="3"/>
      <c r="AV751" s="3"/>
      <c r="AW751" s="3"/>
      <c r="AX751" s="3"/>
      <c r="AY751" s="3"/>
      <c r="AZ751" s="3"/>
      <c r="BA751" s="3"/>
      <c r="BB751" s="3"/>
      <c r="BC751" s="3"/>
      <c r="BD751" s="3"/>
      <c r="BE751" s="3"/>
      <c r="BF751" s="3"/>
    </row>
    <row r="752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20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  <c r="AG752" s="3"/>
      <c r="AH752" s="3"/>
      <c r="AI752" s="3"/>
      <c r="AJ752" s="3"/>
      <c r="AK752" s="3"/>
      <c r="AL752" s="3"/>
      <c r="AM752" s="3"/>
      <c r="AN752" s="3"/>
      <c r="AO752" s="3"/>
      <c r="AP752" s="3"/>
      <c r="AQ752" s="3"/>
      <c r="AR752" s="3"/>
      <c r="AS752" s="3"/>
      <c r="AT752" s="3"/>
      <c r="AU752" s="3"/>
      <c r="AV752" s="3"/>
      <c r="AW752" s="3"/>
      <c r="AX752" s="3"/>
      <c r="AY752" s="3"/>
      <c r="AZ752" s="3"/>
      <c r="BA752" s="3"/>
      <c r="BB752" s="3"/>
      <c r="BC752" s="3"/>
      <c r="BD752" s="3"/>
      <c r="BE752" s="3"/>
      <c r="BF752" s="3"/>
    </row>
    <row r="75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20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  <c r="AG753" s="3"/>
      <c r="AH753" s="3"/>
      <c r="AI753" s="3"/>
      <c r="AJ753" s="3"/>
      <c r="AK753" s="3"/>
      <c r="AL753" s="3"/>
      <c r="AM753" s="3"/>
      <c r="AN753" s="3"/>
      <c r="AO753" s="3"/>
      <c r="AP753" s="3"/>
      <c r="AQ753" s="3"/>
      <c r="AR753" s="3"/>
      <c r="AS753" s="3"/>
      <c r="AT753" s="3"/>
      <c r="AU753" s="3"/>
      <c r="AV753" s="3"/>
      <c r="AW753" s="3"/>
      <c r="AX753" s="3"/>
      <c r="AY753" s="3"/>
      <c r="AZ753" s="3"/>
      <c r="BA753" s="3"/>
      <c r="BB753" s="3"/>
      <c r="BC753" s="3"/>
      <c r="BD753" s="3"/>
      <c r="BE753" s="3"/>
      <c r="BF753" s="3"/>
    </row>
    <row r="754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20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  <c r="AG754" s="3"/>
      <c r="AH754" s="3"/>
      <c r="AI754" s="3"/>
      <c r="AJ754" s="3"/>
      <c r="AK754" s="3"/>
      <c r="AL754" s="3"/>
      <c r="AM754" s="3"/>
      <c r="AN754" s="3"/>
      <c r="AO754" s="3"/>
      <c r="AP754" s="3"/>
      <c r="AQ754" s="3"/>
      <c r="AR754" s="3"/>
      <c r="AS754" s="3"/>
      <c r="AT754" s="3"/>
      <c r="AU754" s="3"/>
      <c r="AV754" s="3"/>
      <c r="AW754" s="3"/>
      <c r="AX754" s="3"/>
      <c r="AY754" s="3"/>
      <c r="AZ754" s="3"/>
      <c r="BA754" s="3"/>
      <c r="BB754" s="3"/>
      <c r="BC754" s="3"/>
      <c r="BD754" s="3"/>
      <c r="BE754" s="3"/>
      <c r="BF754" s="3"/>
    </row>
    <row r="755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20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  <c r="AG755" s="3"/>
      <c r="AH755" s="3"/>
      <c r="AI755" s="3"/>
      <c r="AJ755" s="3"/>
      <c r="AK755" s="3"/>
      <c r="AL755" s="3"/>
      <c r="AM755" s="3"/>
      <c r="AN755" s="3"/>
      <c r="AO755" s="3"/>
      <c r="AP755" s="3"/>
      <c r="AQ755" s="3"/>
      <c r="AR755" s="3"/>
      <c r="AS755" s="3"/>
      <c r="AT755" s="3"/>
      <c r="AU755" s="3"/>
      <c r="AV755" s="3"/>
      <c r="AW755" s="3"/>
      <c r="AX755" s="3"/>
      <c r="AY755" s="3"/>
      <c r="AZ755" s="3"/>
      <c r="BA755" s="3"/>
      <c r="BB755" s="3"/>
      <c r="BC755" s="3"/>
      <c r="BD755" s="3"/>
      <c r="BE755" s="3"/>
      <c r="BF755" s="3"/>
    </row>
    <row r="75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20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  <c r="AG756" s="3"/>
      <c r="AH756" s="3"/>
      <c r="AI756" s="3"/>
      <c r="AJ756" s="3"/>
      <c r="AK756" s="3"/>
      <c r="AL756" s="3"/>
      <c r="AM756" s="3"/>
      <c r="AN756" s="3"/>
      <c r="AO756" s="3"/>
      <c r="AP756" s="3"/>
      <c r="AQ756" s="3"/>
      <c r="AR756" s="3"/>
      <c r="AS756" s="3"/>
      <c r="AT756" s="3"/>
      <c r="AU756" s="3"/>
      <c r="AV756" s="3"/>
      <c r="AW756" s="3"/>
      <c r="AX756" s="3"/>
      <c r="AY756" s="3"/>
      <c r="AZ756" s="3"/>
      <c r="BA756" s="3"/>
      <c r="BB756" s="3"/>
      <c r="BC756" s="3"/>
      <c r="BD756" s="3"/>
      <c r="BE756" s="3"/>
      <c r="BF756" s="3"/>
    </row>
    <row r="757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20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  <c r="AG757" s="3"/>
      <c r="AH757" s="3"/>
      <c r="AI757" s="3"/>
      <c r="AJ757" s="3"/>
      <c r="AK757" s="3"/>
      <c r="AL757" s="3"/>
      <c r="AM757" s="3"/>
      <c r="AN757" s="3"/>
      <c r="AO757" s="3"/>
      <c r="AP757" s="3"/>
      <c r="AQ757" s="3"/>
      <c r="AR757" s="3"/>
      <c r="AS757" s="3"/>
      <c r="AT757" s="3"/>
      <c r="AU757" s="3"/>
      <c r="AV757" s="3"/>
      <c r="AW757" s="3"/>
      <c r="AX757" s="3"/>
      <c r="AY757" s="3"/>
      <c r="AZ757" s="3"/>
      <c r="BA757" s="3"/>
      <c r="BB757" s="3"/>
      <c r="BC757" s="3"/>
      <c r="BD757" s="3"/>
      <c r="BE757" s="3"/>
      <c r="BF757" s="3"/>
    </row>
    <row r="758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20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  <c r="AG758" s="3"/>
      <c r="AH758" s="3"/>
      <c r="AI758" s="3"/>
      <c r="AJ758" s="3"/>
      <c r="AK758" s="3"/>
      <c r="AL758" s="3"/>
      <c r="AM758" s="3"/>
      <c r="AN758" s="3"/>
      <c r="AO758" s="3"/>
      <c r="AP758" s="3"/>
      <c r="AQ758" s="3"/>
      <c r="AR758" s="3"/>
      <c r="AS758" s="3"/>
      <c r="AT758" s="3"/>
      <c r="AU758" s="3"/>
      <c r="AV758" s="3"/>
      <c r="AW758" s="3"/>
      <c r="AX758" s="3"/>
      <c r="AY758" s="3"/>
      <c r="AZ758" s="3"/>
      <c r="BA758" s="3"/>
      <c r="BB758" s="3"/>
      <c r="BC758" s="3"/>
      <c r="BD758" s="3"/>
      <c r="BE758" s="3"/>
      <c r="BF758" s="3"/>
    </row>
    <row r="759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20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  <c r="AG759" s="3"/>
      <c r="AH759" s="3"/>
      <c r="AI759" s="3"/>
      <c r="AJ759" s="3"/>
      <c r="AK759" s="3"/>
      <c r="AL759" s="3"/>
      <c r="AM759" s="3"/>
      <c r="AN759" s="3"/>
      <c r="AO759" s="3"/>
      <c r="AP759" s="3"/>
      <c r="AQ759" s="3"/>
      <c r="AR759" s="3"/>
      <c r="AS759" s="3"/>
      <c r="AT759" s="3"/>
      <c r="AU759" s="3"/>
      <c r="AV759" s="3"/>
      <c r="AW759" s="3"/>
      <c r="AX759" s="3"/>
      <c r="AY759" s="3"/>
      <c r="AZ759" s="3"/>
      <c r="BA759" s="3"/>
      <c r="BB759" s="3"/>
      <c r="BC759" s="3"/>
      <c r="BD759" s="3"/>
      <c r="BE759" s="3"/>
      <c r="BF759" s="3"/>
    </row>
    <row r="760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20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  <c r="AG760" s="3"/>
      <c r="AH760" s="3"/>
      <c r="AI760" s="3"/>
      <c r="AJ760" s="3"/>
      <c r="AK760" s="3"/>
      <c r="AL760" s="3"/>
      <c r="AM760" s="3"/>
      <c r="AN760" s="3"/>
      <c r="AO760" s="3"/>
      <c r="AP760" s="3"/>
      <c r="AQ760" s="3"/>
      <c r="AR760" s="3"/>
      <c r="AS760" s="3"/>
      <c r="AT760" s="3"/>
      <c r="AU760" s="3"/>
      <c r="AV760" s="3"/>
      <c r="AW760" s="3"/>
      <c r="AX760" s="3"/>
      <c r="AY760" s="3"/>
      <c r="AZ760" s="3"/>
      <c r="BA760" s="3"/>
      <c r="BB760" s="3"/>
      <c r="BC760" s="3"/>
      <c r="BD760" s="3"/>
      <c r="BE760" s="3"/>
      <c r="BF760" s="3"/>
    </row>
    <row r="76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20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  <c r="AG761" s="3"/>
      <c r="AH761" s="3"/>
      <c r="AI761" s="3"/>
      <c r="AJ761" s="3"/>
      <c r="AK761" s="3"/>
      <c r="AL761" s="3"/>
      <c r="AM761" s="3"/>
      <c r="AN761" s="3"/>
      <c r="AO761" s="3"/>
      <c r="AP761" s="3"/>
      <c r="AQ761" s="3"/>
      <c r="AR761" s="3"/>
      <c r="AS761" s="3"/>
      <c r="AT761" s="3"/>
      <c r="AU761" s="3"/>
      <c r="AV761" s="3"/>
      <c r="AW761" s="3"/>
      <c r="AX761" s="3"/>
      <c r="AY761" s="3"/>
      <c r="AZ761" s="3"/>
      <c r="BA761" s="3"/>
      <c r="BB761" s="3"/>
      <c r="BC761" s="3"/>
      <c r="BD761" s="3"/>
      <c r="BE761" s="3"/>
      <c r="BF761" s="3"/>
    </row>
    <row r="762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20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  <c r="AG762" s="3"/>
      <c r="AH762" s="3"/>
      <c r="AI762" s="3"/>
      <c r="AJ762" s="3"/>
      <c r="AK762" s="3"/>
      <c r="AL762" s="3"/>
      <c r="AM762" s="3"/>
      <c r="AN762" s="3"/>
      <c r="AO762" s="3"/>
      <c r="AP762" s="3"/>
      <c r="AQ762" s="3"/>
      <c r="AR762" s="3"/>
      <c r="AS762" s="3"/>
      <c r="AT762" s="3"/>
      <c r="AU762" s="3"/>
      <c r="AV762" s="3"/>
      <c r="AW762" s="3"/>
      <c r="AX762" s="3"/>
      <c r="AY762" s="3"/>
      <c r="AZ762" s="3"/>
      <c r="BA762" s="3"/>
      <c r="BB762" s="3"/>
      <c r="BC762" s="3"/>
      <c r="BD762" s="3"/>
      <c r="BE762" s="3"/>
      <c r="BF762" s="3"/>
    </row>
    <row r="76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20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  <c r="AG763" s="3"/>
      <c r="AH763" s="3"/>
      <c r="AI763" s="3"/>
      <c r="AJ763" s="3"/>
      <c r="AK763" s="3"/>
      <c r="AL763" s="3"/>
      <c r="AM763" s="3"/>
      <c r="AN763" s="3"/>
      <c r="AO763" s="3"/>
      <c r="AP763" s="3"/>
      <c r="AQ763" s="3"/>
      <c r="AR763" s="3"/>
      <c r="AS763" s="3"/>
      <c r="AT763" s="3"/>
      <c r="AU763" s="3"/>
      <c r="AV763" s="3"/>
      <c r="AW763" s="3"/>
      <c r="AX763" s="3"/>
      <c r="AY763" s="3"/>
      <c r="AZ763" s="3"/>
      <c r="BA763" s="3"/>
      <c r="BB763" s="3"/>
      <c r="BC763" s="3"/>
      <c r="BD763" s="3"/>
      <c r="BE763" s="3"/>
      <c r="BF763" s="3"/>
    </row>
    <row r="764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20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  <c r="AG764" s="3"/>
      <c r="AH764" s="3"/>
      <c r="AI764" s="3"/>
      <c r="AJ764" s="3"/>
      <c r="AK764" s="3"/>
      <c r="AL764" s="3"/>
      <c r="AM764" s="3"/>
      <c r="AN764" s="3"/>
      <c r="AO764" s="3"/>
      <c r="AP764" s="3"/>
      <c r="AQ764" s="3"/>
      <c r="AR764" s="3"/>
      <c r="AS764" s="3"/>
      <c r="AT764" s="3"/>
      <c r="AU764" s="3"/>
      <c r="AV764" s="3"/>
      <c r="AW764" s="3"/>
      <c r="AX764" s="3"/>
      <c r="AY764" s="3"/>
      <c r="AZ764" s="3"/>
      <c r="BA764" s="3"/>
      <c r="BB764" s="3"/>
      <c r="BC764" s="3"/>
      <c r="BD764" s="3"/>
      <c r="BE764" s="3"/>
      <c r="BF764" s="3"/>
    </row>
    <row r="765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20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  <c r="AG765" s="3"/>
      <c r="AH765" s="3"/>
      <c r="AI765" s="3"/>
      <c r="AJ765" s="3"/>
      <c r="AK765" s="3"/>
      <c r="AL765" s="3"/>
      <c r="AM765" s="3"/>
      <c r="AN765" s="3"/>
      <c r="AO765" s="3"/>
      <c r="AP765" s="3"/>
      <c r="AQ765" s="3"/>
      <c r="AR765" s="3"/>
      <c r="AS765" s="3"/>
      <c r="AT765" s="3"/>
      <c r="AU765" s="3"/>
      <c r="AV765" s="3"/>
      <c r="AW765" s="3"/>
      <c r="AX765" s="3"/>
      <c r="AY765" s="3"/>
      <c r="AZ765" s="3"/>
      <c r="BA765" s="3"/>
      <c r="BB765" s="3"/>
      <c r="BC765" s="3"/>
      <c r="BD765" s="3"/>
      <c r="BE765" s="3"/>
      <c r="BF765" s="3"/>
    </row>
    <row r="76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20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  <c r="AG766" s="3"/>
      <c r="AH766" s="3"/>
      <c r="AI766" s="3"/>
      <c r="AJ766" s="3"/>
      <c r="AK766" s="3"/>
      <c r="AL766" s="3"/>
      <c r="AM766" s="3"/>
      <c r="AN766" s="3"/>
      <c r="AO766" s="3"/>
      <c r="AP766" s="3"/>
      <c r="AQ766" s="3"/>
      <c r="AR766" s="3"/>
      <c r="AS766" s="3"/>
      <c r="AT766" s="3"/>
      <c r="AU766" s="3"/>
      <c r="AV766" s="3"/>
      <c r="AW766" s="3"/>
      <c r="AX766" s="3"/>
      <c r="AY766" s="3"/>
      <c r="AZ766" s="3"/>
      <c r="BA766" s="3"/>
      <c r="BB766" s="3"/>
      <c r="BC766" s="3"/>
      <c r="BD766" s="3"/>
      <c r="BE766" s="3"/>
      <c r="BF766" s="3"/>
    </row>
    <row r="767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20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  <c r="AG767" s="3"/>
      <c r="AH767" s="3"/>
      <c r="AI767" s="3"/>
      <c r="AJ767" s="3"/>
      <c r="AK767" s="3"/>
      <c r="AL767" s="3"/>
      <c r="AM767" s="3"/>
      <c r="AN767" s="3"/>
      <c r="AO767" s="3"/>
      <c r="AP767" s="3"/>
      <c r="AQ767" s="3"/>
      <c r="AR767" s="3"/>
      <c r="AS767" s="3"/>
      <c r="AT767" s="3"/>
      <c r="AU767" s="3"/>
      <c r="AV767" s="3"/>
      <c r="AW767" s="3"/>
      <c r="AX767" s="3"/>
      <c r="AY767" s="3"/>
      <c r="AZ767" s="3"/>
      <c r="BA767" s="3"/>
      <c r="BB767" s="3"/>
      <c r="BC767" s="3"/>
      <c r="BD767" s="3"/>
      <c r="BE767" s="3"/>
      <c r="BF767" s="3"/>
    </row>
    <row r="768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20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  <c r="AG768" s="3"/>
      <c r="AH768" s="3"/>
      <c r="AI768" s="3"/>
      <c r="AJ768" s="3"/>
      <c r="AK768" s="3"/>
      <c r="AL768" s="3"/>
      <c r="AM768" s="3"/>
      <c r="AN768" s="3"/>
      <c r="AO768" s="3"/>
      <c r="AP768" s="3"/>
      <c r="AQ768" s="3"/>
      <c r="AR768" s="3"/>
      <c r="AS768" s="3"/>
      <c r="AT768" s="3"/>
      <c r="AU768" s="3"/>
      <c r="AV768" s="3"/>
      <c r="AW768" s="3"/>
      <c r="AX768" s="3"/>
      <c r="AY768" s="3"/>
      <c r="AZ768" s="3"/>
      <c r="BA768" s="3"/>
      <c r="BB768" s="3"/>
      <c r="BC768" s="3"/>
      <c r="BD768" s="3"/>
      <c r="BE768" s="3"/>
      <c r="BF768" s="3"/>
    </row>
    <row r="769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20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  <c r="AG769" s="3"/>
      <c r="AH769" s="3"/>
      <c r="AI769" s="3"/>
      <c r="AJ769" s="3"/>
      <c r="AK769" s="3"/>
      <c r="AL769" s="3"/>
      <c r="AM769" s="3"/>
      <c r="AN769" s="3"/>
      <c r="AO769" s="3"/>
      <c r="AP769" s="3"/>
      <c r="AQ769" s="3"/>
      <c r="AR769" s="3"/>
      <c r="AS769" s="3"/>
      <c r="AT769" s="3"/>
      <c r="AU769" s="3"/>
      <c r="AV769" s="3"/>
      <c r="AW769" s="3"/>
      <c r="AX769" s="3"/>
      <c r="AY769" s="3"/>
      <c r="AZ769" s="3"/>
      <c r="BA769" s="3"/>
      <c r="BB769" s="3"/>
      <c r="BC769" s="3"/>
      <c r="BD769" s="3"/>
      <c r="BE769" s="3"/>
      <c r="BF769" s="3"/>
    </row>
    <row r="770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20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  <c r="AG770" s="3"/>
      <c r="AH770" s="3"/>
      <c r="AI770" s="3"/>
      <c r="AJ770" s="3"/>
      <c r="AK770" s="3"/>
      <c r="AL770" s="3"/>
      <c r="AM770" s="3"/>
      <c r="AN770" s="3"/>
      <c r="AO770" s="3"/>
      <c r="AP770" s="3"/>
      <c r="AQ770" s="3"/>
      <c r="AR770" s="3"/>
      <c r="AS770" s="3"/>
      <c r="AT770" s="3"/>
      <c r="AU770" s="3"/>
      <c r="AV770" s="3"/>
      <c r="AW770" s="3"/>
      <c r="AX770" s="3"/>
      <c r="AY770" s="3"/>
      <c r="AZ770" s="3"/>
      <c r="BA770" s="3"/>
      <c r="BB770" s="3"/>
      <c r="BC770" s="3"/>
      <c r="BD770" s="3"/>
      <c r="BE770" s="3"/>
      <c r="BF770" s="3"/>
    </row>
    <row r="77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20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  <c r="AG771" s="3"/>
      <c r="AH771" s="3"/>
      <c r="AI771" s="3"/>
      <c r="AJ771" s="3"/>
      <c r="AK771" s="3"/>
      <c r="AL771" s="3"/>
      <c r="AM771" s="3"/>
      <c r="AN771" s="3"/>
      <c r="AO771" s="3"/>
      <c r="AP771" s="3"/>
      <c r="AQ771" s="3"/>
      <c r="AR771" s="3"/>
      <c r="AS771" s="3"/>
      <c r="AT771" s="3"/>
      <c r="AU771" s="3"/>
      <c r="AV771" s="3"/>
      <c r="AW771" s="3"/>
      <c r="AX771" s="3"/>
      <c r="AY771" s="3"/>
      <c r="AZ771" s="3"/>
      <c r="BA771" s="3"/>
      <c r="BB771" s="3"/>
      <c r="BC771" s="3"/>
      <c r="BD771" s="3"/>
      <c r="BE771" s="3"/>
      <c r="BF771" s="3"/>
    </row>
    <row r="772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20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  <c r="AG772" s="3"/>
      <c r="AH772" s="3"/>
      <c r="AI772" s="3"/>
      <c r="AJ772" s="3"/>
      <c r="AK772" s="3"/>
      <c r="AL772" s="3"/>
      <c r="AM772" s="3"/>
      <c r="AN772" s="3"/>
      <c r="AO772" s="3"/>
      <c r="AP772" s="3"/>
      <c r="AQ772" s="3"/>
      <c r="AR772" s="3"/>
      <c r="AS772" s="3"/>
      <c r="AT772" s="3"/>
      <c r="AU772" s="3"/>
      <c r="AV772" s="3"/>
      <c r="AW772" s="3"/>
      <c r="AX772" s="3"/>
      <c r="AY772" s="3"/>
      <c r="AZ772" s="3"/>
      <c r="BA772" s="3"/>
      <c r="BB772" s="3"/>
      <c r="BC772" s="3"/>
      <c r="BD772" s="3"/>
      <c r="BE772" s="3"/>
      <c r="BF772" s="3"/>
    </row>
    <row r="77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20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  <c r="AG773" s="3"/>
      <c r="AH773" s="3"/>
      <c r="AI773" s="3"/>
      <c r="AJ773" s="3"/>
      <c r="AK773" s="3"/>
      <c r="AL773" s="3"/>
      <c r="AM773" s="3"/>
      <c r="AN773" s="3"/>
      <c r="AO773" s="3"/>
      <c r="AP773" s="3"/>
      <c r="AQ773" s="3"/>
      <c r="AR773" s="3"/>
      <c r="AS773" s="3"/>
      <c r="AT773" s="3"/>
      <c r="AU773" s="3"/>
      <c r="AV773" s="3"/>
      <c r="AW773" s="3"/>
      <c r="AX773" s="3"/>
      <c r="AY773" s="3"/>
      <c r="AZ773" s="3"/>
      <c r="BA773" s="3"/>
      <c r="BB773" s="3"/>
      <c r="BC773" s="3"/>
      <c r="BD773" s="3"/>
      <c r="BE773" s="3"/>
      <c r="BF773" s="3"/>
    </row>
    <row r="774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20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  <c r="AG774" s="3"/>
      <c r="AH774" s="3"/>
      <c r="AI774" s="3"/>
      <c r="AJ774" s="3"/>
      <c r="AK774" s="3"/>
      <c r="AL774" s="3"/>
      <c r="AM774" s="3"/>
      <c r="AN774" s="3"/>
      <c r="AO774" s="3"/>
      <c r="AP774" s="3"/>
      <c r="AQ774" s="3"/>
      <c r="AR774" s="3"/>
      <c r="AS774" s="3"/>
      <c r="AT774" s="3"/>
      <c r="AU774" s="3"/>
      <c r="AV774" s="3"/>
      <c r="AW774" s="3"/>
      <c r="AX774" s="3"/>
      <c r="AY774" s="3"/>
      <c r="AZ774" s="3"/>
      <c r="BA774" s="3"/>
      <c r="BB774" s="3"/>
      <c r="BC774" s="3"/>
      <c r="BD774" s="3"/>
      <c r="BE774" s="3"/>
      <c r="BF774" s="3"/>
    </row>
    <row r="775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20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  <c r="AG775" s="3"/>
      <c r="AH775" s="3"/>
      <c r="AI775" s="3"/>
      <c r="AJ775" s="3"/>
      <c r="AK775" s="3"/>
      <c r="AL775" s="3"/>
      <c r="AM775" s="3"/>
      <c r="AN775" s="3"/>
      <c r="AO775" s="3"/>
      <c r="AP775" s="3"/>
      <c r="AQ775" s="3"/>
      <c r="AR775" s="3"/>
      <c r="AS775" s="3"/>
      <c r="AT775" s="3"/>
      <c r="AU775" s="3"/>
      <c r="AV775" s="3"/>
      <c r="AW775" s="3"/>
      <c r="AX775" s="3"/>
      <c r="AY775" s="3"/>
      <c r="AZ775" s="3"/>
      <c r="BA775" s="3"/>
      <c r="BB775" s="3"/>
      <c r="BC775" s="3"/>
      <c r="BD775" s="3"/>
      <c r="BE775" s="3"/>
      <c r="BF775" s="3"/>
    </row>
    <row r="77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20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  <c r="AG776" s="3"/>
      <c r="AH776" s="3"/>
      <c r="AI776" s="3"/>
      <c r="AJ776" s="3"/>
      <c r="AK776" s="3"/>
      <c r="AL776" s="3"/>
      <c r="AM776" s="3"/>
      <c r="AN776" s="3"/>
      <c r="AO776" s="3"/>
      <c r="AP776" s="3"/>
      <c r="AQ776" s="3"/>
      <c r="AR776" s="3"/>
      <c r="AS776" s="3"/>
      <c r="AT776" s="3"/>
      <c r="AU776" s="3"/>
      <c r="AV776" s="3"/>
      <c r="AW776" s="3"/>
      <c r="AX776" s="3"/>
      <c r="AY776" s="3"/>
      <c r="AZ776" s="3"/>
      <c r="BA776" s="3"/>
      <c r="BB776" s="3"/>
      <c r="BC776" s="3"/>
      <c r="BD776" s="3"/>
      <c r="BE776" s="3"/>
      <c r="BF776" s="3"/>
    </row>
    <row r="777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20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  <c r="AG777" s="3"/>
      <c r="AH777" s="3"/>
      <c r="AI777" s="3"/>
      <c r="AJ777" s="3"/>
      <c r="AK777" s="3"/>
      <c r="AL777" s="3"/>
      <c r="AM777" s="3"/>
      <c r="AN777" s="3"/>
      <c r="AO777" s="3"/>
      <c r="AP777" s="3"/>
      <c r="AQ777" s="3"/>
      <c r="AR777" s="3"/>
      <c r="AS777" s="3"/>
      <c r="AT777" s="3"/>
      <c r="AU777" s="3"/>
      <c r="AV777" s="3"/>
      <c r="AW777" s="3"/>
      <c r="AX777" s="3"/>
      <c r="AY777" s="3"/>
      <c r="AZ777" s="3"/>
      <c r="BA777" s="3"/>
      <c r="BB777" s="3"/>
      <c r="BC777" s="3"/>
      <c r="BD777" s="3"/>
      <c r="BE777" s="3"/>
      <c r="BF777" s="3"/>
    </row>
    <row r="778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20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  <c r="AG778" s="3"/>
      <c r="AH778" s="3"/>
      <c r="AI778" s="3"/>
      <c r="AJ778" s="3"/>
      <c r="AK778" s="3"/>
      <c r="AL778" s="3"/>
      <c r="AM778" s="3"/>
      <c r="AN778" s="3"/>
      <c r="AO778" s="3"/>
      <c r="AP778" s="3"/>
      <c r="AQ778" s="3"/>
      <c r="AR778" s="3"/>
      <c r="AS778" s="3"/>
      <c r="AT778" s="3"/>
      <c r="AU778" s="3"/>
      <c r="AV778" s="3"/>
      <c r="AW778" s="3"/>
      <c r="AX778" s="3"/>
      <c r="AY778" s="3"/>
      <c r="AZ778" s="3"/>
      <c r="BA778" s="3"/>
      <c r="BB778" s="3"/>
      <c r="BC778" s="3"/>
      <c r="BD778" s="3"/>
      <c r="BE778" s="3"/>
      <c r="BF778" s="3"/>
    </row>
    <row r="779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20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  <c r="AG779" s="3"/>
      <c r="AH779" s="3"/>
      <c r="AI779" s="3"/>
      <c r="AJ779" s="3"/>
      <c r="AK779" s="3"/>
      <c r="AL779" s="3"/>
      <c r="AM779" s="3"/>
      <c r="AN779" s="3"/>
      <c r="AO779" s="3"/>
      <c r="AP779" s="3"/>
      <c r="AQ779" s="3"/>
      <c r="AR779" s="3"/>
      <c r="AS779" s="3"/>
      <c r="AT779" s="3"/>
      <c r="AU779" s="3"/>
      <c r="AV779" s="3"/>
      <c r="AW779" s="3"/>
      <c r="AX779" s="3"/>
      <c r="AY779" s="3"/>
      <c r="AZ779" s="3"/>
      <c r="BA779" s="3"/>
      <c r="BB779" s="3"/>
      <c r="BC779" s="3"/>
      <c r="BD779" s="3"/>
      <c r="BE779" s="3"/>
      <c r="BF779" s="3"/>
    </row>
    <row r="780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20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  <c r="AG780" s="3"/>
      <c r="AH780" s="3"/>
      <c r="AI780" s="3"/>
      <c r="AJ780" s="3"/>
      <c r="AK780" s="3"/>
      <c r="AL780" s="3"/>
      <c r="AM780" s="3"/>
      <c r="AN780" s="3"/>
      <c r="AO780" s="3"/>
      <c r="AP780" s="3"/>
      <c r="AQ780" s="3"/>
      <c r="AR780" s="3"/>
      <c r="AS780" s="3"/>
      <c r="AT780" s="3"/>
      <c r="AU780" s="3"/>
      <c r="AV780" s="3"/>
      <c r="AW780" s="3"/>
      <c r="AX780" s="3"/>
      <c r="AY780" s="3"/>
      <c r="AZ780" s="3"/>
      <c r="BA780" s="3"/>
      <c r="BB780" s="3"/>
      <c r="BC780" s="3"/>
      <c r="BD780" s="3"/>
      <c r="BE780" s="3"/>
      <c r="BF780" s="3"/>
    </row>
    <row r="78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20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  <c r="AG781" s="3"/>
      <c r="AH781" s="3"/>
      <c r="AI781" s="3"/>
      <c r="AJ781" s="3"/>
      <c r="AK781" s="3"/>
      <c r="AL781" s="3"/>
      <c r="AM781" s="3"/>
      <c r="AN781" s="3"/>
      <c r="AO781" s="3"/>
      <c r="AP781" s="3"/>
      <c r="AQ781" s="3"/>
      <c r="AR781" s="3"/>
      <c r="AS781" s="3"/>
      <c r="AT781" s="3"/>
      <c r="AU781" s="3"/>
      <c r="AV781" s="3"/>
      <c r="AW781" s="3"/>
      <c r="AX781" s="3"/>
      <c r="AY781" s="3"/>
      <c r="AZ781" s="3"/>
      <c r="BA781" s="3"/>
      <c r="BB781" s="3"/>
      <c r="BC781" s="3"/>
      <c r="BD781" s="3"/>
      <c r="BE781" s="3"/>
      <c r="BF781" s="3"/>
    </row>
    <row r="782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20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  <c r="AG782" s="3"/>
      <c r="AH782" s="3"/>
      <c r="AI782" s="3"/>
      <c r="AJ782" s="3"/>
      <c r="AK782" s="3"/>
      <c r="AL782" s="3"/>
      <c r="AM782" s="3"/>
      <c r="AN782" s="3"/>
      <c r="AO782" s="3"/>
      <c r="AP782" s="3"/>
      <c r="AQ782" s="3"/>
      <c r="AR782" s="3"/>
      <c r="AS782" s="3"/>
      <c r="AT782" s="3"/>
      <c r="AU782" s="3"/>
      <c r="AV782" s="3"/>
      <c r="AW782" s="3"/>
      <c r="AX782" s="3"/>
      <c r="AY782" s="3"/>
      <c r="AZ782" s="3"/>
      <c r="BA782" s="3"/>
      <c r="BB782" s="3"/>
      <c r="BC782" s="3"/>
      <c r="BD782" s="3"/>
      <c r="BE782" s="3"/>
      <c r="BF782" s="3"/>
    </row>
    <row r="78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20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  <c r="AG783" s="3"/>
      <c r="AH783" s="3"/>
      <c r="AI783" s="3"/>
      <c r="AJ783" s="3"/>
      <c r="AK783" s="3"/>
      <c r="AL783" s="3"/>
      <c r="AM783" s="3"/>
      <c r="AN783" s="3"/>
      <c r="AO783" s="3"/>
      <c r="AP783" s="3"/>
      <c r="AQ783" s="3"/>
      <c r="AR783" s="3"/>
      <c r="AS783" s="3"/>
      <c r="AT783" s="3"/>
      <c r="AU783" s="3"/>
      <c r="AV783" s="3"/>
      <c r="AW783" s="3"/>
      <c r="AX783" s="3"/>
      <c r="AY783" s="3"/>
      <c r="AZ783" s="3"/>
      <c r="BA783" s="3"/>
      <c r="BB783" s="3"/>
      <c r="BC783" s="3"/>
      <c r="BD783" s="3"/>
      <c r="BE783" s="3"/>
      <c r="BF783" s="3"/>
    </row>
    <row r="784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20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  <c r="AG784" s="3"/>
      <c r="AH784" s="3"/>
      <c r="AI784" s="3"/>
      <c r="AJ784" s="3"/>
      <c r="AK784" s="3"/>
      <c r="AL784" s="3"/>
      <c r="AM784" s="3"/>
      <c r="AN784" s="3"/>
      <c r="AO784" s="3"/>
      <c r="AP784" s="3"/>
      <c r="AQ784" s="3"/>
      <c r="AR784" s="3"/>
      <c r="AS784" s="3"/>
      <c r="AT784" s="3"/>
      <c r="AU784" s="3"/>
      <c r="AV784" s="3"/>
      <c r="AW784" s="3"/>
      <c r="AX784" s="3"/>
      <c r="AY784" s="3"/>
      <c r="AZ784" s="3"/>
      <c r="BA784" s="3"/>
      <c r="BB784" s="3"/>
      <c r="BC784" s="3"/>
      <c r="BD784" s="3"/>
      <c r="BE784" s="3"/>
      <c r="BF784" s="3"/>
    </row>
    <row r="785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20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  <c r="AG785" s="3"/>
      <c r="AH785" s="3"/>
      <c r="AI785" s="3"/>
      <c r="AJ785" s="3"/>
      <c r="AK785" s="3"/>
      <c r="AL785" s="3"/>
      <c r="AM785" s="3"/>
      <c r="AN785" s="3"/>
      <c r="AO785" s="3"/>
      <c r="AP785" s="3"/>
      <c r="AQ785" s="3"/>
      <c r="AR785" s="3"/>
      <c r="AS785" s="3"/>
      <c r="AT785" s="3"/>
      <c r="AU785" s="3"/>
      <c r="AV785" s="3"/>
      <c r="AW785" s="3"/>
      <c r="AX785" s="3"/>
      <c r="AY785" s="3"/>
      <c r="AZ785" s="3"/>
      <c r="BA785" s="3"/>
      <c r="BB785" s="3"/>
      <c r="BC785" s="3"/>
      <c r="BD785" s="3"/>
      <c r="BE785" s="3"/>
      <c r="BF785" s="3"/>
    </row>
    <row r="78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20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  <c r="AG786" s="3"/>
      <c r="AH786" s="3"/>
      <c r="AI786" s="3"/>
      <c r="AJ786" s="3"/>
      <c r="AK786" s="3"/>
      <c r="AL786" s="3"/>
      <c r="AM786" s="3"/>
      <c r="AN786" s="3"/>
      <c r="AO786" s="3"/>
      <c r="AP786" s="3"/>
      <c r="AQ786" s="3"/>
      <c r="AR786" s="3"/>
      <c r="AS786" s="3"/>
      <c r="AT786" s="3"/>
      <c r="AU786" s="3"/>
      <c r="AV786" s="3"/>
      <c r="AW786" s="3"/>
      <c r="AX786" s="3"/>
      <c r="AY786" s="3"/>
      <c r="AZ786" s="3"/>
      <c r="BA786" s="3"/>
      <c r="BB786" s="3"/>
      <c r="BC786" s="3"/>
      <c r="BD786" s="3"/>
      <c r="BE786" s="3"/>
      <c r="BF786" s="3"/>
    </row>
    <row r="787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20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  <c r="AG787" s="3"/>
      <c r="AH787" s="3"/>
      <c r="AI787" s="3"/>
      <c r="AJ787" s="3"/>
      <c r="AK787" s="3"/>
      <c r="AL787" s="3"/>
      <c r="AM787" s="3"/>
      <c r="AN787" s="3"/>
      <c r="AO787" s="3"/>
      <c r="AP787" s="3"/>
      <c r="AQ787" s="3"/>
      <c r="AR787" s="3"/>
      <c r="AS787" s="3"/>
      <c r="AT787" s="3"/>
      <c r="AU787" s="3"/>
      <c r="AV787" s="3"/>
      <c r="AW787" s="3"/>
      <c r="AX787" s="3"/>
      <c r="AY787" s="3"/>
      <c r="AZ787" s="3"/>
      <c r="BA787" s="3"/>
      <c r="BB787" s="3"/>
      <c r="BC787" s="3"/>
      <c r="BD787" s="3"/>
      <c r="BE787" s="3"/>
      <c r="BF787" s="3"/>
    </row>
    <row r="788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20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  <c r="AG788" s="3"/>
      <c r="AH788" s="3"/>
      <c r="AI788" s="3"/>
      <c r="AJ788" s="3"/>
      <c r="AK788" s="3"/>
      <c r="AL788" s="3"/>
      <c r="AM788" s="3"/>
      <c r="AN788" s="3"/>
      <c r="AO788" s="3"/>
      <c r="AP788" s="3"/>
      <c r="AQ788" s="3"/>
      <c r="AR788" s="3"/>
      <c r="AS788" s="3"/>
      <c r="AT788" s="3"/>
      <c r="AU788" s="3"/>
      <c r="AV788" s="3"/>
      <c r="AW788" s="3"/>
      <c r="AX788" s="3"/>
      <c r="AY788" s="3"/>
      <c r="AZ788" s="3"/>
      <c r="BA788" s="3"/>
      <c r="BB788" s="3"/>
      <c r="BC788" s="3"/>
      <c r="BD788" s="3"/>
      <c r="BE788" s="3"/>
      <c r="BF788" s="3"/>
    </row>
    <row r="789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20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  <c r="AG789" s="3"/>
      <c r="AH789" s="3"/>
      <c r="AI789" s="3"/>
      <c r="AJ789" s="3"/>
      <c r="AK789" s="3"/>
      <c r="AL789" s="3"/>
      <c r="AM789" s="3"/>
      <c r="AN789" s="3"/>
      <c r="AO789" s="3"/>
      <c r="AP789" s="3"/>
      <c r="AQ789" s="3"/>
      <c r="AR789" s="3"/>
      <c r="AS789" s="3"/>
      <c r="AT789" s="3"/>
      <c r="AU789" s="3"/>
      <c r="AV789" s="3"/>
      <c r="AW789" s="3"/>
      <c r="AX789" s="3"/>
      <c r="AY789" s="3"/>
      <c r="AZ789" s="3"/>
      <c r="BA789" s="3"/>
      <c r="BB789" s="3"/>
      <c r="BC789" s="3"/>
      <c r="BD789" s="3"/>
      <c r="BE789" s="3"/>
      <c r="BF789" s="3"/>
    </row>
    <row r="790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20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  <c r="AG790" s="3"/>
      <c r="AH790" s="3"/>
      <c r="AI790" s="3"/>
      <c r="AJ790" s="3"/>
      <c r="AK790" s="3"/>
      <c r="AL790" s="3"/>
      <c r="AM790" s="3"/>
      <c r="AN790" s="3"/>
      <c r="AO790" s="3"/>
      <c r="AP790" s="3"/>
      <c r="AQ790" s="3"/>
      <c r="AR790" s="3"/>
      <c r="AS790" s="3"/>
      <c r="AT790" s="3"/>
      <c r="AU790" s="3"/>
      <c r="AV790" s="3"/>
      <c r="AW790" s="3"/>
      <c r="AX790" s="3"/>
      <c r="AY790" s="3"/>
      <c r="AZ790" s="3"/>
      <c r="BA790" s="3"/>
      <c r="BB790" s="3"/>
      <c r="BC790" s="3"/>
      <c r="BD790" s="3"/>
      <c r="BE790" s="3"/>
      <c r="BF790" s="3"/>
    </row>
    <row r="79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20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  <c r="AG791" s="3"/>
      <c r="AH791" s="3"/>
      <c r="AI791" s="3"/>
      <c r="AJ791" s="3"/>
      <c r="AK791" s="3"/>
      <c r="AL791" s="3"/>
      <c r="AM791" s="3"/>
      <c r="AN791" s="3"/>
      <c r="AO791" s="3"/>
      <c r="AP791" s="3"/>
      <c r="AQ791" s="3"/>
      <c r="AR791" s="3"/>
      <c r="AS791" s="3"/>
      <c r="AT791" s="3"/>
      <c r="AU791" s="3"/>
      <c r="AV791" s="3"/>
      <c r="AW791" s="3"/>
      <c r="AX791" s="3"/>
      <c r="AY791" s="3"/>
      <c r="AZ791" s="3"/>
      <c r="BA791" s="3"/>
      <c r="BB791" s="3"/>
      <c r="BC791" s="3"/>
      <c r="BD791" s="3"/>
      <c r="BE791" s="3"/>
      <c r="BF791" s="3"/>
    </row>
    <row r="792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20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  <c r="AG792" s="3"/>
      <c r="AH792" s="3"/>
      <c r="AI792" s="3"/>
      <c r="AJ792" s="3"/>
      <c r="AK792" s="3"/>
      <c r="AL792" s="3"/>
      <c r="AM792" s="3"/>
      <c r="AN792" s="3"/>
      <c r="AO792" s="3"/>
      <c r="AP792" s="3"/>
      <c r="AQ792" s="3"/>
      <c r="AR792" s="3"/>
      <c r="AS792" s="3"/>
      <c r="AT792" s="3"/>
      <c r="AU792" s="3"/>
      <c r="AV792" s="3"/>
      <c r="AW792" s="3"/>
      <c r="AX792" s="3"/>
      <c r="AY792" s="3"/>
      <c r="AZ792" s="3"/>
      <c r="BA792" s="3"/>
      <c r="BB792" s="3"/>
      <c r="BC792" s="3"/>
      <c r="BD792" s="3"/>
      <c r="BE792" s="3"/>
      <c r="BF792" s="3"/>
    </row>
    <row r="79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20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  <c r="AG793" s="3"/>
      <c r="AH793" s="3"/>
      <c r="AI793" s="3"/>
      <c r="AJ793" s="3"/>
      <c r="AK793" s="3"/>
      <c r="AL793" s="3"/>
      <c r="AM793" s="3"/>
      <c r="AN793" s="3"/>
      <c r="AO793" s="3"/>
      <c r="AP793" s="3"/>
      <c r="AQ793" s="3"/>
      <c r="AR793" s="3"/>
      <c r="AS793" s="3"/>
      <c r="AT793" s="3"/>
      <c r="AU793" s="3"/>
      <c r="AV793" s="3"/>
      <c r="AW793" s="3"/>
      <c r="AX793" s="3"/>
      <c r="AY793" s="3"/>
      <c r="AZ793" s="3"/>
      <c r="BA793" s="3"/>
      <c r="BB793" s="3"/>
      <c r="BC793" s="3"/>
      <c r="BD793" s="3"/>
      <c r="BE793" s="3"/>
      <c r="BF793" s="3"/>
    </row>
    <row r="794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20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  <c r="AG794" s="3"/>
      <c r="AH794" s="3"/>
      <c r="AI794" s="3"/>
      <c r="AJ794" s="3"/>
      <c r="AK794" s="3"/>
      <c r="AL794" s="3"/>
      <c r="AM794" s="3"/>
      <c r="AN794" s="3"/>
      <c r="AO794" s="3"/>
      <c r="AP794" s="3"/>
      <c r="AQ794" s="3"/>
      <c r="AR794" s="3"/>
      <c r="AS794" s="3"/>
      <c r="AT794" s="3"/>
      <c r="AU794" s="3"/>
      <c r="AV794" s="3"/>
      <c r="AW794" s="3"/>
      <c r="AX794" s="3"/>
      <c r="AY794" s="3"/>
      <c r="AZ794" s="3"/>
      <c r="BA794" s="3"/>
      <c r="BB794" s="3"/>
      <c r="BC794" s="3"/>
      <c r="BD794" s="3"/>
      <c r="BE794" s="3"/>
      <c r="BF794" s="3"/>
    </row>
    <row r="795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20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  <c r="AG795" s="3"/>
      <c r="AH795" s="3"/>
      <c r="AI795" s="3"/>
      <c r="AJ795" s="3"/>
      <c r="AK795" s="3"/>
      <c r="AL795" s="3"/>
      <c r="AM795" s="3"/>
      <c r="AN795" s="3"/>
      <c r="AO795" s="3"/>
      <c r="AP795" s="3"/>
      <c r="AQ795" s="3"/>
      <c r="AR795" s="3"/>
      <c r="AS795" s="3"/>
      <c r="AT795" s="3"/>
      <c r="AU795" s="3"/>
      <c r="AV795" s="3"/>
      <c r="AW795" s="3"/>
      <c r="AX795" s="3"/>
      <c r="AY795" s="3"/>
      <c r="AZ795" s="3"/>
      <c r="BA795" s="3"/>
      <c r="BB795" s="3"/>
      <c r="BC795" s="3"/>
      <c r="BD795" s="3"/>
      <c r="BE795" s="3"/>
      <c r="BF795" s="3"/>
    </row>
    <row r="79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20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  <c r="AG796" s="3"/>
      <c r="AH796" s="3"/>
      <c r="AI796" s="3"/>
      <c r="AJ796" s="3"/>
      <c r="AK796" s="3"/>
      <c r="AL796" s="3"/>
      <c r="AM796" s="3"/>
      <c r="AN796" s="3"/>
      <c r="AO796" s="3"/>
      <c r="AP796" s="3"/>
      <c r="AQ796" s="3"/>
      <c r="AR796" s="3"/>
      <c r="AS796" s="3"/>
      <c r="AT796" s="3"/>
      <c r="AU796" s="3"/>
      <c r="AV796" s="3"/>
      <c r="AW796" s="3"/>
      <c r="AX796" s="3"/>
      <c r="AY796" s="3"/>
      <c r="AZ796" s="3"/>
      <c r="BA796" s="3"/>
      <c r="BB796" s="3"/>
      <c r="BC796" s="3"/>
      <c r="BD796" s="3"/>
      <c r="BE796" s="3"/>
      <c r="BF796" s="3"/>
    </row>
    <row r="797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20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  <c r="AG797" s="3"/>
      <c r="AH797" s="3"/>
      <c r="AI797" s="3"/>
      <c r="AJ797" s="3"/>
      <c r="AK797" s="3"/>
      <c r="AL797" s="3"/>
      <c r="AM797" s="3"/>
      <c r="AN797" s="3"/>
      <c r="AO797" s="3"/>
      <c r="AP797" s="3"/>
      <c r="AQ797" s="3"/>
      <c r="AR797" s="3"/>
      <c r="AS797" s="3"/>
      <c r="AT797" s="3"/>
      <c r="AU797" s="3"/>
      <c r="AV797" s="3"/>
      <c r="AW797" s="3"/>
      <c r="AX797" s="3"/>
      <c r="AY797" s="3"/>
      <c r="AZ797" s="3"/>
      <c r="BA797" s="3"/>
      <c r="BB797" s="3"/>
      <c r="BC797" s="3"/>
      <c r="BD797" s="3"/>
      <c r="BE797" s="3"/>
      <c r="BF797" s="3"/>
    </row>
    <row r="798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20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  <c r="AG798" s="3"/>
      <c r="AH798" s="3"/>
      <c r="AI798" s="3"/>
      <c r="AJ798" s="3"/>
      <c r="AK798" s="3"/>
      <c r="AL798" s="3"/>
      <c r="AM798" s="3"/>
      <c r="AN798" s="3"/>
      <c r="AO798" s="3"/>
      <c r="AP798" s="3"/>
      <c r="AQ798" s="3"/>
      <c r="AR798" s="3"/>
      <c r="AS798" s="3"/>
      <c r="AT798" s="3"/>
      <c r="AU798" s="3"/>
      <c r="AV798" s="3"/>
      <c r="AW798" s="3"/>
      <c r="AX798" s="3"/>
      <c r="AY798" s="3"/>
      <c r="AZ798" s="3"/>
      <c r="BA798" s="3"/>
      <c r="BB798" s="3"/>
      <c r="BC798" s="3"/>
      <c r="BD798" s="3"/>
      <c r="BE798" s="3"/>
      <c r="BF798" s="3"/>
    </row>
    <row r="799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20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  <c r="AG799" s="3"/>
      <c r="AH799" s="3"/>
      <c r="AI799" s="3"/>
      <c r="AJ799" s="3"/>
      <c r="AK799" s="3"/>
      <c r="AL799" s="3"/>
      <c r="AM799" s="3"/>
      <c r="AN799" s="3"/>
      <c r="AO799" s="3"/>
      <c r="AP799" s="3"/>
      <c r="AQ799" s="3"/>
      <c r="AR799" s="3"/>
      <c r="AS799" s="3"/>
      <c r="AT799" s="3"/>
      <c r="AU799" s="3"/>
      <c r="AV799" s="3"/>
      <c r="AW799" s="3"/>
      <c r="AX799" s="3"/>
      <c r="AY799" s="3"/>
      <c r="AZ799" s="3"/>
      <c r="BA799" s="3"/>
      <c r="BB799" s="3"/>
      <c r="BC799" s="3"/>
      <c r="BD799" s="3"/>
      <c r="BE799" s="3"/>
      <c r="BF799" s="3"/>
    </row>
    <row r="800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20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  <c r="AG800" s="3"/>
      <c r="AH800" s="3"/>
      <c r="AI800" s="3"/>
      <c r="AJ800" s="3"/>
      <c r="AK800" s="3"/>
      <c r="AL800" s="3"/>
      <c r="AM800" s="3"/>
      <c r="AN800" s="3"/>
      <c r="AO800" s="3"/>
      <c r="AP800" s="3"/>
      <c r="AQ800" s="3"/>
      <c r="AR800" s="3"/>
      <c r="AS800" s="3"/>
      <c r="AT800" s="3"/>
      <c r="AU800" s="3"/>
      <c r="AV800" s="3"/>
      <c r="AW800" s="3"/>
      <c r="AX800" s="3"/>
      <c r="AY800" s="3"/>
      <c r="AZ800" s="3"/>
      <c r="BA800" s="3"/>
      <c r="BB800" s="3"/>
      <c r="BC800" s="3"/>
      <c r="BD800" s="3"/>
      <c r="BE800" s="3"/>
      <c r="BF800" s="3"/>
    </row>
    <row r="80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20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  <c r="AG801" s="3"/>
      <c r="AH801" s="3"/>
      <c r="AI801" s="3"/>
      <c r="AJ801" s="3"/>
      <c r="AK801" s="3"/>
      <c r="AL801" s="3"/>
      <c r="AM801" s="3"/>
      <c r="AN801" s="3"/>
      <c r="AO801" s="3"/>
      <c r="AP801" s="3"/>
      <c r="AQ801" s="3"/>
      <c r="AR801" s="3"/>
      <c r="AS801" s="3"/>
      <c r="AT801" s="3"/>
      <c r="AU801" s="3"/>
      <c r="AV801" s="3"/>
      <c r="AW801" s="3"/>
      <c r="AX801" s="3"/>
      <c r="AY801" s="3"/>
      <c r="AZ801" s="3"/>
      <c r="BA801" s="3"/>
      <c r="BB801" s="3"/>
      <c r="BC801" s="3"/>
      <c r="BD801" s="3"/>
      <c r="BE801" s="3"/>
      <c r="BF801" s="3"/>
    </row>
    <row r="802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20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  <c r="AG802" s="3"/>
      <c r="AH802" s="3"/>
      <c r="AI802" s="3"/>
      <c r="AJ802" s="3"/>
      <c r="AK802" s="3"/>
      <c r="AL802" s="3"/>
      <c r="AM802" s="3"/>
      <c r="AN802" s="3"/>
      <c r="AO802" s="3"/>
      <c r="AP802" s="3"/>
      <c r="AQ802" s="3"/>
      <c r="AR802" s="3"/>
      <c r="AS802" s="3"/>
      <c r="AT802" s="3"/>
      <c r="AU802" s="3"/>
      <c r="AV802" s="3"/>
      <c r="AW802" s="3"/>
      <c r="AX802" s="3"/>
      <c r="AY802" s="3"/>
      <c r="AZ802" s="3"/>
      <c r="BA802" s="3"/>
      <c r="BB802" s="3"/>
      <c r="BC802" s="3"/>
      <c r="BD802" s="3"/>
      <c r="BE802" s="3"/>
      <c r="BF802" s="3"/>
    </row>
    <row r="80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20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  <c r="AG803" s="3"/>
      <c r="AH803" s="3"/>
      <c r="AI803" s="3"/>
      <c r="AJ803" s="3"/>
      <c r="AK803" s="3"/>
      <c r="AL803" s="3"/>
      <c r="AM803" s="3"/>
      <c r="AN803" s="3"/>
      <c r="AO803" s="3"/>
      <c r="AP803" s="3"/>
      <c r="AQ803" s="3"/>
      <c r="AR803" s="3"/>
      <c r="AS803" s="3"/>
      <c r="AT803" s="3"/>
      <c r="AU803" s="3"/>
      <c r="AV803" s="3"/>
      <c r="AW803" s="3"/>
      <c r="AX803" s="3"/>
      <c r="AY803" s="3"/>
      <c r="AZ803" s="3"/>
      <c r="BA803" s="3"/>
      <c r="BB803" s="3"/>
      <c r="BC803" s="3"/>
      <c r="BD803" s="3"/>
      <c r="BE803" s="3"/>
      <c r="BF803" s="3"/>
    </row>
    <row r="804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20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  <c r="AG804" s="3"/>
      <c r="AH804" s="3"/>
      <c r="AI804" s="3"/>
      <c r="AJ804" s="3"/>
      <c r="AK804" s="3"/>
      <c r="AL804" s="3"/>
      <c r="AM804" s="3"/>
      <c r="AN804" s="3"/>
      <c r="AO804" s="3"/>
      <c r="AP804" s="3"/>
      <c r="AQ804" s="3"/>
      <c r="AR804" s="3"/>
      <c r="AS804" s="3"/>
      <c r="AT804" s="3"/>
      <c r="AU804" s="3"/>
      <c r="AV804" s="3"/>
      <c r="AW804" s="3"/>
      <c r="AX804" s="3"/>
      <c r="AY804" s="3"/>
      <c r="AZ804" s="3"/>
      <c r="BA804" s="3"/>
      <c r="BB804" s="3"/>
      <c r="BC804" s="3"/>
      <c r="BD804" s="3"/>
      <c r="BE804" s="3"/>
      <c r="BF804" s="3"/>
    </row>
    <row r="805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20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  <c r="AG805" s="3"/>
      <c r="AH805" s="3"/>
      <c r="AI805" s="3"/>
      <c r="AJ805" s="3"/>
      <c r="AK805" s="3"/>
      <c r="AL805" s="3"/>
      <c r="AM805" s="3"/>
      <c r="AN805" s="3"/>
      <c r="AO805" s="3"/>
      <c r="AP805" s="3"/>
      <c r="AQ805" s="3"/>
      <c r="AR805" s="3"/>
      <c r="AS805" s="3"/>
      <c r="AT805" s="3"/>
      <c r="AU805" s="3"/>
      <c r="AV805" s="3"/>
      <c r="AW805" s="3"/>
      <c r="AX805" s="3"/>
      <c r="AY805" s="3"/>
      <c r="AZ805" s="3"/>
      <c r="BA805" s="3"/>
      <c r="BB805" s="3"/>
      <c r="BC805" s="3"/>
      <c r="BD805" s="3"/>
      <c r="BE805" s="3"/>
      <c r="BF805" s="3"/>
    </row>
    <row r="80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20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  <c r="AG806" s="3"/>
      <c r="AH806" s="3"/>
      <c r="AI806" s="3"/>
      <c r="AJ806" s="3"/>
      <c r="AK806" s="3"/>
      <c r="AL806" s="3"/>
      <c r="AM806" s="3"/>
      <c r="AN806" s="3"/>
      <c r="AO806" s="3"/>
      <c r="AP806" s="3"/>
      <c r="AQ806" s="3"/>
      <c r="AR806" s="3"/>
      <c r="AS806" s="3"/>
      <c r="AT806" s="3"/>
      <c r="AU806" s="3"/>
      <c r="AV806" s="3"/>
      <c r="AW806" s="3"/>
      <c r="AX806" s="3"/>
      <c r="AY806" s="3"/>
      <c r="AZ806" s="3"/>
      <c r="BA806" s="3"/>
      <c r="BB806" s="3"/>
      <c r="BC806" s="3"/>
      <c r="BD806" s="3"/>
      <c r="BE806" s="3"/>
      <c r="BF806" s="3"/>
    </row>
    <row r="807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20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  <c r="AG807" s="3"/>
      <c r="AH807" s="3"/>
      <c r="AI807" s="3"/>
      <c r="AJ807" s="3"/>
      <c r="AK807" s="3"/>
      <c r="AL807" s="3"/>
      <c r="AM807" s="3"/>
      <c r="AN807" s="3"/>
      <c r="AO807" s="3"/>
      <c r="AP807" s="3"/>
      <c r="AQ807" s="3"/>
      <c r="AR807" s="3"/>
      <c r="AS807" s="3"/>
      <c r="AT807" s="3"/>
      <c r="AU807" s="3"/>
      <c r="AV807" s="3"/>
      <c r="AW807" s="3"/>
      <c r="AX807" s="3"/>
      <c r="AY807" s="3"/>
      <c r="AZ807" s="3"/>
      <c r="BA807" s="3"/>
      <c r="BB807" s="3"/>
      <c r="BC807" s="3"/>
      <c r="BD807" s="3"/>
      <c r="BE807" s="3"/>
      <c r="BF807" s="3"/>
    </row>
    <row r="808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20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  <c r="AG808" s="3"/>
      <c r="AH808" s="3"/>
      <c r="AI808" s="3"/>
      <c r="AJ808" s="3"/>
      <c r="AK808" s="3"/>
      <c r="AL808" s="3"/>
      <c r="AM808" s="3"/>
      <c r="AN808" s="3"/>
      <c r="AO808" s="3"/>
      <c r="AP808" s="3"/>
      <c r="AQ808" s="3"/>
      <c r="AR808" s="3"/>
      <c r="AS808" s="3"/>
      <c r="AT808" s="3"/>
      <c r="AU808" s="3"/>
      <c r="AV808" s="3"/>
      <c r="AW808" s="3"/>
      <c r="AX808" s="3"/>
      <c r="AY808" s="3"/>
      <c r="AZ808" s="3"/>
      <c r="BA808" s="3"/>
      <c r="BB808" s="3"/>
      <c r="BC808" s="3"/>
      <c r="BD808" s="3"/>
      <c r="BE808" s="3"/>
      <c r="BF808" s="3"/>
    </row>
    <row r="809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20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  <c r="AG809" s="3"/>
      <c r="AH809" s="3"/>
      <c r="AI809" s="3"/>
      <c r="AJ809" s="3"/>
      <c r="AK809" s="3"/>
      <c r="AL809" s="3"/>
      <c r="AM809" s="3"/>
      <c r="AN809" s="3"/>
      <c r="AO809" s="3"/>
      <c r="AP809" s="3"/>
      <c r="AQ809" s="3"/>
      <c r="AR809" s="3"/>
      <c r="AS809" s="3"/>
      <c r="AT809" s="3"/>
      <c r="AU809" s="3"/>
      <c r="AV809" s="3"/>
      <c r="AW809" s="3"/>
      <c r="AX809" s="3"/>
      <c r="AY809" s="3"/>
      <c r="AZ809" s="3"/>
      <c r="BA809" s="3"/>
      <c r="BB809" s="3"/>
      <c r="BC809" s="3"/>
      <c r="BD809" s="3"/>
      <c r="BE809" s="3"/>
      <c r="BF809" s="3"/>
    </row>
    <row r="810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20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  <c r="AG810" s="3"/>
      <c r="AH810" s="3"/>
      <c r="AI810" s="3"/>
      <c r="AJ810" s="3"/>
      <c r="AK810" s="3"/>
      <c r="AL810" s="3"/>
      <c r="AM810" s="3"/>
      <c r="AN810" s="3"/>
      <c r="AO810" s="3"/>
      <c r="AP810" s="3"/>
      <c r="AQ810" s="3"/>
      <c r="AR810" s="3"/>
      <c r="AS810" s="3"/>
      <c r="AT810" s="3"/>
      <c r="AU810" s="3"/>
      <c r="AV810" s="3"/>
      <c r="AW810" s="3"/>
      <c r="AX810" s="3"/>
      <c r="AY810" s="3"/>
      <c r="AZ810" s="3"/>
      <c r="BA810" s="3"/>
      <c r="BB810" s="3"/>
      <c r="BC810" s="3"/>
      <c r="BD810" s="3"/>
      <c r="BE810" s="3"/>
      <c r="BF810" s="3"/>
    </row>
    <row r="81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20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  <c r="AG811" s="3"/>
      <c r="AH811" s="3"/>
      <c r="AI811" s="3"/>
      <c r="AJ811" s="3"/>
      <c r="AK811" s="3"/>
      <c r="AL811" s="3"/>
      <c r="AM811" s="3"/>
      <c r="AN811" s="3"/>
      <c r="AO811" s="3"/>
      <c r="AP811" s="3"/>
      <c r="AQ811" s="3"/>
      <c r="AR811" s="3"/>
      <c r="AS811" s="3"/>
      <c r="AT811" s="3"/>
      <c r="AU811" s="3"/>
      <c r="AV811" s="3"/>
      <c r="AW811" s="3"/>
      <c r="AX811" s="3"/>
      <c r="AY811" s="3"/>
      <c r="AZ811" s="3"/>
      <c r="BA811" s="3"/>
      <c r="BB811" s="3"/>
      <c r="BC811" s="3"/>
      <c r="BD811" s="3"/>
      <c r="BE811" s="3"/>
      <c r="BF811" s="3"/>
    </row>
    <row r="812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20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  <c r="AG812" s="3"/>
      <c r="AH812" s="3"/>
      <c r="AI812" s="3"/>
      <c r="AJ812" s="3"/>
      <c r="AK812" s="3"/>
      <c r="AL812" s="3"/>
      <c r="AM812" s="3"/>
      <c r="AN812" s="3"/>
      <c r="AO812" s="3"/>
      <c r="AP812" s="3"/>
      <c r="AQ812" s="3"/>
      <c r="AR812" s="3"/>
      <c r="AS812" s="3"/>
      <c r="AT812" s="3"/>
      <c r="AU812" s="3"/>
      <c r="AV812" s="3"/>
      <c r="AW812" s="3"/>
      <c r="AX812" s="3"/>
      <c r="AY812" s="3"/>
      <c r="AZ812" s="3"/>
      <c r="BA812" s="3"/>
      <c r="BB812" s="3"/>
      <c r="BC812" s="3"/>
      <c r="BD812" s="3"/>
      <c r="BE812" s="3"/>
      <c r="BF812" s="3"/>
    </row>
    <row r="81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20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  <c r="AG813" s="3"/>
      <c r="AH813" s="3"/>
      <c r="AI813" s="3"/>
      <c r="AJ813" s="3"/>
      <c r="AK813" s="3"/>
      <c r="AL813" s="3"/>
      <c r="AM813" s="3"/>
      <c r="AN813" s="3"/>
      <c r="AO813" s="3"/>
      <c r="AP813" s="3"/>
      <c r="AQ813" s="3"/>
      <c r="AR813" s="3"/>
      <c r="AS813" s="3"/>
      <c r="AT813" s="3"/>
      <c r="AU813" s="3"/>
      <c r="AV813" s="3"/>
      <c r="AW813" s="3"/>
      <c r="AX813" s="3"/>
      <c r="AY813" s="3"/>
      <c r="AZ813" s="3"/>
      <c r="BA813" s="3"/>
      <c r="BB813" s="3"/>
      <c r="BC813" s="3"/>
      <c r="BD813" s="3"/>
      <c r="BE813" s="3"/>
      <c r="BF813" s="3"/>
    </row>
    <row r="814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20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  <c r="AG814" s="3"/>
      <c r="AH814" s="3"/>
      <c r="AI814" s="3"/>
      <c r="AJ814" s="3"/>
      <c r="AK814" s="3"/>
      <c r="AL814" s="3"/>
      <c r="AM814" s="3"/>
      <c r="AN814" s="3"/>
      <c r="AO814" s="3"/>
      <c r="AP814" s="3"/>
      <c r="AQ814" s="3"/>
      <c r="AR814" s="3"/>
      <c r="AS814" s="3"/>
      <c r="AT814" s="3"/>
      <c r="AU814" s="3"/>
      <c r="AV814" s="3"/>
      <c r="AW814" s="3"/>
      <c r="AX814" s="3"/>
      <c r="AY814" s="3"/>
      <c r="AZ814" s="3"/>
      <c r="BA814" s="3"/>
      <c r="BB814" s="3"/>
      <c r="BC814" s="3"/>
      <c r="BD814" s="3"/>
      <c r="BE814" s="3"/>
      <c r="BF814" s="3"/>
    </row>
    <row r="815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20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  <c r="AG815" s="3"/>
      <c r="AH815" s="3"/>
      <c r="AI815" s="3"/>
      <c r="AJ815" s="3"/>
      <c r="AK815" s="3"/>
      <c r="AL815" s="3"/>
      <c r="AM815" s="3"/>
      <c r="AN815" s="3"/>
      <c r="AO815" s="3"/>
      <c r="AP815" s="3"/>
      <c r="AQ815" s="3"/>
      <c r="AR815" s="3"/>
      <c r="AS815" s="3"/>
      <c r="AT815" s="3"/>
      <c r="AU815" s="3"/>
      <c r="AV815" s="3"/>
      <c r="AW815" s="3"/>
      <c r="AX815" s="3"/>
      <c r="AY815" s="3"/>
      <c r="AZ815" s="3"/>
      <c r="BA815" s="3"/>
      <c r="BB815" s="3"/>
      <c r="BC815" s="3"/>
      <c r="BD815" s="3"/>
      <c r="BE815" s="3"/>
      <c r="BF815" s="3"/>
    </row>
    <row r="81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20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  <c r="AG816" s="3"/>
      <c r="AH816" s="3"/>
      <c r="AI816" s="3"/>
      <c r="AJ816" s="3"/>
      <c r="AK816" s="3"/>
      <c r="AL816" s="3"/>
      <c r="AM816" s="3"/>
      <c r="AN816" s="3"/>
      <c r="AO816" s="3"/>
      <c r="AP816" s="3"/>
      <c r="AQ816" s="3"/>
      <c r="AR816" s="3"/>
      <c r="AS816" s="3"/>
      <c r="AT816" s="3"/>
      <c r="AU816" s="3"/>
      <c r="AV816" s="3"/>
      <c r="AW816" s="3"/>
      <c r="AX816" s="3"/>
      <c r="AY816" s="3"/>
      <c r="AZ816" s="3"/>
      <c r="BA816" s="3"/>
      <c r="BB816" s="3"/>
      <c r="BC816" s="3"/>
      <c r="BD816" s="3"/>
      <c r="BE816" s="3"/>
      <c r="BF816" s="3"/>
    </row>
    <row r="817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20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  <c r="AG817" s="3"/>
      <c r="AH817" s="3"/>
      <c r="AI817" s="3"/>
      <c r="AJ817" s="3"/>
      <c r="AK817" s="3"/>
      <c r="AL817" s="3"/>
      <c r="AM817" s="3"/>
      <c r="AN817" s="3"/>
      <c r="AO817" s="3"/>
      <c r="AP817" s="3"/>
      <c r="AQ817" s="3"/>
      <c r="AR817" s="3"/>
      <c r="AS817" s="3"/>
      <c r="AT817" s="3"/>
      <c r="AU817" s="3"/>
      <c r="AV817" s="3"/>
      <c r="AW817" s="3"/>
      <c r="AX817" s="3"/>
      <c r="AY817" s="3"/>
      <c r="AZ817" s="3"/>
      <c r="BA817" s="3"/>
      <c r="BB817" s="3"/>
      <c r="BC817" s="3"/>
      <c r="BD817" s="3"/>
      <c r="BE817" s="3"/>
      <c r="BF817" s="3"/>
    </row>
    <row r="818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20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  <c r="AG818" s="3"/>
      <c r="AH818" s="3"/>
      <c r="AI818" s="3"/>
      <c r="AJ818" s="3"/>
      <c r="AK818" s="3"/>
      <c r="AL818" s="3"/>
      <c r="AM818" s="3"/>
      <c r="AN818" s="3"/>
      <c r="AO818" s="3"/>
      <c r="AP818" s="3"/>
      <c r="AQ818" s="3"/>
      <c r="AR818" s="3"/>
      <c r="AS818" s="3"/>
      <c r="AT818" s="3"/>
      <c r="AU818" s="3"/>
      <c r="AV818" s="3"/>
      <c r="AW818" s="3"/>
      <c r="AX818" s="3"/>
      <c r="AY818" s="3"/>
      <c r="AZ818" s="3"/>
      <c r="BA818" s="3"/>
      <c r="BB818" s="3"/>
      <c r="BC818" s="3"/>
      <c r="BD818" s="3"/>
      <c r="BE818" s="3"/>
      <c r="BF818" s="3"/>
    </row>
    <row r="819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20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  <c r="AG819" s="3"/>
      <c r="AH819" s="3"/>
      <c r="AI819" s="3"/>
      <c r="AJ819" s="3"/>
      <c r="AK819" s="3"/>
      <c r="AL819" s="3"/>
      <c r="AM819" s="3"/>
      <c r="AN819" s="3"/>
      <c r="AO819" s="3"/>
      <c r="AP819" s="3"/>
      <c r="AQ819" s="3"/>
      <c r="AR819" s="3"/>
      <c r="AS819" s="3"/>
      <c r="AT819" s="3"/>
      <c r="AU819" s="3"/>
      <c r="AV819" s="3"/>
      <c r="AW819" s="3"/>
      <c r="AX819" s="3"/>
      <c r="AY819" s="3"/>
      <c r="AZ819" s="3"/>
      <c r="BA819" s="3"/>
      <c r="BB819" s="3"/>
      <c r="BC819" s="3"/>
      <c r="BD819" s="3"/>
      <c r="BE819" s="3"/>
      <c r="BF819" s="3"/>
    </row>
    <row r="820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20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  <c r="AG820" s="3"/>
      <c r="AH820" s="3"/>
      <c r="AI820" s="3"/>
      <c r="AJ820" s="3"/>
      <c r="AK820" s="3"/>
      <c r="AL820" s="3"/>
      <c r="AM820" s="3"/>
      <c r="AN820" s="3"/>
      <c r="AO820" s="3"/>
      <c r="AP820" s="3"/>
      <c r="AQ820" s="3"/>
      <c r="AR820" s="3"/>
      <c r="AS820" s="3"/>
      <c r="AT820" s="3"/>
      <c r="AU820" s="3"/>
      <c r="AV820" s="3"/>
      <c r="AW820" s="3"/>
      <c r="AX820" s="3"/>
      <c r="AY820" s="3"/>
      <c r="AZ820" s="3"/>
      <c r="BA820" s="3"/>
      <c r="BB820" s="3"/>
      <c r="BC820" s="3"/>
      <c r="BD820" s="3"/>
      <c r="BE820" s="3"/>
      <c r="BF820" s="3"/>
    </row>
    <row r="82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20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  <c r="AG821" s="3"/>
      <c r="AH821" s="3"/>
      <c r="AI821" s="3"/>
      <c r="AJ821" s="3"/>
      <c r="AK821" s="3"/>
      <c r="AL821" s="3"/>
      <c r="AM821" s="3"/>
      <c r="AN821" s="3"/>
      <c r="AO821" s="3"/>
      <c r="AP821" s="3"/>
      <c r="AQ821" s="3"/>
      <c r="AR821" s="3"/>
      <c r="AS821" s="3"/>
      <c r="AT821" s="3"/>
      <c r="AU821" s="3"/>
      <c r="AV821" s="3"/>
      <c r="AW821" s="3"/>
      <c r="AX821" s="3"/>
      <c r="AY821" s="3"/>
      <c r="AZ821" s="3"/>
      <c r="BA821" s="3"/>
      <c r="BB821" s="3"/>
      <c r="BC821" s="3"/>
      <c r="BD821" s="3"/>
      <c r="BE821" s="3"/>
      <c r="BF821" s="3"/>
    </row>
    <row r="822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20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  <c r="AG822" s="3"/>
      <c r="AH822" s="3"/>
      <c r="AI822" s="3"/>
      <c r="AJ822" s="3"/>
      <c r="AK822" s="3"/>
      <c r="AL822" s="3"/>
      <c r="AM822" s="3"/>
      <c r="AN822" s="3"/>
      <c r="AO822" s="3"/>
      <c r="AP822" s="3"/>
      <c r="AQ822" s="3"/>
      <c r="AR822" s="3"/>
      <c r="AS822" s="3"/>
      <c r="AT822" s="3"/>
      <c r="AU822" s="3"/>
      <c r="AV822" s="3"/>
      <c r="AW822" s="3"/>
      <c r="AX822" s="3"/>
      <c r="AY822" s="3"/>
      <c r="AZ822" s="3"/>
      <c r="BA822" s="3"/>
      <c r="BB822" s="3"/>
      <c r="BC822" s="3"/>
      <c r="BD822" s="3"/>
      <c r="BE822" s="3"/>
      <c r="BF822" s="3"/>
    </row>
    <row r="82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20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  <c r="AG823" s="3"/>
      <c r="AH823" s="3"/>
      <c r="AI823" s="3"/>
      <c r="AJ823" s="3"/>
      <c r="AK823" s="3"/>
      <c r="AL823" s="3"/>
      <c r="AM823" s="3"/>
      <c r="AN823" s="3"/>
      <c r="AO823" s="3"/>
      <c r="AP823" s="3"/>
      <c r="AQ823" s="3"/>
      <c r="AR823" s="3"/>
      <c r="AS823" s="3"/>
      <c r="AT823" s="3"/>
      <c r="AU823" s="3"/>
      <c r="AV823" s="3"/>
      <c r="AW823" s="3"/>
      <c r="AX823" s="3"/>
      <c r="AY823" s="3"/>
      <c r="AZ823" s="3"/>
      <c r="BA823" s="3"/>
      <c r="BB823" s="3"/>
      <c r="BC823" s="3"/>
      <c r="BD823" s="3"/>
      <c r="BE823" s="3"/>
      <c r="BF823" s="3"/>
    </row>
    <row r="824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20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  <c r="AG824" s="3"/>
      <c r="AH824" s="3"/>
      <c r="AI824" s="3"/>
      <c r="AJ824" s="3"/>
      <c r="AK824" s="3"/>
      <c r="AL824" s="3"/>
      <c r="AM824" s="3"/>
      <c r="AN824" s="3"/>
      <c r="AO824" s="3"/>
      <c r="AP824" s="3"/>
      <c r="AQ824" s="3"/>
      <c r="AR824" s="3"/>
      <c r="AS824" s="3"/>
      <c r="AT824" s="3"/>
      <c r="AU824" s="3"/>
      <c r="AV824" s="3"/>
      <c r="AW824" s="3"/>
      <c r="AX824" s="3"/>
      <c r="AY824" s="3"/>
      <c r="AZ824" s="3"/>
      <c r="BA824" s="3"/>
      <c r="BB824" s="3"/>
      <c r="BC824" s="3"/>
      <c r="BD824" s="3"/>
      <c r="BE824" s="3"/>
      <c r="BF824" s="3"/>
    </row>
    <row r="825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20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  <c r="AG825" s="3"/>
      <c r="AH825" s="3"/>
      <c r="AI825" s="3"/>
      <c r="AJ825" s="3"/>
      <c r="AK825" s="3"/>
      <c r="AL825" s="3"/>
      <c r="AM825" s="3"/>
      <c r="AN825" s="3"/>
      <c r="AO825" s="3"/>
      <c r="AP825" s="3"/>
      <c r="AQ825" s="3"/>
      <c r="AR825" s="3"/>
      <c r="AS825" s="3"/>
      <c r="AT825" s="3"/>
      <c r="AU825" s="3"/>
      <c r="AV825" s="3"/>
      <c r="AW825" s="3"/>
      <c r="AX825" s="3"/>
      <c r="AY825" s="3"/>
      <c r="AZ825" s="3"/>
      <c r="BA825" s="3"/>
      <c r="BB825" s="3"/>
      <c r="BC825" s="3"/>
      <c r="BD825" s="3"/>
      <c r="BE825" s="3"/>
      <c r="BF825" s="3"/>
    </row>
    <row r="8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20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  <c r="AG826" s="3"/>
      <c r="AH826" s="3"/>
      <c r="AI826" s="3"/>
      <c r="AJ826" s="3"/>
      <c r="AK826" s="3"/>
      <c r="AL826" s="3"/>
      <c r="AM826" s="3"/>
      <c r="AN826" s="3"/>
      <c r="AO826" s="3"/>
      <c r="AP826" s="3"/>
      <c r="AQ826" s="3"/>
      <c r="AR826" s="3"/>
      <c r="AS826" s="3"/>
      <c r="AT826" s="3"/>
      <c r="AU826" s="3"/>
      <c r="AV826" s="3"/>
      <c r="AW826" s="3"/>
      <c r="AX826" s="3"/>
      <c r="AY826" s="3"/>
      <c r="AZ826" s="3"/>
      <c r="BA826" s="3"/>
      <c r="BB826" s="3"/>
      <c r="BC826" s="3"/>
      <c r="BD826" s="3"/>
      <c r="BE826" s="3"/>
      <c r="BF826" s="3"/>
    </row>
    <row r="827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20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  <c r="AG827" s="3"/>
      <c r="AH827" s="3"/>
      <c r="AI827" s="3"/>
      <c r="AJ827" s="3"/>
      <c r="AK827" s="3"/>
      <c r="AL827" s="3"/>
      <c r="AM827" s="3"/>
      <c r="AN827" s="3"/>
      <c r="AO827" s="3"/>
      <c r="AP827" s="3"/>
      <c r="AQ827" s="3"/>
      <c r="AR827" s="3"/>
      <c r="AS827" s="3"/>
      <c r="AT827" s="3"/>
      <c r="AU827" s="3"/>
      <c r="AV827" s="3"/>
      <c r="AW827" s="3"/>
      <c r="AX827" s="3"/>
      <c r="AY827" s="3"/>
      <c r="AZ827" s="3"/>
      <c r="BA827" s="3"/>
      <c r="BB827" s="3"/>
      <c r="BC827" s="3"/>
      <c r="BD827" s="3"/>
      <c r="BE827" s="3"/>
      <c r="BF827" s="3"/>
    </row>
    <row r="828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20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  <c r="AG828" s="3"/>
      <c r="AH828" s="3"/>
      <c r="AI828" s="3"/>
      <c r="AJ828" s="3"/>
      <c r="AK828" s="3"/>
      <c r="AL828" s="3"/>
      <c r="AM828" s="3"/>
      <c r="AN828" s="3"/>
      <c r="AO828" s="3"/>
      <c r="AP828" s="3"/>
      <c r="AQ828" s="3"/>
      <c r="AR828" s="3"/>
      <c r="AS828" s="3"/>
      <c r="AT828" s="3"/>
      <c r="AU828" s="3"/>
      <c r="AV828" s="3"/>
      <c r="AW828" s="3"/>
      <c r="AX828" s="3"/>
      <c r="AY828" s="3"/>
      <c r="AZ828" s="3"/>
      <c r="BA828" s="3"/>
      <c r="BB828" s="3"/>
      <c r="BC828" s="3"/>
      <c r="BD828" s="3"/>
      <c r="BE828" s="3"/>
      <c r="BF828" s="3"/>
    </row>
    <row r="829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20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  <c r="AG829" s="3"/>
      <c r="AH829" s="3"/>
      <c r="AI829" s="3"/>
      <c r="AJ829" s="3"/>
      <c r="AK829" s="3"/>
      <c r="AL829" s="3"/>
      <c r="AM829" s="3"/>
      <c r="AN829" s="3"/>
      <c r="AO829" s="3"/>
      <c r="AP829" s="3"/>
      <c r="AQ829" s="3"/>
      <c r="AR829" s="3"/>
      <c r="AS829" s="3"/>
      <c r="AT829" s="3"/>
      <c r="AU829" s="3"/>
      <c r="AV829" s="3"/>
      <c r="AW829" s="3"/>
      <c r="AX829" s="3"/>
      <c r="AY829" s="3"/>
      <c r="AZ829" s="3"/>
      <c r="BA829" s="3"/>
      <c r="BB829" s="3"/>
      <c r="BC829" s="3"/>
      <c r="BD829" s="3"/>
      <c r="BE829" s="3"/>
      <c r="BF829" s="3"/>
    </row>
    <row r="830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20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  <c r="AG830" s="3"/>
      <c r="AH830" s="3"/>
      <c r="AI830" s="3"/>
      <c r="AJ830" s="3"/>
      <c r="AK830" s="3"/>
      <c r="AL830" s="3"/>
      <c r="AM830" s="3"/>
      <c r="AN830" s="3"/>
      <c r="AO830" s="3"/>
      <c r="AP830" s="3"/>
      <c r="AQ830" s="3"/>
      <c r="AR830" s="3"/>
      <c r="AS830" s="3"/>
      <c r="AT830" s="3"/>
      <c r="AU830" s="3"/>
      <c r="AV830" s="3"/>
      <c r="AW830" s="3"/>
      <c r="AX830" s="3"/>
      <c r="AY830" s="3"/>
      <c r="AZ830" s="3"/>
      <c r="BA830" s="3"/>
      <c r="BB830" s="3"/>
      <c r="BC830" s="3"/>
      <c r="BD830" s="3"/>
      <c r="BE830" s="3"/>
      <c r="BF830" s="3"/>
    </row>
    <row r="83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20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  <c r="AG831" s="3"/>
      <c r="AH831" s="3"/>
      <c r="AI831" s="3"/>
      <c r="AJ831" s="3"/>
      <c r="AK831" s="3"/>
      <c r="AL831" s="3"/>
      <c r="AM831" s="3"/>
      <c r="AN831" s="3"/>
      <c r="AO831" s="3"/>
      <c r="AP831" s="3"/>
      <c r="AQ831" s="3"/>
      <c r="AR831" s="3"/>
      <c r="AS831" s="3"/>
      <c r="AT831" s="3"/>
      <c r="AU831" s="3"/>
      <c r="AV831" s="3"/>
      <c r="AW831" s="3"/>
      <c r="AX831" s="3"/>
      <c r="AY831" s="3"/>
      <c r="AZ831" s="3"/>
      <c r="BA831" s="3"/>
      <c r="BB831" s="3"/>
      <c r="BC831" s="3"/>
      <c r="BD831" s="3"/>
      <c r="BE831" s="3"/>
      <c r="BF831" s="3"/>
    </row>
    <row r="832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20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  <c r="AG832" s="3"/>
      <c r="AH832" s="3"/>
      <c r="AI832" s="3"/>
      <c r="AJ832" s="3"/>
      <c r="AK832" s="3"/>
      <c r="AL832" s="3"/>
      <c r="AM832" s="3"/>
      <c r="AN832" s="3"/>
      <c r="AO832" s="3"/>
      <c r="AP832" s="3"/>
      <c r="AQ832" s="3"/>
      <c r="AR832" s="3"/>
      <c r="AS832" s="3"/>
      <c r="AT832" s="3"/>
      <c r="AU832" s="3"/>
      <c r="AV832" s="3"/>
      <c r="AW832" s="3"/>
      <c r="AX832" s="3"/>
      <c r="AY832" s="3"/>
      <c r="AZ832" s="3"/>
      <c r="BA832" s="3"/>
      <c r="BB832" s="3"/>
      <c r="BC832" s="3"/>
      <c r="BD832" s="3"/>
      <c r="BE832" s="3"/>
      <c r="BF832" s="3"/>
    </row>
    <row r="83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20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  <c r="AG833" s="3"/>
      <c r="AH833" s="3"/>
      <c r="AI833" s="3"/>
      <c r="AJ833" s="3"/>
      <c r="AK833" s="3"/>
      <c r="AL833" s="3"/>
      <c r="AM833" s="3"/>
      <c r="AN833" s="3"/>
      <c r="AO833" s="3"/>
      <c r="AP833" s="3"/>
      <c r="AQ833" s="3"/>
      <c r="AR833" s="3"/>
      <c r="AS833" s="3"/>
      <c r="AT833" s="3"/>
      <c r="AU833" s="3"/>
      <c r="AV833" s="3"/>
      <c r="AW833" s="3"/>
      <c r="AX833" s="3"/>
      <c r="AY833" s="3"/>
      <c r="AZ833" s="3"/>
      <c r="BA833" s="3"/>
      <c r="BB833" s="3"/>
      <c r="BC833" s="3"/>
      <c r="BD833" s="3"/>
      <c r="BE833" s="3"/>
      <c r="BF833" s="3"/>
    </row>
    <row r="834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20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  <c r="AG834" s="3"/>
      <c r="AH834" s="3"/>
      <c r="AI834" s="3"/>
      <c r="AJ834" s="3"/>
      <c r="AK834" s="3"/>
      <c r="AL834" s="3"/>
      <c r="AM834" s="3"/>
      <c r="AN834" s="3"/>
      <c r="AO834" s="3"/>
      <c r="AP834" s="3"/>
      <c r="AQ834" s="3"/>
      <c r="AR834" s="3"/>
      <c r="AS834" s="3"/>
      <c r="AT834" s="3"/>
      <c r="AU834" s="3"/>
      <c r="AV834" s="3"/>
      <c r="AW834" s="3"/>
      <c r="AX834" s="3"/>
      <c r="AY834" s="3"/>
      <c r="AZ834" s="3"/>
      <c r="BA834" s="3"/>
      <c r="BB834" s="3"/>
      <c r="BC834" s="3"/>
      <c r="BD834" s="3"/>
      <c r="BE834" s="3"/>
      <c r="BF834" s="3"/>
    </row>
    <row r="835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20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  <c r="AG835" s="3"/>
      <c r="AH835" s="3"/>
      <c r="AI835" s="3"/>
      <c r="AJ835" s="3"/>
      <c r="AK835" s="3"/>
      <c r="AL835" s="3"/>
      <c r="AM835" s="3"/>
      <c r="AN835" s="3"/>
      <c r="AO835" s="3"/>
      <c r="AP835" s="3"/>
      <c r="AQ835" s="3"/>
      <c r="AR835" s="3"/>
      <c r="AS835" s="3"/>
      <c r="AT835" s="3"/>
      <c r="AU835" s="3"/>
      <c r="AV835" s="3"/>
      <c r="AW835" s="3"/>
      <c r="AX835" s="3"/>
      <c r="AY835" s="3"/>
      <c r="AZ835" s="3"/>
      <c r="BA835" s="3"/>
      <c r="BB835" s="3"/>
      <c r="BC835" s="3"/>
      <c r="BD835" s="3"/>
      <c r="BE835" s="3"/>
      <c r="BF835" s="3"/>
    </row>
    <row r="83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20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  <c r="AG836" s="3"/>
      <c r="AH836" s="3"/>
      <c r="AI836" s="3"/>
      <c r="AJ836" s="3"/>
      <c r="AK836" s="3"/>
      <c r="AL836" s="3"/>
      <c r="AM836" s="3"/>
      <c r="AN836" s="3"/>
      <c r="AO836" s="3"/>
      <c r="AP836" s="3"/>
      <c r="AQ836" s="3"/>
      <c r="AR836" s="3"/>
      <c r="AS836" s="3"/>
      <c r="AT836" s="3"/>
      <c r="AU836" s="3"/>
      <c r="AV836" s="3"/>
      <c r="AW836" s="3"/>
      <c r="AX836" s="3"/>
      <c r="AY836" s="3"/>
      <c r="AZ836" s="3"/>
      <c r="BA836" s="3"/>
      <c r="BB836" s="3"/>
      <c r="BC836" s="3"/>
      <c r="BD836" s="3"/>
      <c r="BE836" s="3"/>
      <c r="BF836" s="3"/>
    </row>
    <row r="837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20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  <c r="AG837" s="3"/>
      <c r="AH837" s="3"/>
      <c r="AI837" s="3"/>
      <c r="AJ837" s="3"/>
      <c r="AK837" s="3"/>
      <c r="AL837" s="3"/>
      <c r="AM837" s="3"/>
      <c r="AN837" s="3"/>
      <c r="AO837" s="3"/>
      <c r="AP837" s="3"/>
      <c r="AQ837" s="3"/>
      <c r="AR837" s="3"/>
      <c r="AS837" s="3"/>
      <c r="AT837" s="3"/>
      <c r="AU837" s="3"/>
      <c r="AV837" s="3"/>
      <c r="AW837" s="3"/>
      <c r="AX837" s="3"/>
      <c r="AY837" s="3"/>
      <c r="AZ837" s="3"/>
      <c r="BA837" s="3"/>
      <c r="BB837" s="3"/>
      <c r="BC837" s="3"/>
      <c r="BD837" s="3"/>
      <c r="BE837" s="3"/>
      <c r="BF837" s="3"/>
    </row>
    <row r="838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20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  <c r="AG838" s="3"/>
      <c r="AH838" s="3"/>
      <c r="AI838" s="3"/>
      <c r="AJ838" s="3"/>
      <c r="AK838" s="3"/>
      <c r="AL838" s="3"/>
      <c r="AM838" s="3"/>
      <c r="AN838" s="3"/>
      <c r="AO838" s="3"/>
      <c r="AP838" s="3"/>
      <c r="AQ838" s="3"/>
      <c r="AR838" s="3"/>
      <c r="AS838" s="3"/>
      <c r="AT838" s="3"/>
      <c r="AU838" s="3"/>
      <c r="AV838" s="3"/>
      <c r="AW838" s="3"/>
      <c r="AX838" s="3"/>
      <c r="AY838" s="3"/>
      <c r="AZ838" s="3"/>
      <c r="BA838" s="3"/>
      <c r="BB838" s="3"/>
      <c r="BC838" s="3"/>
      <c r="BD838" s="3"/>
      <c r="BE838" s="3"/>
      <c r="BF838" s="3"/>
    </row>
    <row r="839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20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  <c r="AG839" s="3"/>
      <c r="AH839" s="3"/>
      <c r="AI839" s="3"/>
      <c r="AJ839" s="3"/>
      <c r="AK839" s="3"/>
      <c r="AL839" s="3"/>
      <c r="AM839" s="3"/>
      <c r="AN839" s="3"/>
      <c r="AO839" s="3"/>
      <c r="AP839" s="3"/>
      <c r="AQ839" s="3"/>
      <c r="AR839" s="3"/>
      <c r="AS839" s="3"/>
      <c r="AT839" s="3"/>
      <c r="AU839" s="3"/>
      <c r="AV839" s="3"/>
      <c r="AW839" s="3"/>
      <c r="AX839" s="3"/>
      <c r="AY839" s="3"/>
      <c r="AZ839" s="3"/>
      <c r="BA839" s="3"/>
      <c r="BB839" s="3"/>
      <c r="BC839" s="3"/>
      <c r="BD839" s="3"/>
      <c r="BE839" s="3"/>
      <c r="BF839" s="3"/>
    </row>
    <row r="840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20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  <c r="AG840" s="3"/>
      <c r="AH840" s="3"/>
      <c r="AI840" s="3"/>
      <c r="AJ840" s="3"/>
      <c r="AK840" s="3"/>
      <c r="AL840" s="3"/>
      <c r="AM840" s="3"/>
      <c r="AN840" s="3"/>
      <c r="AO840" s="3"/>
      <c r="AP840" s="3"/>
      <c r="AQ840" s="3"/>
      <c r="AR840" s="3"/>
      <c r="AS840" s="3"/>
      <c r="AT840" s="3"/>
      <c r="AU840" s="3"/>
      <c r="AV840" s="3"/>
      <c r="AW840" s="3"/>
      <c r="AX840" s="3"/>
      <c r="AY840" s="3"/>
      <c r="AZ840" s="3"/>
      <c r="BA840" s="3"/>
      <c r="BB840" s="3"/>
      <c r="BC840" s="3"/>
      <c r="BD840" s="3"/>
      <c r="BE840" s="3"/>
      <c r="BF840" s="3"/>
    </row>
    <row r="84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20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  <c r="AG841" s="3"/>
      <c r="AH841" s="3"/>
      <c r="AI841" s="3"/>
      <c r="AJ841" s="3"/>
      <c r="AK841" s="3"/>
      <c r="AL841" s="3"/>
      <c r="AM841" s="3"/>
      <c r="AN841" s="3"/>
      <c r="AO841" s="3"/>
      <c r="AP841" s="3"/>
      <c r="AQ841" s="3"/>
      <c r="AR841" s="3"/>
      <c r="AS841" s="3"/>
      <c r="AT841" s="3"/>
      <c r="AU841" s="3"/>
      <c r="AV841" s="3"/>
      <c r="AW841" s="3"/>
      <c r="AX841" s="3"/>
      <c r="AY841" s="3"/>
      <c r="AZ841" s="3"/>
      <c r="BA841" s="3"/>
      <c r="BB841" s="3"/>
      <c r="BC841" s="3"/>
      <c r="BD841" s="3"/>
      <c r="BE841" s="3"/>
      <c r="BF841" s="3"/>
    </row>
    <row r="842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20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  <c r="AG842" s="3"/>
      <c r="AH842" s="3"/>
      <c r="AI842" s="3"/>
      <c r="AJ842" s="3"/>
      <c r="AK842" s="3"/>
      <c r="AL842" s="3"/>
      <c r="AM842" s="3"/>
      <c r="AN842" s="3"/>
      <c r="AO842" s="3"/>
      <c r="AP842" s="3"/>
      <c r="AQ842" s="3"/>
      <c r="AR842" s="3"/>
      <c r="AS842" s="3"/>
      <c r="AT842" s="3"/>
      <c r="AU842" s="3"/>
      <c r="AV842" s="3"/>
      <c r="AW842" s="3"/>
      <c r="AX842" s="3"/>
      <c r="AY842" s="3"/>
      <c r="AZ842" s="3"/>
      <c r="BA842" s="3"/>
      <c r="BB842" s="3"/>
      <c r="BC842" s="3"/>
      <c r="BD842" s="3"/>
      <c r="BE842" s="3"/>
      <c r="BF842" s="3"/>
    </row>
    <row r="84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20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  <c r="AG843" s="3"/>
      <c r="AH843" s="3"/>
      <c r="AI843" s="3"/>
      <c r="AJ843" s="3"/>
      <c r="AK843" s="3"/>
      <c r="AL843" s="3"/>
      <c r="AM843" s="3"/>
      <c r="AN843" s="3"/>
      <c r="AO843" s="3"/>
      <c r="AP843" s="3"/>
      <c r="AQ843" s="3"/>
      <c r="AR843" s="3"/>
      <c r="AS843" s="3"/>
      <c r="AT843" s="3"/>
      <c r="AU843" s="3"/>
      <c r="AV843" s="3"/>
      <c r="AW843" s="3"/>
      <c r="AX843" s="3"/>
      <c r="AY843" s="3"/>
      <c r="AZ843" s="3"/>
      <c r="BA843" s="3"/>
      <c r="BB843" s="3"/>
      <c r="BC843" s="3"/>
      <c r="BD843" s="3"/>
      <c r="BE843" s="3"/>
      <c r="BF843" s="3"/>
    </row>
    <row r="844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20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  <c r="AG844" s="3"/>
      <c r="AH844" s="3"/>
      <c r="AI844" s="3"/>
      <c r="AJ844" s="3"/>
      <c r="AK844" s="3"/>
      <c r="AL844" s="3"/>
      <c r="AM844" s="3"/>
      <c r="AN844" s="3"/>
      <c r="AO844" s="3"/>
      <c r="AP844" s="3"/>
      <c r="AQ844" s="3"/>
      <c r="AR844" s="3"/>
      <c r="AS844" s="3"/>
      <c r="AT844" s="3"/>
      <c r="AU844" s="3"/>
      <c r="AV844" s="3"/>
      <c r="AW844" s="3"/>
      <c r="AX844" s="3"/>
      <c r="AY844" s="3"/>
      <c r="AZ844" s="3"/>
      <c r="BA844" s="3"/>
      <c r="BB844" s="3"/>
      <c r="BC844" s="3"/>
      <c r="BD844" s="3"/>
      <c r="BE844" s="3"/>
      <c r="BF844" s="3"/>
    </row>
    <row r="845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20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  <c r="AG845" s="3"/>
      <c r="AH845" s="3"/>
      <c r="AI845" s="3"/>
      <c r="AJ845" s="3"/>
      <c r="AK845" s="3"/>
      <c r="AL845" s="3"/>
      <c r="AM845" s="3"/>
      <c r="AN845" s="3"/>
      <c r="AO845" s="3"/>
      <c r="AP845" s="3"/>
      <c r="AQ845" s="3"/>
      <c r="AR845" s="3"/>
      <c r="AS845" s="3"/>
      <c r="AT845" s="3"/>
      <c r="AU845" s="3"/>
      <c r="AV845" s="3"/>
      <c r="AW845" s="3"/>
      <c r="AX845" s="3"/>
      <c r="AY845" s="3"/>
      <c r="AZ845" s="3"/>
      <c r="BA845" s="3"/>
      <c r="BB845" s="3"/>
      <c r="BC845" s="3"/>
      <c r="BD845" s="3"/>
      <c r="BE845" s="3"/>
      <c r="BF845" s="3"/>
    </row>
    <row r="84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20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  <c r="AG846" s="3"/>
      <c r="AH846" s="3"/>
      <c r="AI846" s="3"/>
      <c r="AJ846" s="3"/>
      <c r="AK846" s="3"/>
      <c r="AL846" s="3"/>
      <c r="AM846" s="3"/>
      <c r="AN846" s="3"/>
      <c r="AO846" s="3"/>
      <c r="AP846" s="3"/>
      <c r="AQ846" s="3"/>
      <c r="AR846" s="3"/>
      <c r="AS846" s="3"/>
      <c r="AT846" s="3"/>
      <c r="AU846" s="3"/>
      <c r="AV846" s="3"/>
      <c r="AW846" s="3"/>
      <c r="AX846" s="3"/>
      <c r="AY846" s="3"/>
      <c r="AZ846" s="3"/>
      <c r="BA846" s="3"/>
      <c r="BB846" s="3"/>
      <c r="BC846" s="3"/>
      <c r="BD846" s="3"/>
      <c r="BE846" s="3"/>
      <c r="BF846" s="3"/>
    </row>
    <row r="847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20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  <c r="AG847" s="3"/>
      <c r="AH847" s="3"/>
      <c r="AI847" s="3"/>
      <c r="AJ847" s="3"/>
      <c r="AK847" s="3"/>
      <c r="AL847" s="3"/>
      <c r="AM847" s="3"/>
      <c r="AN847" s="3"/>
      <c r="AO847" s="3"/>
      <c r="AP847" s="3"/>
      <c r="AQ847" s="3"/>
      <c r="AR847" s="3"/>
      <c r="AS847" s="3"/>
      <c r="AT847" s="3"/>
      <c r="AU847" s="3"/>
      <c r="AV847" s="3"/>
      <c r="AW847" s="3"/>
      <c r="AX847" s="3"/>
      <c r="AY847" s="3"/>
      <c r="AZ847" s="3"/>
      <c r="BA847" s="3"/>
      <c r="BB847" s="3"/>
      <c r="BC847" s="3"/>
      <c r="BD847" s="3"/>
      <c r="BE847" s="3"/>
      <c r="BF847" s="3"/>
    </row>
    <row r="848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20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  <c r="AG848" s="3"/>
      <c r="AH848" s="3"/>
      <c r="AI848" s="3"/>
      <c r="AJ848" s="3"/>
      <c r="AK848" s="3"/>
      <c r="AL848" s="3"/>
      <c r="AM848" s="3"/>
      <c r="AN848" s="3"/>
      <c r="AO848" s="3"/>
      <c r="AP848" s="3"/>
      <c r="AQ848" s="3"/>
      <c r="AR848" s="3"/>
      <c r="AS848" s="3"/>
      <c r="AT848" s="3"/>
      <c r="AU848" s="3"/>
      <c r="AV848" s="3"/>
      <c r="AW848" s="3"/>
      <c r="AX848" s="3"/>
      <c r="AY848" s="3"/>
      <c r="AZ848" s="3"/>
      <c r="BA848" s="3"/>
      <c r="BB848" s="3"/>
      <c r="BC848" s="3"/>
      <c r="BD848" s="3"/>
      <c r="BE848" s="3"/>
      <c r="BF848" s="3"/>
    </row>
    <row r="849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20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  <c r="AG849" s="3"/>
      <c r="AH849" s="3"/>
      <c r="AI849" s="3"/>
      <c r="AJ849" s="3"/>
      <c r="AK849" s="3"/>
      <c r="AL849" s="3"/>
      <c r="AM849" s="3"/>
      <c r="AN849" s="3"/>
      <c r="AO849" s="3"/>
      <c r="AP849" s="3"/>
      <c r="AQ849" s="3"/>
      <c r="AR849" s="3"/>
      <c r="AS849" s="3"/>
      <c r="AT849" s="3"/>
      <c r="AU849" s="3"/>
      <c r="AV849" s="3"/>
      <c r="AW849" s="3"/>
      <c r="AX849" s="3"/>
      <c r="AY849" s="3"/>
      <c r="AZ849" s="3"/>
      <c r="BA849" s="3"/>
      <c r="BB849" s="3"/>
      <c r="BC849" s="3"/>
      <c r="BD849" s="3"/>
      <c r="BE849" s="3"/>
      <c r="BF849" s="3"/>
    </row>
    <row r="850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20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  <c r="AG850" s="3"/>
      <c r="AH850" s="3"/>
      <c r="AI850" s="3"/>
      <c r="AJ850" s="3"/>
      <c r="AK850" s="3"/>
      <c r="AL850" s="3"/>
      <c r="AM850" s="3"/>
      <c r="AN850" s="3"/>
      <c r="AO850" s="3"/>
      <c r="AP850" s="3"/>
      <c r="AQ850" s="3"/>
      <c r="AR850" s="3"/>
      <c r="AS850" s="3"/>
      <c r="AT850" s="3"/>
      <c r="AU850" s="3"/>
      <c r="AV850" s="3"/>
      <c r="AW850" s="3"/>
      <c r="AX850" s="3"/>
      <c r="AY850" s="3"/>
      <c r="AZ850" s="3"/>
      <c r="BA850" s="3"/>
      <c r="BB850" s="3"/>
      <c r="BC850" s="3"/>
      <c r="BD850" s="3"/>
      <c r="BE850" s="3"/>
      <c r="BF850" s="3"/>
    </row>
    <row r="85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20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  <c r="AG851" s="3"/>
      <c r="AH851" s="3"/>
      <c r="AI851" s="3"/>
      <c r="AJ851" s="3"/>
      <c r="AK851" s="3"/>
      <c r="AL851" s="3"/>
      <c r="AM851" s="3"/>
      <c r="AN851" s="3"/>
      <c r="AO851" s="3"/>
      <c r="AP851" s="3"/>
      <c r="AQ851" s="3"/>
      <c r="AR851" s="3"/>
      <c r="AS851" s="3"/>
      <c r="AT851" s="3"/>
      <c r="AU851" s="3"/>
      <c r="AV851" s="3"/>
      <c r="AW851" s="3"/>
      <c r="AX851" s="3"/>
      <c r="AY851" s="3"/>
      <c r="AZ851" s="3"/>
      <c r="BA851" s="3"/>
      <c r="BB851" s="3"/>
      <c r="BC851" s="3"/>
      <c r="BD851" s="3"/>
      <c r="BE851" s="3"/>
      <c r="BF851" s="3"/>
    </row>
    <row r="852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20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  <c r="AG852" s="3"/>
      <c r="AH852" s="3"/>
      <c r="AI852" s="3"/>
      <c r="AJ852" s="3"/>
      <c r="AK852" s="3"/>
      <c r="AL852" s="3"/>
      <c r="AM852" s="3"/>
      <c r="AN852" s="3"/>
      <c r="AO852" s="3"/>
      <c r="AP852" s="3"/>
      <c r="AQ852" s="3"/>
      <c r="AR852" s="3"/>
      <c r="AS852" s="3"/>
      <c r="AT852" s="3"/>
      <c r="AU852" s="3"/>
      <c r="AV852" s="3"/>
      <c r="AW852" s="3"/>
      <c r="AX852" s="3"/>
      <c r="AY852" s="3"/>
      <c r="AZ852" s="3"/>
      <c r="BA852" s="3"/>
      <c r="BB852" s="3"/>
      <c r="BC852" s="3"/>
      <c r="BD852" s="3"/>
      <c r="BE852" s="3"/>
      <c r="BF852" s="3"/>
    </row>
    <row r="85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20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  <c r="AG853" s="3"/>
      <c r="AH853" s="3"/>
      <c r="AI853" s="3"/>
      <c r="AJ853" s="3"/>
      <c r="AK853" s="3"/>
      <c r="AL853" s="3"/>
      <c r="AM853" s="3"/>
      <c r="AN853" s="3"/>
      <c r="AO853" s="3"/>
      <c r="AP853" s="3"/>
      <c r="AQ853" s="3"/>
      <c r="AR853" s="3"/>
      <c r="AS853" s="3"/>
      <c r="AT853" s="3"/>
      <c r="AU853" s="3"/>
      <c r="AV853" s="3"/>
      <c r="AW853" s="3"/>
      <c r="AX853" s="3"/>
      <c r="AY853" s="3"/>
      <c r="AZ853" s="3"/>
      <c r="BA853" s="3"/>
      <c r="BB853" s="3"/>
      <c r="BC853" s="3"/>
      <c r="BD853" s="3"/>
      <c r="BE853" s="3"/>
      <c r="BF853" s="3"/>
    </row>
    <row r="854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20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  <c r="AG854" s="3"/>
      <c r="AH854" s="3"/>
      <c r="AI854" s="3"/>
      <c r="AJ854" s="3"/>
      <c r="AK854" s="3"/>
      <c r="AL854" s="3"/>
      <c r="AM854" s="3"/>
      <c r="AN854" s="3"/>
      <c r="AO854" s="3"/>
      <c r="AP854" s="3"/>
      <c r="AQ854" s="3"/>
      <c r="AR854" s="3"/>
      <c r="AS854" s="3"/>
      <c r="AT854" s="3"/>
      <c r="AU854" s="3"/>
      <c r="AV854" s="3"/>
      <c r="AW854" s="3"/>
      <c r="AX854" s="3"/>
      <c r="AY854" s="3"/>
      <c r="AZ854" s="3"/>
      <c r="BA854" s="3"/>
      <c r="BB854" s="3"/>
      <c r="BC854" s="3"/>
      <c r="BD854" s="3"/>
      <c r="BE854" s="3"/>
      <c r="BF854" s="3"/>
    </row>
    <row r="855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20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  <c r="AG855" s="3"/>
      <c r="AH855" s="3"/>
      <c r="AI855" s="3"/>
      <c r="AJ855" s="3"/>
      <c r="AK855" s="3"/>
      <c r="AL855" s="3"/>
      <c r="AM855" s="3"/>
      <c r="AN855" s="3"/>
      <c r="AO855" s="3"/>
      <c r="AP855" s="3"/>
      <c r="AQ855" s="3"/>
      <c r="AR855" s="3"/>
      <c r="AS855" s="3"/>
      <c r="AT855" s="3"/>
      <c r="AU855" s="3"/>
      <c r="AV855" s="3"/>
      <c r="AW855" s="3"/>
      <c r="AX855" s="3"/>
      <c r="AY855" s="3"/>
      <c r="AZ855" s="3"/>
      <c r="BA855" s="3"/>
      <c r="BB855" s="3"/>
      <c r="BC855" s="3"/>
      <c r="BD855" s="3"/>
      <c r="BE855" s="3"/>
      <c r="BF855" s="3"/>
    </row>
    <row r="85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20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  <c r="AG856" s="3"/>
      <c r="AH856" s="3"/>
      <c r="AI856" s="3"/>
      <c r="AJ856" s="3"/>
      <c r="AK856" s="3"/>
      <c r="AL856" s="3"/>
      <c r="AM856" s="3"/>
      <c r="AN856" s="3"/>
      <c r="AO856" s="3"/>
      <c r="AP856" s="3"/>
      <c r="AQ856" s="3"/>
      <c r="AR856" s="3"/>
      <c r="AS856" s="3"/>
      <c r="AT856" s="3"/>
      <c r="AU856" s="3"/>
      <c r="AV856" s="3"/>
      <c r="AW856" s="3"/>
      <c r="AX856" s="3"/>
      <c r="AY856" s="3"/>
      <c r="AZ856" s="3"/>
      <c r="BA856" s="3"/>
      <c r="BB856" s="3"/>
      <c r="BC856" s="3"/>
      <c r="BD856" s="3"/>
      <c r="BE856" s="3"/>
      <c r="BF856" s="3"/>
    </row>
    <row r="857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20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  <c r="AG857" s="3"/>
      <c r="AH857" s="3"/>
      <c r="AI857" s="3"/>
      <c r="AJ857" s="3"/>
      <c r="AK857" s="3"/>
      <c r="AL857" s="3"/>
      <c r="AM857" s="3"/>
      <c r="AN857" s="3"/>
      <c r="AO857" s="3"/>
      <c r="AP857" s="3"/>
      <c r="AQ857" s="3"/>
      <c r="AR857" s="3"/>
      <c r="AS857" s="3"/>
      <c r="AT857" s="3"/>
      <c r="AU857" s="3"/>
      <c r="AV857" s="3"/>
      <c r="AW857" s="3"/>
      <c r="AX857" s="3"/>
      <c r="AY857" s="3"/>
      <c r="AZ857" s="3"/>
      <c r="BA857" s="3"/>
      <c r="BB857" s="3"/>
      <c r="BC857" s="3"/>
      <c r="BD857" s="3"/>
      <c r="BE857" s="3"/>
      <c r="BF857" s="3"/>
    </row>
    <row r="858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20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  <c r="AG858" s="3"/>
      <c r="AH858" s="3"/>
      <c r="AI858" s="3"/>
      <c r="AJ858" s="3"/>
      <c r="AK858" s="3"/>
      <c r="AL858" s="3"/>
      <c r="AM858" s="3"/>
      <c r="AN858" s="3"/>
      <c r="AO858" s="3"/>
      <c r="AP858" s="3"/>
      <c r="AQ858" s="3"/>
      <c r="AR858" s="3"/>
      <c r="AS858" s="3"/>
      <c r="AT858" s="3"/>
      <c r="AU858" s="3"/>
      <c r="AV858" s="3"/>
      <c r="AW858" s="3"/>
      <c r="AX858" s="3"/>
      <c r="AY858" s="3"/>
      <c r="AZ858" s="3"/>
      <c r="BA858" s="3"/>
      <c r="BB858" s="3"/>
      <c r="BC858" s="3"/>
      <c r="BD858" s="3"/>
      <c r="BE858" s="3"/>
      <c r="BF858" s="3"/>
    </row>
    <row r="859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20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  <c r="AG859" s="3"/>
      <c r="AH859" s="3"/>
      <c r="AI859" s="3"/>
      <c r="AJ859" s="3"/>
      <c r="AK859" s="3"/>
      <c r="AL859" s="3"/>
      <c r="AM859" s="3"/>
      <c r="AN859" s="3"/>
      <c r="AO859" s="3"/>
      <c r="AP859" s="3"/>
      <c r="AQ859" s="3"/>
      <c r="AR859" s="3"/>
      <c r="AS859" s="3"/>
      <c r="AT859" s="3"/>
      <c r="AU859" s="3"/>
      <c r="AV859" s="3"/>
      <c r="AW859" s="3"/>
      <c r="AX859" s="3"/>
      <c r="AY859" s="3"/>
      <c r="AZ859" s="3"/>
      <c r="BA859" s="3"/>
      <c r="BB859" s="3"/>
      <c r="BC859" s="3"/>
      <c r="BD859" s="3"/>
      <c r="BE859" s="3"/>
      <c r="BF859" s="3"/>
    </row>
    <row r="860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20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  <c r="AG860" s="3"/>
      <c r="AH860" s="3"/>
      <c r="AI860" s="3"/>
      <c r="AJ860" s="3"/>
      <c r="AK860" s="3"/>
      <c r="AL860" s="3"/>
      <c r="AM860" s="3"/>
      <c r="AN860" s="3"/>
      <c r="AO860" s="3"/>
      <c r="AP860" s="3"/>
      <c r="AQ860" s="3"/>
      <c r="AR860" s="3"/>
      <c r="AS860" s="3"/>
      <c r="AT860" s="3"/>
      <c r="AU860" s="3"/>
      <c r="AV860" s="3"/>
      <c r="AW860" s="3"/>
      <c r="AX860" s="3"/>
      <c r="AY860" s="3"/>
      <c r="AZ860" s="3"/>
      <c r="BA860" s="3"/>
      <c r="BB860" s="3"/>
      <c r="BC860" s="3"/>
      <c r="BD860" s="3"/>
      <c r="BE860" s="3"/>
      <c r="BF860" s="3"/>
    </row>
    <row r="86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20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  <c r="AG861" s="3"/>
      <c r="AH861" s="3"/>
      <c r="AI861" s="3"/>
      <c r="AJ861" s="3"/>
      <c r="AK861" s="3"/>
      <c r="AL861" s="3"/>
      <c r="AM861" s="3"/>
      <c r="AN861" s="3"/>
      <c r="AO861" s="3"/>
      <c r="AP861" s="3"/>
      <c r="AQ861" s="3"/>
      <c r="AR861" s="3"/>
      <c r="AS861" s="3"/>
      <c r="AT861" s="3"/>
      <c r="AU861" s="3"/>
      <c r="AV861" s="3"/>
      <c r="AW861" s="3"/>
      <c r="AX861" s="3"/>
      <c r="AY861" s="3"/>
      <c r="AZ861" s="3"/>
      <c r="BA861" s="3"/>
      <c r="BB861" s="3"/>
      <c r="BC861" s="3"/>
      <c r="BD861" s="3"/>
      <c r="BE861" s="3"/>
      <c r="BF861" s="3"/>
    </row>
    <row r="862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20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  <c r="AG862" s="3"/>
      <c r="AH862" s="3"/>
      <c r="AI862" s="3"/>
      <c r="AJ862" s="3"/>
      <c r="AK862" s="3"/>
      <c r="AL862" s="3"/>
      <c r="AM862" s="3"/>
      <c r="AN862" s="3"/>
      <c r="AO862" s="3"/>
      <c r="AP862" s="3"/>
      <c r="AQ862" s="3"/>
      <c r="AR862" s="3"/>
      <c r="AS862" s="3"/>
      <c r="AT862" s="3"/>
      <c r="AU862" s="3"/>
      <c r="AV862" s="3"/>
      <c r="AW862" s="3"/>
      <c r="AX862" s="3"/>
      <c r="AY862" s="3"/>
      <c r="AZ862" s="3"/>
      <c r="BA862" s="3"/>
      <c r="BB862" s="3"/>
      <c r="BC862" s="3"/>
      <c r="BD862" s="3"/>
      <c r="BE862" s="3"/>
      <c r="BF862" s="3"/>
    </row>
    <row r="86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20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  <c r="AG863" s="3"/>
      <c r="AH863" s="3"/>
      <c r="AI863" s="3"/>
      <c r="AJ863" s="3"/>
      <c r="AK863" s="3"/>
      <c r="AL863" s="3"/>
      <c r="AM863" s="3"/>
      <c r="AN863" s="3"/>
      <c r="AO863" s="3"/>
      <c r="AP863" s="3"/>
      <c r="AQ863" s="3"/>
      <c r="AR863" s="3"/>
      <c r="AS863" s="3"/>
      <c r="AT863" s="3"/>
      <c r="AU863" s="3"/>
      <c r="AV863" s="3"/>
      <c r="AW863" s="3"/>
      <c r="AX863" s="3"/>
      <c r="AY863" s="3"/>
      <c r="AZ863" s="3"/>
      <c r="BA863" s="3"/>
      <c r="BB863" s="3"/>
      <c r="BC863" s="3"/>
      <c r="BD863" s="3"/>
      <c r="BE863" s="3"/>
      <c r="BF863" s="3"/>
    </row>
    <row r="864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20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  <c r="AG864" s="3"/>
      <c r="AH864" s="3"/>
      <c r="AI864" s="3"/>
      <c r="AJ864" s="3"/>
      <c r="AK864" s="3"/>
      <c r="AL864" s="3"/>
      <c r="AM864" s="3"/>
      <c r="AN864" s="3"/>
      <c r="AO864" s="3"/>
      <c r="AP864" s="3"/>
      <c r="AQ864" s="3"/>
      <c r="AR864" s="3"/>
      <c r="AS864" s="3"/>
      <c r="AT864" s="3"/>
      <c r="AU864" s="3"/>
      <c r="AV864" s="3"/>
      <c r="AW864" s="3"/>
      <c r="AX864" s="3"/>
      <c r="AY864" s="3"/>
      <c r="AZ864" s="3"/>
      <c r="BA864" s="3"/>
      <c r="BB864" s="3"/>
      <c r="BC864" s="3"/>
      <c r="BD864" s="3"/>
      <c r="BE864" s="3"/>
      <c r="BF864" s="3"/>
    </row>
    <row r="865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20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  <c r="AG865" s="3"/>
      <c r="AH865" s="3"/>
      <c r="AI865" s="3"/>
      <c r="AJ865" s="3"/>
      <c r="AK865" s="3"/>
      <c r="AL865" s="3"/>
      <c r="AM865" s="3"/>
      <c r="AN865" s="3"/>
      <c r="AO865" s="3"/>
      <c r="AP865" s="3"/>
      <c r="AQ865" s="3"/>
      <c r="AR865" s="3"/>
      <c r="AS865" s="3"/>
      <c r="AT865" s="3"/>
      <c r="AU865" s="3"/>
      <c r="AV865" s="3"/>
      <c r="AW865" s="3"/>
      <c r="AX865" s="3"/>
      <c r="AY865" s="3"/>
      <c r="AZ865" s="3"/>
      <c r="BA865" s="3"/>
      <c r="BB865" s="3"/>
      <c r="BC865" s="3"/>
      <c r="BD865" s="3"/>
      <c r="BE865" s="3"/>
      <c r="BF865" s="3"/>
    </row>
    <row r="86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20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  <c r="AG866" s="3"/>
      <c r="AH866" s="3"/>
      <c r="AI866" s="3"/>
      <c r="AJ866" s="3"/>
      <c r="AK866" s="3"/>
      <c r="AL866" s="3"/>
      <c r="AM866" s="3"/>
      <c r="AN866" s="3"/>
      <c r="AO866" s="3"/>
      <c r="AP866" s="3"/>
      <c r="AQ866" s="3"/>
      <c r="AR866" s="3"/>
      <c r="AS866" s="3"/>
      <c r="AT866" s="3"/>
      <c r="AU866" s="3"/>
      <c r="AV866" s="3"/>
      <c r="AW866" s="3"/>
      <c r="AX866" s="3"/>
      <c r="AY866" s="3"/>
      <c r="AZ866" s="3"/>
      <c r="BA866" s="3"/>
      <c r="BB866" s="3"/>
      <c r="BC866" s="3"/>
      <c r="BD866" s="3"/>
      <c r="BE866" s="3"/>
      <c r="BF866" s="3"/>
    </row>
    <row r="867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20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  <c r="AG867" s="3"/>
      <c r="AH867" s="3"/>
      <c r="AI867" s="3"/>
      <c r="AJ867" s="3"/>
      <c r="AK867" s="3"/>
      <c r="AL867" s="3"/>
      <c r="AM867" s="3"/>
      <c r="AN867" s="3"/>
      <c r="AO867" s="3"/>
      <c r="AP867" s="3"/>
      <c r="AQ867" s="3"/>
      <c r="AR867" s="3"/>
      <c r="AS867" s="3"/>
      <c r="AT867" s="3"/>
      <c r="AU867" s="3"/>
      <c r="AV867" s="3"/>
      <c r="AW867" s="3"/>
      <c r="AX867" s="3"/>
      <c r="AY867" s="3"/>
      <c r="AZ867" s="3"/>
      <c r="BA867" s="3"/>
      <c r="BB867" s="3"/>
      <c r="BC867" s="3"/>
      <c r="BD867" s="3"/>
      <c r="BE867" s="3"/>
      <c r="BF867" s="3"/>
    </row>
    <row r="868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20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  <c r="AG868" s="3"/>
      <c r="AH868" s="3"/>
      <c r="AI868" s="3"/>
      <c r="AJ868" s="3"/>
      <c r="AK868" s="3"/>
      <c r="AL868" s="3"/>
      <c r="AM868" s="3"/>
      <c r="AN868" s="3"/>
      <c r="AO868" s="3"/>
      <c r="AP868" s="3"/>
      <c r="AQ868" s="3"/>
      <c r="AR868" s="3"/>
      <c r="AS868" s="3"/>
      <c r="AT868" s="3"/>
      <c r="AU868" s="3"/>
      <c r="AV868" s="3"/>
      <c r="AW868" s="3"/>
      <c r="AX868" s="3"/>
      <c r="AY868" s="3"/>
      <c r="AZ868" s="3"/>
      <c r="BA868" s="3"/>
      <c r="BB868" s="3"/>
      <c r="BC868" s="3"/>
      <c r="BD868" s="3"/>
      <c r="BE868" s="3"/>
      <c r="BF868" s="3"/>
    </row>
    <row r="869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20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  <c r="AG869" s="3"/>
      <c r="AH869" s="3"/>
      <c r="AI869" s="3"/>
      <c r="AJ869" s="3"/>
      <c r="AK869" s="3"/>
      <c r="AL869" s="3"/>
      <c r="AM869" s="3"/>
      <c r="AN869" s="3"/>
      <c r="AO869" s="3"/>
      <c r="AP869" s="3"/>
      <c r="AQ869" s="3"/>
      <c r="AR869" s="3"/>
      <c r="AS869" s="3"/>
      <c r="AT869" s="3"/>
      <c r="AU869" s="3"/>
      <c r="AV869" s="3"/>
      <c r="AW869" s="3"/>
      <c r="AX869" s="3"/>
      <c r="AY869" s="3"/>
      <c r="AZ869" s="3"/>
      <c r="BA869" s="3"/>
      <c r="BB869" s="3"/>
      <c r="BC869" s="3"/>
      <c r="BD869" s="3"/>
      <c r="BE869" s="3"/>
      <c r="BF869" s="3"/>
    </row>
    <row r="870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20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  <c r="AG870" s="3"/>
      <c r="AH870" s="3"/>
      <c r="AI870" s="3"/>
      <c r="AJ870" s="3"/>
      <c r="AK870" s="3"/>
      <c r="AL870" s="3"/>
      <c r="AM870" s="3"/>
      <c r="AN870" s="3"/>
      <c r="AO870" s="3"/>
      <c r="AP870" s="3"/>
      <c r="AQ870" s="3"/>
      <c r="AR870" s="3"/>
      <c r="AS870" s="3"/>
      <c r="AT870" s="3"/>
      <c r="AU870" s="3"/>
      <c r="AV870" s="3"/>
      <c r="AW870" s="3"/>
      <c r="AX870" s="3"/>
      <c r="AY870" s="3"/>
      <c r="AZ870" s="3"/>
      <c r="BA870" s="3"/>
      <c r="BB870" s="3"/>
      <c r="BC870" s="3"/>
      <c r="BD870" s="3"/>
      <c r="BE870" s="3"/>
      <c r="BF870" s="3"/>
    </row>
    <row r="87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20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  <c r="AG871" s="3"/>
      <c r="AH871" s="3"/>
      <c r="AI871" s="3"/>
      <c r="AJ871" s="3"/>
      <c r="AK871" s="3"/>
      <c r="AL871" s="3"/>
      <c r="AM871" s="3"/>
      <c r="AN871" s="3"/>
      <c r="AO871" s="3"/>
      <c r="AP871" s="3"/>
      <c r="AQ871" s="3"/>
      <c r="AR871" s="3"/>
      <c r="AS871" s="3"/>
      <c r="AT871" s="3"/>
      <c r="AU871" s="3"/>
      <c r="AV871" s="3"/>
      <c r="AW871" s="3"/>
      <c r="AX871" s="3"/>
      <c r="AY871" s="3"/>
      <c r="AZ871" s="3"/>
      <c r="BA871" s="3"/>
      <c r="BB871" s="3"/>
      <c r="BC871" s="3"/>
      <c r="BD871" s="3"/>
      <c r="BE871" s="3"/>
      <c r="BF871" s="3"/>
    </row>
    <row r="872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20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  <c r="AG872" s="3"/>
      <c r="AH872" s="3"/>
      <c r="AI872" s="3"/>
      <c r="AJ872" s="3"/>
      <c r="AK872" s="3"/>
      <c r="AL872" s="3"/>
      <c r="AM872" s="3"/>
      <c r="AN872" s="3"/>
      <c r="AO872" s="3"/>
      <c r="AP872" s="3"/>
      <c r="AQ872" s="3"/>
      <c r="AR872" s="3"/>
      <c r="AS872" s="3"/>
      <c r="AT872" s="3"/>
      <c r="AU872" s="3"/>
      <c r="AV872" s="3"/>
      <c r="AW872" s="3"/>
      <c r="AX872" s="3"/>
      <c r="AY872" s="3"/>
      <c r="AZ872" s="3"/>
      <c r="BA872" s="3"/>
      <c r="BB872" s="3"/>
      <c r="BC872" s="3"/>
      <c r="BD872" s="3"/>
      <c r="BE872" s="3"/>
      <c r="BF872" s="3"/>
    </row>
    <row r="87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20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  <c r="AG873" s="3"/>
      <c r="AH873" s="3"/>
      <c r="AI873" s="3"/>
      <c r="AJ873" s="3"/>
      <c r="AK873" s="3"/>
      <c r="AL873" s="3"/>
      <c r="AM873" s="3"/>
      <c r="AN873" s="3"/>
      <c r="AO873" s="3"/>
      <c r="AP873" s="3"/>
      <c r="AQ873" s="3"/>
      <c r="AR873" s="3"/>
      <c r="AS873" s="3"/>
      <c r="AT873" s="3"/>
      <c r="AU873" s="3"/>
      <c r="AV873" s="3"/>
      <c r="AW873" s="3"/>
      <c r="AX873" s="3"/>
      <c r="AY873" s="3"/>
      <c r="AZ873" s="3"/>
      <c r="BA873" s="3"/>
      <c r="BB873" s="3"/>
      <c r="BC873" s="3"/>
      <c r="BD873" s="3"/>
      <c r="BE873" s="3"/>
      <c r="BF873" s="3"/>
    </row>
    <row r="874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20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  <c r="AG874" s="3"/>
      <c r="AH874" s="3"/>
      <c r="AI874" s="3"/>
      <c r="AJ874" s="3"/>
      <c r="AK874" s="3"/>
      <c r="AL874" s="3"/>
      <c r="AM874" s="3"/>
      <c r="AN874" s="3"/>
      <c r="AO874" s="3"/>
      <c r="AP874" s="3"/>
      <c r="AQ874" s="3"/>
      <c r="AR874" s="3"/>
      <c r="AS874" s="3"/>
      <c r="AT874" s="3"/>
      <c r="AU874" s="3"/>
      <c r="AV874" s="3"/>
      <c r="AW874" s="3"/>
      <c r="AX874" s="3"/>
      <c r="AY874" s="3"/>
      <c r="AZ874" s="3"/>
      <c r="BA874" s="3"/>
      <c r="BB874" s="3"/>
      <c r="BC874" s="3"/>
      <c r="BD874" s="3"/>
      <c r="BE874" s="3"/>
      <c r="BF874" s="3"/>
    </row>
    <row r="875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20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  <c r="AG875" s="3"/>
      <c r="AH875" s="3"/>
      <c r="AI875" s="3"/>
      <c r="AJ875" s="3"/>
      <c r="AK875" s="3"/>
      <c r="AL875" s="3"/>
      <c r="AM875" s="3"/>
      <c r="AN875" s="3"/>
      <c r="AO875" s="3"/>
      <c r="AP875" s="3"/>
      <c r="AQ875" s="3"/>
      <c r="AR875" s="3"/>
      <c r="AS875" s="3"/>
      <c r="AT875" s="3"/>
      <c r="AU875" s="3"/>
      <c r="AV875" s="3"/>
      <c r="AW875" s="3"/>
      <c r="AX875" s="3"/>
      <c r="AY875" s="3"/>
      <c r="AZ875" s="3"/>
      <c r="BA875" s="3"/>
      <c r="BB875" s="3"/>
      <c r="BC875" s="3"/>
      <c r="BD875" s="3"/>
      <c r="BE875" s="3"/>
      <c r="BF875" s="3"/>
    </row>
    <row r="87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20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  <c r="AG876" s="3"/>
      <c r="AH876" s="3"/>
      <c r="AI876" s="3"/>
      <c r="AJ876" s="3"/>
      <c r="AK876" s="3"/>
      <c r="AL876" s="3"/>
      <c r="AM876" s="3"/>
      <c r="AN876" s="3"/>
      <c r="AO876" s="3"/>
      <c r="AP876" s="3"/>
      <c r="AQ876" s="3"/>
      <c r="AR876" s="3"/>
      <c r="AS876" s="3"/>
      <c r="AT876" s="3"/>
      <c r="AU876" s="3"/>
      <c r="AV876" s="3"/>
      <c r="AW876" s="3"/>
      <c r="AX876" s="3"/>
      <c r="AY876" s="3"/>
      <c r="AZ876" s="3"/>
      <c r="BA876" s="3"/>
      <c r="BB876" s="3"/>
      <c r="BC876" s="3"/>
      <c r="BD876" s="3"/>
      <c r="BE876" s="3"/>
      <c r="BF876" s="3"/>
    </row>
    <row r="877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20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  <c r="AG877" s="3"/>
      <c r="AH877" s="3"/>
      <c r="AI877" s="3"/>
      <c r="AJ877" s="3"/>
      <c r="AK877" s="3"/>
      <c r="AL877" s="3"/>
      <c r="AM877" s="3"/>
      <c r="AN877" s="3"/>
      <c r="AO877" s="3"/>
      <c r="AP877" s="3"/>
      <c r="AQ877" s="3"/>
      <c r="AR877" s="3"/>
      <c r="AS877" s="3"/>
      <c r="AT877" s="3"/>
      <c r="AU877" s="3"/>
      <c r="AV877" s="3"/>
      <c r="AW877" s="3"/>
      <c r="AX877" s="3"/>
      <c r="AY877" s="3"/>
      <c r="AZ877" s="3"/>
      <c r="BA877" s="3"/>
      <c r="BB877" s="3"/>
      <c r="BC877" s="3"/>
      <c r="BD877" s="3"/>
      <c r="BE877" s="3"/>
      <c r="BF877" s="3"/>
    </row>
    <row r="878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20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  <c r="AG878" s="3"/>
      <c r="AH878" s="3"/>
      <c r="AI878" s="3"/>
      <c r="AJ878" s="3"/>
      <c r="AK878" s="3"/>
      <c r="AL878" s="3"/>
      <c r="AM878" s="3"/>
      <c r="AN878" s="3"/>
      <c r="AO878" s="3"/>
      <c r="AP878" s="3"/>
      <c r="AQ878" s="3"/>
      <c r="AR878" s="3"/>
      <c r="AS878" s="3"/>
      <c r="AT878" s="3"/>
      <c r="AU878" s="3"/>
      <c r="AV878" s="3"/>
      <c r="AW878" s="3"/>
      <c r="AX878" s="3"/>
      <c r="AY878" s="3"/>
      <c r="AZ878" s="3"/>
      <c r="BA878" s="3"/>
      <c r="BB878" s="3"/>
      <c r="BC878" s="3"/>
      <c r="BD878" s="3"/>
      <c r="BE878" s="3"/>
      <c r="BF878" s="3"/>
    </row>
    <row r="879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20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  <c r="AG879" s="3"/>
      <c r="AH879" s="3"/>
      <c r="AI879" s="3"/>
      <c r="AJ879" s="3"/>
      <c r="AK879" s="3"/>
      <c r="AL879" s="3"/>
      <c r="AM879" s="3"/>
      <c r="AN879" s="3"/>
      <c r="AO879" s="3"/>
      <c r="AP879" s="3"/>
      <c r="AQ879" s="3"/>
      <c r="AR879" s="3"/>
      <c r="AS879" s="3"/>
      <c r="AT879" s="3"/>
      <c r="AU879" s="3"/>
      <c r="AV879" s="3"/>
      <c r="AW879" s="3"/>
      <c r="AX879" s="3"/>
      <c r="AY879" s="3"/>
      <c r="AZ879" s="3"/>
      <c r="BA879" s="3"/>
      <c r="BB879" s="3"/>
      <c r="BC879" s="3"/>
      <c r="BD879" s="3"/>
      <c r="BE879" s="3"/>
      <c r="BF879" s="3"/>
    </row>
    <row r="880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20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  <c r="AG880" s="3"/>
      <c r="AH880" s="3"/>
      <c r="AI880" s="3"/>
      <c r="AJ880" s="3"/>
      <c r="AK880" s="3"/>
      <c r="AL880" s="3"/>
      <c r="AM880" s="3"/>
      <c r="AN880" s="3"/>
      <c r="AO880" s="3"/>
      <c r="AP880" s="3"/>
      <c r="AQ880" s="3"/>
      <c r="AR880" s="3"/>
      <c r="AS880" s="3"/>
      <c r="AT880" s="3"/>
      <c r="AU880" s="3"/>
      <c r="AV880" s="3"/>
      <c r="AW880" s="3"/>
      <c r="AX880" s="3"/>
      <c r="AY880" s="3"/>
      <c r="AZ880" s="3"/>
      <c r="BA880" s="3"/>
      <c r="BB880" s="3"/>
      <c r="BC880" s="3"/>
      <c r="BD880" s="3"/>
      <c r="BE880" s="3"/>
      <c r="BF880" s="3"/>
    </row>
    <row r="88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20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  <c r="AG881" s="3"/>
      <c r="AH881" s="3"/>
      <c r="AI881" s="3"/>
      <c r="AJ881" s="3"/>
      <c r="AK881" s="3"/>
      <c r="AL881" s="3"/>
      <c r="AM881" s="3"/>
      <c r="AN881" s="3"/>
      <c r="AO881" s="3"/>
      <c r="AP881" s="3"/>
      <c r="AQ881" s="3"/>
      <c r="AR881" s="3"/>
      <c r="AS881" s="3"/>
      <c r="AT881" s="3"/>
      <c r="AU881" s="3"/>
      <c r="AV881" s="3"/>
      <c r="AW881" s="3"/>
      <c r="AX881" s="3"/>
      <c r="AY881" s="3"/>
      <c r="AZ881" s="3"/>
      <c r="BA881" s="3"/>
      <c r="BB881" s="3"/>
      <c r="BC881" s="3"/>
      <c r="BD881" s="3"/>
      <c r="BE881" s="3"/>
      <c r="BF881" s="3"/>
    </row>
    <row r="882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20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  <c r="AG882" s="3"/>
      <c r="AH882" s="3"/>
      <c r="AI882" s="3"/>
      <c r="AJ882" s="3"/>
      <c r="AK882" s="3"/>
      <c r="AL882" s="3"/>
      <c r="AM882" s="3"/>
      <c r="AN882" s="3"/>
      <c r="AO882" s="3"/>
      <c r="AP882" s="3"/>
      <c r="AQ882" s="3"/>
      <c r="AR882" s="3"/>
      <c r="AS882" s="3"/>
      <c r="AT882" s="3"/>
      <c r="AU882" s="3"/>
      <c r="AV882" s="3"/>
      <c r="AW882" s="3"/>
      <c r="AX882" s="3"/>
      <c r="AY882" s="3"/>
      <c r="AZ882" s="3"/>
      <c r="BA882" s="3"/>
      <c r="BB882" s="3"/>
      <c r="BC882" s="3"/>
      <c r="BD882" s="3"/>
      <c r="BE882" s="3"/>
      <c r="BF882" s="3"/>
    </row>
    <row r="88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20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  <c r="AG883" s="3"/>
      <c r="AH883" s="3"/>
      <c r="AI883" s="3"/>
      <c r="AJ883" s="3"/>
      <c r="AK883" s="3"/>
      <c r="AL883" s="3"/>
      <c r="AM883" s="3"/>
      <c r="AN883" s="3"/>
      <c r="AO883" s="3"/>
      <c r="AP883" s="3"/>
      <c r="AQ883" s="3"/>
      <c r="AR883" s="3"/>
      <c r="AS883" s="3"/>
      <c r="AT883" s="3"/>
      <c r="AU883" s="3"/>
      <c r="AV883" s="3"/>
      <c r="AW883" s="3"/>
      <c r="AX883" s="3"/>
      <c r="AY883" s="3"/>
      <c r="AZ883" s="3"/>
      <c r="BA883" s="3"/>
      <c r="BB883" s="3"/>
      <c r="BC883" s="3"/>
      <c r="BD883" s="3"/>
      <c r="BE883" s="3"/>
      <c r="BF883" s="3"/>
    </row>
    <row r="884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20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  <c r="AG884" s="3"/>
      <c r="AH884" s="3"/>
      <c r="AI884" s="3"/>
      <c r="AJ884" s="3"/>
      <c r="AK884" s="3"/>
      <c r="AL884" s="3"/>
      <c r="AM884" s="3"/>
      <c r="AN884" s="3"/>
      <c r="AO884" s="3"/>
      <c r="AP884" s="3"/>
      <c r="AQ884" s="3"/>
      <c r="AR884" s="3"/>
      <c r="AS884" s="3"/>
      <c r="AT884" s="3"/>
      <c r="AU884" s="3"/>
      <c r="AV884" s="3"/>
      <c r="AW884" s="3"/>
      <c r="AX884" s="3"/>
      <c r="AY884" s="3"/>
      <c r="AZ884" s="3"/>
      <c r="BA884" s="3"/>
      <c r="BB884" s="3"/>
      <c r="BC884" s="3"/>
      <c r="BD884" s="3"/>
      <c r="BE884" s="3"/>
      <c r="BF884" s="3"/>
    </row>
    <row r="885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20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  <c r="AG885" s="3"/>
      <c r="AH885" s="3"/>
      <c r="AI885" s="3"/>
      <c r="AJ885" s="3"/>
      <c r="AK885" s="3"/>
      <c r="AL885" s="3"/>
      <c r="AM885" s="3"/>
      <c r="AN885" s="3"/>
      <c r="AO885" s="3"/>
      <c r="AP885" s="3"/>
      <c r="AQ885" s="3"/>
      <c r="AR885" s="3"/>
      <c r="AS885" s="3"/>
      <c r="AT885" s="3"/>
      <c r="AU885" s="3"/>
      <c r="AV885" s="3"/>
      <c r="AW885" s="3"/>
      <c r="AX885" s="3"/>
      <c r="AY885" s="3"/>
      <c r="AZ885" s="3"/>
      <c r="BA885" s="3"/>
      <c r="BB885" s="3"/>
      <c r="BC885" s="3"/>
      <c r="BD885" s="3"/>
      <c r="BE885" s="3"/>
      <c r="BF885" s="3"/>
    </row>
    <row r="88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20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  <c r="AG886" s="3"/>
      <c r="AH886" s="3"/>
      <c r="AI886" s="3"/>
      <c r="AJ886" s="3"/>
      <c r="AK886" s="3"/>
      <c r="AL886" s="3"/>
      <c r="AM886" s="3"/>
      <c r="AN886" s="3"/>
      <c r="AO886" s="3"/>
      <c r="AP886" s="3"/>
      <c r="AQ886" s="3"/>
      <c r="AR886" s="3"/>
      <c r="AS886" s="3"/>
      <c r="AT886" s="3"/>
      <c r="AU886" s="3"/>
      <c r="AV886" s="3"/>
      <c r="AW886" s="3"/>
      <c r="AX886" s="3"/>
      <c r="AY886" s="3"/>
      <c r="AZ886" s="3"/>
      <c r="BA886" s="3"/>
      <c r="BB886" s="3"/>
      <c r="BC886" s="3"/>
      <c r="BD886" s="3"/>
      <c r="BE886" s="3"/>
      <c r="BF886" s="3"/>
    </row>
    <row r="887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20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  <c r="AG887" s="3"/>
      <c r="AH887" s="3"/>
      <c r="AI887" s="3"/>
      <c r="AJ887" s="3"/>
      <c r="AK887" s="3"/>
      <c r="AL887" s="3"/>
      <c r="AM887" s="3"/>
      <c r="AN887" s="3"/>
      <c r="AO887" s="3"/>
      <c r="AP887" s="3"/>
      <c r="AQ887" s="3"/>
      <c r="AR887" s="3"/>
      <c r="AS887" s="3"/>
      <c r="AT887" s="3"/>
      <c r="AU887" s="3"/>
      <c r="AV887" s="3"/>
      <c r="AW887" s="3"/>
      <c r="AX887" s="3"/>
      <c r="AY887" s="3"/>
      <c r="AZ887" s="3"/>
      <c r="BA887" s="3"/>
      <c r="BB887" s="3"/>
      <c r="BC887" s="3"/>
      <c r="BD887" s="3"/>
      <c r="BE887" s="3"/>
      <c r="BF887" s="3"/>
    </row>
    <row r="888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20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  <c r="AG888" s="3"/>
      <c r="AH888" s="3"/>
      <c r="AI888" s="3"/>
      <c r="AJ888" s="3"/>
      <c r="AK888" s="3"/>
      <c r="AL888" s="3"/>
      <c r="AM888" s="3"/>
      <c r="AN888" s="3"/>
      <c r="AO888" s="3"/>
      <c r="AP888" s="3"/>
      <c r="AQ888" s="3"/>
      <c r="AR888" s="3"/>
      <c r="AS888" s="3"/>
      <c r="AT888" s="3"/>
      <c r="AU888" s="3"/>
      <c r="AV888" s="3"/>
      <c r="AW888" s="3"/>
      <c r="AX888" s="3"/>
      <c r="AY888" s="3"/>
      <c r="AZ888" s="3"/>
      <c r="BA888" s="3"/>
      <c r="BB888" s="3"/>
      <c r="BC888" s="3"/>
      <c r="BD888" s="3"/>
      <c r="BE888" s="3"/>
      <c r="BF888" s="3"/>
    </row>
    <row r="889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20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  <c r="AG889" s="3"/>
      <c r="AH889" s="3"/>
      <c r="AI889" s="3"/>
      <c r="AJ889" s="3"/>
      <c r="AK889" s="3"/>
      <c r="AL889" s="3"/>
      <c r="AM889" s="3"/>
      <c r="AN889" s="3"/>
      <c r="AO889" s="3"/>
      <c r="AP889" s="3"/>
      <c r="AQ889" s="3"/>
      <c r="AR889" s="3"/>
      <c r="AS889" s="3"/>
      <c r="AT889" s="3"/>
      <c r="AU889" s="3"/>
      <c r="AV889" s="3"/>
      <c r="AW889" s="3"/>
      <c r="AX889" s="3"/>
      <c r="AY889" s="3"/>
      <c r="AZ889" s="3"/>
      <c r="BA889" s="3"/>
      <c r="BB889" s="3"/>
      <c r="BC889" s="3"/>
      <c r="BD889" s="3"/>
      <c r="BE889" s="3"/>
      <c r="BF889" s="3"/>
    </row>
    <row r="890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20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  <c r="AG890" s="3"/>
      <c r="AH890" s="3"/>
      <c r="AI890" s="3"/>
      <c r="AJ890" s="3"/>
      <c r="AK890" s="3"/>
      <c r="AL890" s="3"/>
      <c r="AM890" s="3"/>
      <c r="AN890" s="3"/>
      <c r="AO890" s="3"/>
      <c r="AP890" s="3"/>
      <c r="AQ890" s="3"/>
      <c r="AR890" s="3"/>
      <c r="AS890" s="3"/>
      <c r="AT890" s="3"/>
      <c r="AU890" s="3"/>
      <c r="AV890" s="3"/>
      <c r="AW890" s="3"/>
      <c r="AX890" s="3"/>
      <c r="AY890" s="3"/>
      <c r="AZ890" s="3"/>
      <c r="BA890" s="3"/>
      <c r="BB890" s="3"/>
      <c r="BC890" s="3"/>
      <c r="BD890" s="3"/>
      <c r="BE890" s="3"/>
      <c r="BF890" s="3"/>
    </row>
    <row r="89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20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  <c r="AG891" s="3"/>
      <c r="AH891" s="3"/>
      <c r="AI891" s="3"/>
      <c r="AJ891" s="3"/>
      <c r="AK891" s="3"/>
      <c r="AL891" s="3"/>
      <c r="AM891" s="3"/>
      <c r="AN891" s="3"/>
      <c r="AO891" s="3"/>
      <c r="AP891" s="3"/>
      <c r="AQ891" s="3"/>
      <c r="AR891" s="3"/>
      <c r="AS891" s="3"/>
      <c r="AT891" s="3"/>
      <c r="AU891" s="3"/>
      <c r="AV891" s="3"/>
      <c r="AW891" s="3"/>
      <c r="AX891" s="3"/>
      <c r="AY891" s="3"/>
      <c r="AZ891" s="3"/>
      <c r="BA891" s="3"/>
      <c r="BB891" s="3"/>
      <c r="BC891" s="3"/>
      <c r="BD891" s="3"/>
      <c r="BE891" s="3"/>
      <c r="BF891" s="3"/>
    </row>
    <row r="892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20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  <c r="AG892" s="3"/>
      <c r="AH892" s="3"/>
      <c r="AI892" s="3"/>
      <c r="AJ892" s="3"/>
      <c r="AK892" s="3"/>
      <c r="AL892" s="3"/>
      <c r="AM892" s="3"/>
      <c r="AN892" s="3"/>
      <c r="AO892" s="3"/>
      <c r="AP892" s="3"/>
      <c r="AQ892" s="3"/>
      <c r="AR892" s="3"/>
      <c r="AS892" s="3"/>
      <c r="AT892" s="3"/>
      <c r="AU892" s="3"/>
      <c r="AV892" s="3"/>
      <c r="AW892" s="3"/>
      <c r="AX892" s="3"/>
      <c r="AY892" s="3"/>
      <c r="AZ892" s="3"/>
      <c r="BA892" s="3"/>
      <c r="BB892" s="3"/>
      <c r="BC892" s="3"/>
      <c r="BD892" s="3"/>
      <c r="BE892" s="3"/>
      <c r="BF892" s="3"/>
    </row>
    <row r="89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20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  <c r="AG893" s="3"/>
      <c r="AH893" s="3"/>
      <c r="AI893" s="3"/>
      <c r="AJ893" s="3"/>
      <c r="AK893" s="3"/>
      <c r="AL893" s="3"/>
      <c r="AM893" s="3"/>
      <c r="AN893" s="3"/>
      <c r="AO893" s="3"/>
      <c r="AP893" s="3"/>
      <c r="AQ893" s="3"/>
      <c r="AR893" s="3"/>
      <c r="AS893" s="3"/>
      <c r="AT893" s="3"/>
      <c r="AU893" s="3"/>
      <c r="AV893" s="3"/>
      <c r="AW893" s="3"/>
      <c r="AX893" s="3"/>
      <c r="AY893" s="3"/>
      <c r="AZ893" s="3"/>
      <c r="BA893" s="3"/>
      <c r="BB893" s="3"/>
      <c r="BC893" s="3"/>
      <c r="BD893" s="3"/>
      <c r="BE893" s="3"/>
      <c r="BF893" s="3"/>
    </row>
    <row r="894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20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  <c r="AG894" s="3"/>
      <c r="AH894" s="3"/>
      <c r="AI894" s="3"/>
      <c r="AJ894" s="3"/>
      <c r="AK894" s="3"/>
      <c r="AL894" s="3"/>
      <c r="AM894" s="3"/>
      <c r="AN894" s="3"/>
      <c r="AO894" s="3"/>
      <c r="AP894" s="3"/>
      <c r="AQ894" s="3"/>
      <c r="AR894" s="3"/>
      <c r="AS894" s="3"/>
      <c r="AT894" s="3"/>
      <c r="AU894" s="3"/>
      <c r="AV894" s="3"/>
      <c r="AW894" s="3"/>
      <c r="AX894" s="3"/>
      <c r="AY894" s="3"/>
      <c r="AZ894" s="3"/>
      <c r="BA894" s="3"/>
      <c r="BB894" s="3"/>
      <c r="BC894" s="3"/>
      <c r="BD894" s="3"/>
      <c r="BE894" s="3"/>
      <c r="BF894" s="3"/>
    </row>
    <row r="895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20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  <c r="AG895" s="3"/>
      <c r="AH895" s="3"/>
      <c r="AI895" s="3"/>
      <c r="AJ895" s="3"/>
      <c r="AK895" s="3"/>
      <c r="AL895" s="3"/>
      <c r="AM895" s="3"/>
      <c r="AN895" s="3"/>
      <c r="AO895" s="3"/>
      <c r="AP895" s="3"/>
      <c r="AQ895" s="3"/>
      <c r="AR895" s="3"/>
      <c r="AS895" s="3"/>
      <c r="AT895" s="3"/>
      <c r="AU895" s="3"/>
      <c r="AV895" s="3"/>
      <c r="AW895" s="3"/>
      <c r="AX895" s="3"/>
      <c r="AY895" s="3"/>
      <c r="AZ895" s="3"/>
      <c r="BA895" s="3"/>
      <c r="BB895" s="3"/>
      <c r="BC895" s="3"/>
      <c r="BD895" s="3"/>
      <c r="BE895" s="3"/>
      <c r="BF895" s="3"/>
    </row>
    <row r="89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20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  <c r="AG896" s="3"/>
      <c r="AH896" s="3"/>
      <c r="AI896" s="3"/>
      <c r="AJ896" s="3"/>
      <c r="AK896" s="3"/>
      <c r="AL896" s="3"/>
      <c r="AM896" s="3"/>
      <c r="AN896" s="3"/>
      <c r="AO896" s="3"/>
      <c r="AP896" s="3"/>
      <c r="AQ896" s="3"/>
      <c r="AR896" s="3"/>
      <c r="AS896" s="3"/>
      <c r="AT896" s="3"/>
      <c r="AU896" s="3"/>
      <c r="AV896" s="3"/>
      <c r="AW896" s="3"/>
      <c r="AX896" s="3"/>
      <c r="AY896" s="3"/>
      <c r="AZ896" s="3"/>
      <c r="BA896" s="3"/>
      <c r="BB896" s="3"/>
      <c r="BC896" s="3"/>
      <c r="BD896" s="3"/>
      <c r="BE896" s="3"/>
      <c r="BF896" s="3"/>
    </row>
    <row r="897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20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  <c r="AG897" s="3"/>
      <c r="AH897" s="3"/>
      <c r="AI897" s="3"/>
      <c r="AJ897" s="3"/>
      <c r="AK897" s="3"/>
      <c r="AL897" s="3"/>
      <c r="AM897" s="3"/>
      <c r="AN897" s="3"/>
      <c r="AO897" s="3"/>
      <c r="AP897" s="3"/>
      <c r="AQ897" s="3"/>
      <c r="AR897" s="3"/>
      <c r="AS897" s="3"/>
      <c r="AT897" s="3"/>
      <c r="AU897" s="3"/>
      <c r="AV897" s="3"/>
      <c r="AW897" s="3"/>
      <c r="AX897" s="3"/>
      <c r="AY897" s="3"/>
      <c r="AZ897" s="3"/>
      <c r="BA897" s="3"/>
      <c r="BB897" s="3"/>
      <c r="BC897" s="3"/>
      <c r="BD897" s="3"/>
      <c r="BE897" s="3"/>
      <c r="BF897" s="3"/>
    </row>
    <row r="898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20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  <c r="AG898" s="3"/>
      <c r="AH898" s="3"/>
      <c r="AI898" s="3"/>
      <c r="AJ898" s="3"/>
      <c r="AK898" s="3"/>
      <c r="AL898" s="3"/>
      <c r="AM898" s="3"/>
      <c r="AN898" s="3"/>
      <c r="AO898" s="3"/>
      <c r="AP898" s="3"/>
      <c r="AQ898" s="3"/>
      <c r="AR898" s="3"/>
      <c r="AS898" s="3"/>
      <c r="AT898" s="3"/>
      <c r="AU898" s="3"/>
      <c r="AV898" s="3"/>
      <c r="AW898" s="3"/>
      <c r="AX898" s="3"/>
      <c r="AY898" s="3"/>
      <c r="AZ898" s="3"/>
      <c r="BA898" s="3"/>
      <c r="BB898" s="3"/>
      <c r="BC898" s="3"/>
      <c r="BD898" s="3"/>
      <c r="BE898" s="3"/>
      <c r="BF898" s="3"/>
    </row>
    <row r="899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20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  <c r="AG899" s="3"/>
      <c r="AH899" s="3"/>
      <c r="AI899" s="3"/>
      <c r="AJ899" s="3"/>
      <c r="AK899" s="3"/>
      <c r="AL899" s="3"/>
      <c r="AM899" s="3"/>
      <c r="AN899" s="3"/>
      <c r="AO899" s="3"/>
      <c r="AP899" s="3"/>
      <c r="AQ899" s="3"/>
      <c r="AR899" s="3"/>
      <c r="AS899" s="3"/>
      <c r="AT899" s="3"/>
      <c r="AU899" s="3"/>
      <c r="AV899" s="3"/>
      <c r="AW899" s="3"/>
      <c r="AX899" s="3"/>
      <c r="AY899" s="3"/>
      <c r="AZ899" s="3"/>
      <c r="BA899" s="3"/>
      <c r="BB899" s="3"/>
      <c r="BC899" s="3"/>
      <c r="BD899" s="3"/>
      <c r="BE899" s="3"/>
      <c r="BF899" s="3"/>
    </row>
    <row r="900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20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  <c r="AG900" s="3"/>
      <c r="AH900" s="3"/>
      <c r="AI900" s="3"/>
      <c r="AJ900" s="3"/>
      <c r="AK900" s="3"/>
      <c r="AL900" s="3"/>
      <c r="AM900" s="3"/>
      <c r="AN900" s="3"/>
      <c r="AO900" s="3"/>
      <c r="AP900" s="3"/>
      <c r="AQ900" s="3"/>
      <c r="AR900" s="3"/>
      <c r="AS900" s="3"/>
      <c r="AT900" s="3"/>
      <c r="AU900" s="3"/>
      <c r="AV900" s="3"/>
      <c r="AW900" s="3"/>
      <c r="AX900" s="3"/>
      <c r="AY900" s="3"/>
      <c r="AZ900" s="3"/>
      <c r="BA900" s="3"/>
      <c r="BB900" s="3"/>
      <c r="BC900" s="3"/>
      <c r="BD900" s="3"/>
      <c r="BE900" s="3"/>
      <c r="BF900" s="3"/>
    </row>
    <row r="90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20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  <c r="AG901" s="3"/>
      <c r="AH901" s="3"/>
      <c r="AI901" s="3"/>
      <c r="AJ901" s="3"/>
      <c r="AK901" s="3"/>
      <c r="AL901" s="3"/>
      <c r="AM901" s="3"/>
      <c r="AN901" s="3"/>
      <c r="AO901" s="3"/>
      <c r="AP901" s="3"/>
      <c r="AQ901" s="3"/>
      <c r="AR901" s="3"/>
      <c r="AS901" s="3"/>
      <c r="AT901" s="3"/>
      <c r="AU901" s="3"/>
      <c r="AV901" s="3"/>
      <c r="AW901" s="3"/>
      <c r="AX901" s="3"/>
      <c r="AY901" s="3"/>
      <c r="AZ901" s="3"/>
      <c r="BA901" s="3"/>
      <c r="BB901" s="3"/>
      <c r="BC901" s="3"/>
      <c r="BD901" s="3"/>
      <c r="BE901" s="3"/>
      <c r="BF901" s="3"/>
    </row>
    <row r="902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20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  <c r="AG902" s="3"/>
      <c r="AH902" s="3"/>
      <c r="AI902" s="3"/>
      <c r="AJ902" s="3"/>
      <c r="AK902" s="3"/>
      <c r="AL902" s="3"/>
      <c r="AM902" s="3"/>
      <c r="AN902" s="3"/>
      <c r="AO902" s="3"/>
      <c r="AP902" s="3"/>
      <c r="AQ902" s="3"/>
      <c r="AR902" s="3"/>
      <c r="AS902" s="3"/>
      <c r="AT902" s="3"/>
      <c r="AU902" s="3"/>
      <c r="AV902" s="3"/>
      <c r="AW902" s="3"/>
      <c r="AX902" s="3"/>
      <c r="AY902" s="3"/>
      <c r="AZ902" s="3"/>
      <c r="BA902" s="3"/>
      <c r="BB902" s="3"/>
      <c r="BC902" s="3"/>
      <c r="BD902" s="3"/>
      <c r="BE902" s="3"/>
      <c r="BF902" s="3"/>
    </row>
    <row r="90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20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  <c r="AG903" s="3"/>
      <c r="AH903" s="3"/>
      <c r="AI903" s="3"/>
      <c r="AJ903" s="3"/>
      <c r="AK903" s="3"/>
      <c r="AL903" s="3"/>
      <c r="AM903" s="3"/>
      <c r="AN903" s="3"/>
      <c r="AO903" s="3"/>
      <c r="AP903" s="3"/>
      <c r="AQ903" s="3"/>
      <c r="AR903" s="3"/>
      <c r="AS903" s="3"/>
      <c r="AT903" s="3"/>
      <c r="AU903" s="3"/>
      <c r="AV903" s="3"/>
      <c r="AW903" s="3"/>
      <c r="AX903" s="3"/>
      <c r="AY903" s="3"/>
      <c r="AZ903" s="3"/>
      <c r="BA903" s="3"/>
      <c r="BB903" s="3"/>
      <c r="BC903" s="3"/>
      <c r="BD903" s="3"/>
      <c r="BE903" s="3"/>
      <c r="BF903" s="3"/>
    </row>
    <row r="904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20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  <c r="AG904" s="3"/>
      <c r="AH904" s="3"/>
      <c r="AI904" s="3"/>
      <c r="AJ904" s="3"/>
      <c r="AK904" s="3"/>
      <c r="AL904" s="3"/>
      <c r="AM904" s="3"/>
      <c r="AN904" s="3"/>
      <c r="AO904" s="3"/>
      <c r="AP904" s="3"/>
      <c r="AQ904" s="3"/>
      <c r="AR904" s="3"/>
      <c r="AS904" s="3"/>
      <c r="AT904" s="3"/>
      <c r="AU904" s="3"/>
      <c r="AV904" s="3"/>
      <c r="AW904" s="3"/>
      <c r="AX904" s="3"/>
      <c r="AY904" s="3"/>
      <c r="AZ904" s="3"/>
      <c r="BA904" s="3"/>
      <c r="BB904" s="3"/>
      <c r="BC904" s="3"/>
      <c r="BD904" s="3"/>
      <c r="BE904" s="3"/>
      <c r="BF904" s="3"/>
    </row>
    <row r="905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20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  <c r="AG905" s="3"/>
      <c r="AH905" s="3"/>
      <c r="AI905" s="3"/>
      <c r="AJ905" s="3"/>
      <c r="AK905" s="3"/>
      <c r="AL905" s="3"/>
      <c r="AM905" s="3"/>
      <c r="AN905" s="3"/>
      <c r="AO905" s="3"/>
      <c r="AP905" s="3"/>
      <c r="AQ905" s="3"/>
      <c r="AR905" s="3"/>
      <c r="AS905" s="3"/>
      <c r="AT905" s="3"/>
      <c r="AU905" s="3"/>
      <c r="AV905" s="3"/>
      <c r="AW905" s="3"/>
      <c r="AX905" s="3"/>
      <c r="AY905" s="3"/>
      <c r="AZ905" s="3"/>
      <c r="BA905" s="3"/>
      <c r="BB905" s="3"/>
      <c r="BC905" s="3"/>
      <c r="BD905" s="3"/>
      <c r="BE905" s="3"/>
      <c r="BF905" s="3"/>
    </row>
    <row r="90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20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  <c r="AG906" s="3"/>
      <c r="AH906" s="3"/>
      <c r="AI906" s="3"/>
      <c r="AJ906" s="3"/>
      <c r="AK906" s="3"/>
      <c r="AL906" s="3"/>
      <c r="AM906" s="3"/>
      <c r="AN906" s="3"/>
      <c r="AO906" s="3"/>
      <c r="AP906" s="3"/>
      <c r="AQ906" s="3"/>
      <c r="AR906" s="3"/>
      <c r="AS906" s="3"/>
      <c r="AT906" s="3"/>
      <c r="AU906" s="3"/>
      <c r="AV906" s="3"/>
      <c r="AW906" s="3"/>
      <c r="AX906" s="3"/>
      <c r="AY906" s="3"/>
      <c r="AZ906" s="3"/>
      <c r="BA906" s="3"/>
      <c r="BB906" s="3"/>
      <c r="BC906" s="3"/>
      <c r="BD906" s="3"/>
      <c r="BE906" s="3"/>
      <c r="BF906" s="3"/>
    </row>
    <row r="907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20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  <c r="AG907" s="3"/>
      <c r="AH907" s="3"/>
      <c r="AI907" s="3"/>
      <c r="AJ907" s="3"/>
      <c r="AK907" s="3"/>
      <c r="AL907" s="3"/>
      <c r="AM907" s="3"/>
      <c r="AN907" s="3"/>
      <c r="AO907" s="3"/>
      <c r="AP907" s="3"/>
      <c r="AQ907" s="3"/>
      <c r="AR907" s="3"/>
      <c r="AS907" s="3"/>
      <c r="AT907" s="3"/>
      <c r="AU907" s="3"/>
      <c r="AV907" s="3"/>
      <c r="AW907" s="3"/>
      <c r="AX907" s="3"/>
      <c r="AY907" s="3"/>
      <c r="AZ907" s="3"/>
      <c r="BA907" s="3"/>
      <c r="BB907" s="3"/>
      <c r="BC907" s="3"/>
      <c r="BD907" s="3"/>
      <c r="BE907" s="3"/>
      <c r="BF907" s="3"/>
    </row>
    <row r="908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20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  <c r="AG908" s="3"/>
      <c r="AH908" s="3"/>
      <c r="AI908" s="3"/>
      <c r="AJ908" s="3"/>
      <c r="AK908" s="3"/>
      <c r="AL908" s="3"/>
      <c r="AM908" s="3"/>
      <c r="AN908" s="3"/>
      <c r="AO908" s="3"/>
      <c r="AP908" s="3"/>
      <c r="AQ908" s="3"/>
      <c r="AR908" s="3"/>
      <c r="AS908" s="3"/>
      <c r="AT908" s="3"/>
      <c r="AU908" s="3"/>
      <c r="AV908" s="3"/>
      <c r="AW908" s="3"/>
      <c r="AX908" s="3"/>
      <c r="AY908" s="3"/>
      <c r="AZ908" s="3"/>
      <c r="BA908" s="3"/>
      <c r="BB908" s="3"/>
      <c r="BC908" s="3"/>
      <c r="BD908" s="3"/>
      <c r="BE908" s="3"/>
      <c r="BF908" s="3"/>
    </row>
    <row r="909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20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  <c r="AG909" s="3"/>
      <c r="AH909" s="3"/>
      <c r="AI909" s="3"/>
      <c r="AJ909" s="3"/>
      <c r="AK909" s="3"/>
      <c r="AL909" s="3"/>
      <c r="AM909" s="3"/>
      <c r="AN909" s="3"/>
      <c r="AO909" s="3"/>
      <c r="AP909" s="3"/>
      <c r="AQ909" s="3"/>
      <c r="AR909" s="3"/>
      <c r="AS909" s="3"/>
      <c r="AT909" s="3"/>
      <c r="AU909" s="3"/>
      <c r="AV909" s="3"/>
      <c r="AW909" s="3"/>
      <c r="AX909" s="3"/>
      <c r="AY909" s="3"/>
      <c r="AZ909" s="3"/>
      <c r="BA909" s="3"/>
      <c r="BB909" s="3"/>
      <c r="BC909" s="3"/>
      <c r="BD909" s="3"/>
      <c r="BE909" s="3"/>
      <c r="BF909" s="3"/>
    </row>
    <row r="910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20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  <c r="AG910" s="3"/>
      <c r="AH910" s="3"/>
      <c r="AI910" s="3"/>
      <c r="AJ910" s="3"/>
      <c r="AK910" s="3"/>
      <c r="AL910" s="3"/>
      <c r="AM910" s="3"/>
      <c r="AN910" s="3"/>
      <c r="AO910" s="3"/>
      <c r="AP910" s="3"/>
      <c r="AQ910" s="3"/>
      <c r="AR910" s="3"/>
      <c r="AS910" s="3"/>
      <c r="AT910" s="3"/>
      <c r="AU910" s="3"/>
      <c r="AV910" s="3"/>
      <c r="AW910" s="3"/>
      <c r="AX910" s="3"/>
      <c r="AY910" s="3"/>
      <c r="AZ910" s="3"/>
      <c r="BA910" s="3"/>
      <c r="BB910" s="3"/>
      <c r="BC910" s="3"/>
      <c r="BD910" s="3"/>
      <c r="BE910" s="3"/>
      <c r="BF910" s="3"/>
    </row>
    <row r="91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20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  <c r="AG911" s="3"/>
      <c r="AH911" s="3"/>
      <c r="AI911" s="3"/>
      <c r="AJ911" s="3"/>
      <c r="AK911" s="3"/>
      <c r="AL911" s="3"/>
      <c r="AM911" s="3"/>
      <c r="AN911" s="3"/>
      <c r="AO911" s="3"/>
      <c r="AP911" s="3"/>
      <c r="AQ911" s="3"/>
      <c r="AR911" s="3"/>
      <c r="AS911" s="3"/>
      <c r="AT911" s="3"/>
      <c r="AU911" s="3"/>
      <c r="AV911" s="3"/>
      <c r="AW911" s="3"/>
      <c r="AX911" s="3"/>
      <c r="AY911" s="3"/>
      <c r="AZ911" s="3"/>
      <c r="BA911" s="3"/>
      <c r="BB911" s="3"/>
      <c r="BC911" s="3"/>
      <c r="BD911" s="3"/>
      <c r="BE911" s="3"/>
      <c r="BF911" s="3"/>
    </row>
    <row r="912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20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  <c r="AG912" s="3"/>
      <c r="AH912" s="3"/>
      <c r="AI912" s="3"/>
      <c r="AJ912" s="3"/>
      <c r="AK912" s="3"/>
      <c r="AL912" s="3"/>
      <c r="AM912" s="3"/>
      <c r="AN912" s="3"/>
      <c r="AO912" s="3"/>
      <c r="AP912" s="3"/>
      <c r="AQ912" s="3"/>
      <c r="AR912" s="3"/>
      <c r="AS912" s="3"/>
      <c r="AT912" s="3"/>
      <c r="AU912" s="3"/>
      <c r="AV912" s="3"/>
      <c r="AW912" s="3"/>
      <c r="AX912" s="3"/>
      <c r="AY912" s="3"/>
      <c r="AZ912" s="3"/>
      <c r="BA912" s="3"/>
      <c r="BB912" s="3"/>
      <c r="BC912" s="3"/>
      <c r="BD912" s="3"/>
      <c r="BE912" s="3"/>
      <c r="BF912" s="3"/>
    </row>
    <row r="91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20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  <c r="AG913" s="3"/>
      <c r="AH913" s="3"/>
      <c r="AI913" s="3"/>
      <c r="AJ913" s="3"/>
      <c r="AK913" s="3"/>
      <c r="AL913" s="3"/>
      <c r="AM913" s="3"/>
      <c r="AN913" s="3"/>
      <c r="AO913" s="3"/>
      <c r="AP913" s="3"/>
      <c r="AQ913" s="3"/>
      <c r="AR913" s="3"/>
      <c r="AS913" s="3"/>
      <c r="AT913" s="3"/>
      <c r="AU913" s="3"/>
      <c r="AV913" s="3"/>
      <c r="AW913" s="3"/>
      <c r="AX913" s="3"/>
      <c r="AY913" s="3"/>
      <c r="AZ913" s="3"/>
      <c r="BA913" s="3"/>
      <c r="BB913" s="3"/>
      <c r="BC913" s="3"/>
      <c r="BD913" s="3"/>
      <c r="BE913" s="3"/>
      <c r="BF913" s="3"/>
    </row>
    <row r="914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20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  <c r="AG914" s="3"/>
      <c r="AH914" s="3"/>
      <c r="AI914" s="3"/>
      <c r="AJ914" s="3"/>
      <c r="AK914" s="3"/>
      <c r="AL914" s="3"/>
      <c r="AM914" s="3"/>
      <c r="AN914" s="3"/>
      <c r="AO914" s="3"/>
      <c r="AP914" s="3"/>
      <c r="AQ914" s="3"/>
      <c r="AR914" s="3"/>
      <c r="AS914" s="3"/>
      <c r="AT914" s="3"/>
      <c r="AU914" s="3"/>
      <c r="AV914" s="3"/>
      <c r="AW914" s="3"/>
      <c r="AX914" s="3"/>
      <c r="AY914" s="3"/>
      <c r="AZ914" s="3"/>
      <c r="BA914" s="3"/>
      <c r="BB914" s="3"/>
      <c r="BC914" s="3"/>
      <c r="BD914" s="3"/>
      <c r="BE914" s="3"/>
      <c r="BF914" s="3"/>
    </row>
    <row r="915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20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  <c r="AG915" s="3"/>
      <c r="AH915" s="3"/>
      <c r="AI915" s="3"/>
      <c r="AJ915" s="3"/>
      <c r="AK915" s="3"/>
      <c r="AL915" s="3"/>
      <c r="AM915" s="3"/>
      <c r="AN915" s="3"/>
      <c r="AO915" s="3"/>
      <c r="AP915" s="3"/>
      <c r="AQ915" s="3"/>
      <c r="AR915" s="3"/>
      <c r="AS915" s="3"/>
      <c r="AT915" s="3"/>
      <c r="AU915" s="3"/>
      <c r="AV915" s="3"/>
      <c r="AW915" s="3"/>
      <c r="AX915" s="3"/>
      <c r="AY915" s="3"/>
      <c r="AZ915" s="3"/>
      <c r="BA915" s="3"/>
      <c r="BB915" s="3"/>
      <c r="BC915" s="3"/>
      <c r="BD915" s="3"/>
      <c r="BE915" s="3"/>
      <c r="BF915" s="3"/>
    </row>
    <row r="91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20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  <c r="AG916" s="3"/>
      <c r="AH916" s="3"/>
      <c r="AI916" s="3"/>
      <c r="AJ916" s="3"/>
      <c r="AK916" s="3"/>
      <c r="AL916" s="3"/>
      <c r="AM916" s="3"/>
      <c r="AN916" s="3"/>
      <c r="AO916" s="3"/>
      <c r="AP916" s="3"/>
      <c r="AQ916" s="3"/>
      <c r="AR916" s="3"/>
      <c r="AS916" s="3"/>
      <c r="AT916" s="3"/>
      <c r="AU916" s="3"/>
      <c r="AV916" s="3"/>
      <c r="AW916" s="3"/>
      <c r="AX916" s="3"/>
      <c r="AY916" s="3"/>
      <c r="AZ916" s="3"/>
      <c r="BA916" s="3"/>
      <c r="BB916" s="3"/>
      <c r="BC916" s="3"/>
      <c r="BD916" s="3"/>
      <c r="BE916" s="3"/>
      <c r="BF916" s="3"/>
    </row>
    <row r="917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20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  <c r="AG917" s="3"/>
      <c r="AH917" s="3"/>
      <c r="AI917" s="3"/>
      <c r="AJ917" s="3"/>
      <c r="AK917" s="3"/>
      <c r="AL917" s="3"/>
      <c r="AM917" s="3"/>
      <c r="AN917" s="3"/>
      <c r="AO917" s="3"/>
      <c r="AP917" s="3"/>
      <c r="AQ917" s="3"/>
      <c r="AR917" s="3"/>
      <c r="AS917" s="3"/>
      <c r="AT917" s="3"/>
      <c r="AU917" s="3"/>
      <c r="AV917" s="3"/>
      <c r="AW917" s="3"/>
      <c r="AX917" s="3"/>
      <c r="AY917" s="3"/>
      <c r="AZ917" s="3"/>
      <c r="BA917" s="3"/>
      <c r="BB917" s="3"/>
      <c r="BC917" s="3"/>
      <c r="BD917" s="3"/>
      <c r="BE917" s="3"/>
      <c r="BF917" s="3"/>
    </row>
    <row r="918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20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  <c r="AG918" s="3"/>
      <c r="AH918" s="3"/>
      <c r="AI918" s="3"/>
      <c r="AJ918" s="3"/>
      <c r="AK918" s="3"/>
      <c r="AL918" s="3"/>
      <c r="AM918" s="3"/>
      <c r="AN918" s="3"/>
      <c r="AO918" s="3"/>
      <c r="AP918" s="3"/>
      <c r="AQ918" s="3"/>
      <c r="AR918" s="3"/>
      <c r="AS918" s="3"/>
      <c r="AT918" s="3"/>
      <c r="AU918" s="3"/>
      <c r="AV918" s="3"/>
      <c r="AW918" s="3"/>
      <c r="AX918" s="3"/>
      <c r="AY918" s="3"/>
      <c r="AZ918" s="3"/>
      <c r="BA918" s="3"/>
      <c r="BB918" s="3"/>
      <c r="BC918" s="3"/>
      <c r="BD918" s="3"/>
      <c r="BE918" s="3"/>
      <c r="BF918" s="3"/>
    </row>
    <row r="919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20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  <c r="AG919" s="3"/>
      <c r="AH919" s="3"/>
      <c r="AI919" s="3"/>
      <c r="AJ919" s="3"/>
      <c r="AK919" s="3"/>
      <c r="AL919" s="3"/>
      <c r="AM919" s="3"/>
      <c r="AN919" s="3"/>
      <c r="AO919" s="3"/>
      <c r="AP919" s="3"/>
      <c r="AQ919" s="3"/>
      <c r="AR919" s="3"/>
      <c r="AS919" s="3"/>
      <c r="AT919" s="3"/>
      <c r="AU919" s="3"/>
      <c r="AV919" s="3"/>
      <c r="AW919" s="3"/>
      <c r="AX919" s="3"/>
      <c r="AY919" s="3"/>
      <c r="AZ919" s="3"/>
      <c r="BA919" s="3"/>
      <c r="BB919" s="3"/>
      <c r="BC919" s="3"/>
      <c r="BD919" s="3"/>
      <c r="BE919" s="3"/>
      <c r="BF919" s="3"/>
    </row>
    <row r="920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20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  <c r="AG920" s="3"/>
      <c r="AH920" s="3"/>
      <c r="AI920" s="3"/>
      <c r="AJ920" s="3"/>
      <c r="AK920" s="3"/>
      <c r="AL920" s="3"/>
      <c r="AM920" s="3"/>
      <c r="AN920" s="3"/>
      <c r="AO920" s="3"/>
      <c r="AP920" s="3"/>
      <c r="AQ920" s="3"/>
      <c r="AR920" s="3"/>
      <c r="AS920" s="3"/>
      <c r="AT920" s="3"/>
      <c r="AU920" s="3"/>
      <c r="AV920" s="3"/>
      <c r="AW920" s="3"/>
      <c r="AX920" s="3"/>
      <c r="AY920" s="3"/>
      <c r="AZ920" s="3"/>
      <c r="BA920" s="3"/>
      <c r="BB920" s="3"/>
      <c r="BC920" s="3"/>
      <c r="BD920" s="3"/>
      <c r="BE920" s="3"/>
      <c r="BF920" s="3"/>
    </row>
    <row r="92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20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  <c r="AG921" s="3"/>
      <c r="AH921" s="3"/>
      <c r="AI921" s="3"/>
      <c r="AJ921" s="3"/>
      <c r="AK921" s="3"/>
      <c r="AL921" s="3"/>
      <c r="AM921" s="3"/>
      <c r="AN921" s="3"/>
      <c r="AO921" s="3"/>
      <c r="AP921" s="3"/>
      <c r="AQ921" s="3"/>
      <c r="AR921" s="3"/>
      <c r="AS921" s="3"/>
      <c r="AT921" s="3"/>
      <c r="AU921" s="3"/>
      <c r="AV921" s="3"/>
      <c r="AW921" s="3"/>
      <c r="AX921" s="3"/>
      <c r="AY921" s="3"/>
      <c r="AZ921" s="3"/>
      <c r="BA921" s="3"/>
      <c r="BB921" s="3"/>
      <c r="BC921" s="3"/>
      <c r="BD921" s="3"/>
      <c r="BE921" s="3"/>
      <c r="BF921" s="3"/>
    </row>
    <row r="922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20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  <c r="AG922" s="3"/>
      <c r="AH922" s="3"/>
      <c r="AI922" s="3"/>
      <c r="AJ922" s="3"/>
      <c r="AK922" s="3"/>
      <c r="AL922" s="3"/>
      <c r="AM922" s="3"/>
      <c r="AN922" s="3"/>
      <c r="AO922" s="3"/>
      <c r="AP922" s="3"/>
      <c r="AQ922" s="3"/>
      <c r="AR922" s="3"/>
      <c r="AS922" s="3"/>
      <c r="AT922" s="3"/>
      <c r="AU922" s="3"/>
      <c r="AV922" s="3"/>
      <c r="AW922" s="3"/>
      <c r="AX922" s="3"/>
      <c r="AY922" s="3"/>
      <c r="AZ922" s="3"/>
      <c r="BA922" s="3"/>
      <c r="BB922" s="3"/>
      <c r="BC922" s="3"/>
      <c r="BD922" s="3"/>
      <c r="BE922" s="3"/>
      <c r="BF922" s="3"/>
    </row>
    <row r="92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20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  <c r="AG923" s="3"/>
      <c r="AH923" s="3"/>
      <c r="AI923" s="3"/>
      <c r="AJ923" s="3"/>
      <c r="AK923" s="3"/>
      <c r="AL923" s="3"/>
      <c r="AM923" s="3"/>
      <c r="AN923" s="3"/>
      <c r="AO923" s="3"/>
      <c r="AP923" s="3"/>
      <c r="AQ923" s="3"/>
      <c r="AR923" s="3"/>
      <c r="AS923" s="3"/>
      <c r="AT923" s="3"/>
      <c r="AU923" s="3"/>
      <c r="AV923" s="3"/>
      <c r="AW923" s="3"/>
      <c r="AX923" s="3"/>
      <c r="AY923" s="3"/>
      <c r="AZ923" s="3"/>
      <c r="BA923" s="3"/>
      <c r="BB923" s="3"/>
      <c r="BC923" s="3"/>
      <c r="BD923" s="3"/>
      <c r="BE923" s="3"/>
      <c r="BF923" s="3"/>
    </row>
    <row r="924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20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  <c r="AG924" s="3"/>
      <c r="AH924" s="3"/>
      <c r="AI924" s="3"/>
      <c r="AJ924" s="3"/>
      <c r="AK924" s="3"/>
      <c r="AL924" s="3"/>
      <c r="AM924" s="3"/>
      <c r="AN924" s="3"/>
      <c r="AO924" s="3"/>
      <c r="AP924" s="3"/>
      <c r="AQ924" s="3"/>
      <c r="AR924" s="3"/>
      <c r="AS924" s="3"/>
      <c r="AT924" s="3"/>
      <c r="AU924" s="3"/>
      <c r="AV924" s="3"/>
      <c r="AW924" s="3"/>
      <c r="AX924" s="3"/>
      <c r="AY924" s="3"/>
      <c r="AZ924" s="3"/>
      <c r="BA924" s="3"/>
      <c r="BB924" s="3"/>
      <c r="BC924" s="3"/>
      <c r="BD924" s="3"/>
      <c r="BE924" s="3"/>
      <c r="BF924" s="3"/>
    </row>
    <row r="925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20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  <c r="AG925" s="3"/>
      <c r="AH925" s="3"/>
      <c r="AI925" s="3"/>
      <c r="AJ925" s="3"/>
      <c r="AK925" s="3"/>
      <c r="AL925" s="3"/>
      <c r="AM925" s="3"/>
      <c r="AN925" s="3"/>
      <c r="AO925" s="3"/>
      <c r="AP925" s="3"/>
      <c r="AQ925" s="3"/>
      <c r="AR925" s="3"/>
      <c r="AS925" s="3"/>
      <c r="AT925" s="3"/>
      <c r="AU925" s="3"/>
      <c r="AV925" s="3"/>
      <c r="AW925" s="3"/>
      <c r="AX925" s="3"/>
      <c r="AY925" s="3"/>
      <c r="AZ925" s="3"/>
      <c r="BA925" s="3"/>
      <c r="BB925" s="3"/>
      <c r="BC925" s="3"/>
      <c r="BD925" s="3"/>
      <c r="BE925" s="3"/>
      <c r="BF925" s="3"/>
    </row>
    <row r="9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20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  <c r="AG926" s="3"/>
      <c r="AH926" s="3"/>
      <c r="AI926" s="3"/>
      <c r="AJ926" s="3"/>
      <c r="AK926" s="3"/>
      <c r="AL926" s="3"/>
      <c r="AM926" s="3"/>
      <c r="AN926" s="3"/>
      <c r="AO926" s="3"/>
      <c r="AP926" s="3"/>
      <c r="AQ926" s="3"/>
      <c r="AR926" s="3"/>
      <c r="AS926" s="3"/>
      <c r="AT926" s="3"/>
      <c r="AU926" s="3"/>
      <c r="AV926" s="3"/>
      <c r="AW926" s="3"/>
      <c r="AX926" s="3"/>
      <c r="AY926" s="3"/>
      <c r="AZ926" s="3"/>
      <c r="BA926" s="3"/>
      <c r="BB926" s="3"/>
      <c r="BC926" s="3"/>
      <c r="BD926" s="3"/>
      <c r="BE926" s="3"/>
      <c r="BF926" s="3"/>
    </row>
    <row r="927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20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  <c r="AG927" s="3"/>
      <c r="AH927" s="3"/>
      <c r="AI927" s="3"/>
      <c r="AJ927" s="3"/>
      <c r="AK927" s="3"/>
      <c r="AL927" s="3"/>
      <c r="AM927" s="3"/>
      <c r="AN927" s="3"/>
      <c r="AO927" s="3"/>
      <c r="AP927" s="3"/>
      <c r="AQ927" s="3"/>
      <c r="AR927" s="3"/>
      <c r="AS927" s="3"/>
      <c r="AT927" s="3"/>
      <c r="AU927" s="3"/>
      <c r="AV927" s="3"/>
      <c r="AW927" s="3"/>
      <c r="AX927" s="3"/>
      <c r="AY927" s="3"/>
      <c r="AZ927" s="3"/>
      <c r="BA927" s="3"/>
      <c r="BB927" s="3"/>
      <c r="BC927" s="3"/>
      <c r="BD927" s="3"/>
      <c r="BE927" s="3"/>
      <c r="BF927" s="3"/>
    </row>
    <row r="928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20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  <c r="AG928" s="3"/>
      <c r="AH928" s="3"/>
      <c r="AI928" s="3"/>
      <c r="AJ928" s="3"/>
      <c r="AK928" s="3"/>
      <c r="AL928" s="3"/>
      <c r="AM928" s="3"/>
      <c r="AN928" s="3"/>
      <c r="AO928" s="3"/>
      <c r="AP928" s="3"/>
      <c r="AQ928" s="3"/>
      <c r="AR928" s="3"/>
      <c r="AS928" s="3"/>
      <c r="AT928" s="3"/>
      <c r="AU928" s="3"/>
      <c r="AV928" s="3"/>
      <c r="AW928" s="3"/>
      <c r="AX928" s="3"/>
      <c r="AY928" s="3"/>
      <c r="AZ928" s="3"/>
      <c r="BA928" s="3"/>
      <c r="BB928" s="3"/>
      <c r="BC928" s="3"/>
      <c r="BD928" s="3"/>
      <c r="BE928" s="3"/>
      <c r="BF928" s="3"/>
    </row>
    <row r="929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20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  <c r="AG929" s="3"/>
      <c r="AH929" s="3"/>
      <c r="AI929" s="3"/>
      <c r="AJ929" s="3"/>
      <c r="AK929" s="3"/>
      <c r="AL929" s="3"/>
      <c r="AM929" s="3"/>
      <c r="AN929" s="3"/>
      <c r="AO929" s="3"/>
      <c r="AP929" s="3"/>
      <c r="AQ929" s="3"/>
      <c r="AR929" s="3"/>
      <c r="AS929" s="3"/>
      <c r="AT929" s="3"/>
      <c r="AU929" s="3"/>
      <c r="AV929" s="3"/>
      <c r="AW929" s="3"/>
      <c r="AX929" s="3"/>
      <c r="AY929" s="3"/>
      <c r="AZ929" s="3"/>
      <c r="BA929" s="3"/>
      <c r="BB929" s="3"/>
      <c r="BC929" s="3"/>
      <c r="BD929" s="3"/>
      <c r="BE929" s="3"/>
      <c r="BF929" s="3"/>
    </row>
    <row r="930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20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  <c r="AG930" s="3"/>
      <c r="AH930" s="3"/>
      <c r="AI930" s="3"/>
      <c r="AJ930" s="3"/>
      <c r="AK930" s="3"/>
      <c r="AL930" s="3"/>
      <c r="AM930" s="3"/>
      <c r="AN930" s="3"/>
      <c r="AO930" s="3"/>
      <c r="AP930" s="3"/>
      <c r="AQ930" s="3"/>
      <c r="AR930" s="3"/>
      <c r="AS930" s="3"/>
      <c r="AT930" s="3"/>
      <c r="AU930" s="3"/>
      <c r="AV930" s="3"/>
      <c r="AW930" s="3"/>
      <c r="AX930" s="3"/>
      <c r="AY930" s="3"/>
      <c r="AZ930" s="3"/>
      <c r="BA930" s="3"/>
      <c r="BB930" s="3"/>
      <c r="BC930" s="3"/>
      <c r="BD930" s="3"/>
      <c r="BE930" s="3"/>
      <c r="BF930" s="3"/>
    </row>
    <row r="93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20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  <c r="AG931" s="3"/>
      <c r="AH931" s="3"/>
      <c r="AI931" s="3"/>
      <c r="AJ931" s="3"/>
      <c r="AK931" s="3"/>
      <c r="AL931" s="3"/>
      <c r="AM931" s="3"/>
      <c r="AN931" s="3"/>
      <c r="AO931" s="3"/>
      <c r="AP931" s="3"/>
      <c r="AQ931" s="3"/>
      <c r="AR931" s="3"/>
      <c r="AS931" s="3"/>
      <c r="AT931" s="3"/>
      <c r="AU931" s="3"/>
      <c r="AV931" s="3"/>
      <c r="AW931" s="3"/>
      <c r="AX931" s="3"/>
      <c r="AY931" s="3"/>
      <c r="AZ931" s="3"/>
      <c r="BA931" s="3"/>
      <c r="BB931" s="3"/>
      <c r="BC931" s="3"/>
      <c r="BD931" s="3"/>
      <c r="BE931" s="3"/>
      <c r="BF931" s="3"/>
    </row>
    <row r="932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20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  <c r="AG932" s="3"/>
      <c r="AH932" s="3"/>
      <c r="AI932" s="3"/>
      <c r="AJ932" s="3"/>
      <c r="AK932" s="3"/>
      <c r="AL932" s="3"/>
      <c r="AM932" s="3"/>
      <c r="AN932" s="3"/>
      <c r="AO932" s="3"/>
      <c r="AP932" s="3"/>
      <c r="AQ932" s="3"/>
      <c r="AR932" s="3"/>
      <c r="AS932" s="3"/>
      <c r="AT932" s="3"/>
      <c r="AU932" s="3"/>
      <c r="AV932" s="3"/>
      <c r="AW932" s="3"/>
      <c r="AX932" s="3"/>
      <c r="AY932" s="3"/>
      <c r="AZ932" s="3"/>
      <c r="BA932" s="3"/>
      <c r="BB932" s="3"/>
      <c r="BC932" s="3"/>
      <c r="BD932" s="3"/>
      <c r="BE932" s="3"/>
      <c r="BF932" s="3"/>
    </row>
    <row r="93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20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  <c r="AG933" s="3"/>
      <c r="AH933" s="3"/>
      <c r="AI933" s="3"/>
      <c r="AJ933" s="3"/>
      <c r="AK933" s="3"/>
      <c r="AL933" s="3"/>
      <c r="AM933" s="3"/>
      <c r="AN933" s="3"/>
      <c r="AO933" s="3"/>
      <c r="AP933" s="3"/>
      <c r="AQ933" s="3"/>
      <c r="AR933" s="3"/>
      <c r="AS933" s="3"/>
      <c r="AT933" s="3"/>
      <c r="AU933" s="3"/>
      <c r="AV933" s="3"/>
      <c r="AW933" s="3"/>
      <c r="AX933" s="3"/>
      <c r="AY933" s="3"/>
      <c r="AZ933" s="3"/>
      <c r="BA933" s="3"/>
      <c r="BB933" s="3"/>
      <c r="BC933" s="3"/>
      <c r="BD933" s="3"/>
      <c r="BE933" s="3"/>
      <c r="BF933" s="3"/>
    </row>
    <row r="934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20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  <c r="AG934" s="3"/>
      <c r="AH934" s="3"/>
      <c r="AI934" s="3"/>
      <c r="AJ934" s="3"/>
      <c r="AK934" s="3"/>
      <c r="AL934" s="3"/>
      <c r="AM934" s="3"/>
      <c r="AN934" s="3"/>
      <c r="AO934" s="3"/>
      <c r="AP934" s="3"/>
      <c r="AQ934" s="3"/>
      <c r="AR934" s="3"/>
      <c r="AS934" s="3"/>
      <c r="AT934" s="3"/>
      <c r="AU934" s="3"/>
      <c r="AV934" s="3"/>
      <c r="AW934" s="3"/>
      <c r="AX934" s="3"/>
      <c r="AY934" s="3"/>
      <c r="AZ934" s="3"/>
      <c r="BA934" s="3"/>
      <c r="BB934" s="3"/>
      <c r="BC934" s="3"/>
      <c r="BD934" s="3"/>
      <c r="BE934" s="3"/>
      <c r="BF934" s="3"/>
    </row>
    <row r="935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20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  <c r="AG935" s="3"/>
      <c r="AH935" s="3"/>
      <c r="AI935" s="3"/>
      <c r="AJ935" s="3"/>
      <c r="AK935" s="3"/>
      <c r="AL935" s="3"/>
      <c r="AM935" s="3"/>
      <c r="AN935" s="3"/>
      <c r="AO935" s="3"/>
      <c r="AP935" s="3"/>
      <c r="AQ935" s="3"/>
      <c r="AR935" s="3"/>
      <c r="AS935" s="3"/>
      <c r="AT935" s="3"/>
      <c r="AU935" s="3"/>
      <c r="AV935" s="3"/>
      <c r="AW935" s="3"/>
      <c r="AX935" s="3"/>
      <c r="AY935" s="3"/>
      <c r="AZ935" s="3"/>
      <c r="BA935" s="3"/>
      <c r="BB935" s="3"/>
      <c r="BC935" s="3"/>
      <c r="BD935" s="3"/>
      <c r="BE935" s="3"/>
      <c r="BF935" s="3"/>
    </row>
    <row r="93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20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  <c r="AG936" s="3"/>
      <c r="AH936" s="3"/>
      <c r="AI936" s="3"/>
      <c r="AJ936" s="3"/>
      <c r="AK936" s="3"/>
      <c r="AL936" s="3"/>
      <c r="AM936" s="3"/>
      <c r="AN936" s="3"/>
      <c r="AO936" s="3"/>
      <c r="AP936" s="3"/>
      <c r="AQ936" s="3"/>
      <c r="AR936" s="3"/>
      <c r="AS936" s="3"/>
      <c r="AT936" s="3"/>
      <c r="AU936" s="3"/>
      <c r="AV936" s="3"/>
      <c r="AW936" s="3"/>
      <c r="AX936" s="3"/>
      <c r="AY936" s="3"/>
      <c r="AZ936" s="3"/>
      <c r="BA936" s="3"/>
      <c r="BB936" s="3"/>
      <c r="BC936" s="3"/>
      <c r="BD936" s="3"/>
      <c r="BE936" s="3"/>
      <c r="BF936" s="3"/>
    </row>
    <row r="937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20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  <c r="AG937" s="3"/>
      <c r="AH937" s="3"/>
      <c r="AI937" s="3"/>
      <c r="AJ937" s="3"/>
      <c r="AK937" s="3"/>
      <c r="AL937" s="3"/>
      <c r="AM937" s="3"/>
      <c r="AN937" s="3"/>
      <c r="AO937" s="3"/>
      <c r="AP937" s="3"/>
      <c r="AQ937" s="3"/>
      <c r="AR937" s="3"/>
      <c r="AS937" s="3"/>
      <c r="AT937" s="3"/>
      <c r="AU937" s="3"/>
      <c r="AV937" s="3"/>
      <c r="AW937" s="3"/>
      <c r="AX937" s="3"/>
      <c r="AY937" s="3"/>
      <c r="AZ937" s="3"/>
      <c r="BA937" s="3"/>
      <c r="BB937" s="3"/>
      <c r="BC937" s="3"/>
      <c r="BD937" s="3"/>
      <c r="BE937" s="3"/>
      <c r="BF937" s="3"/>
    </row>
    <row r="938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20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  <c r="AG938" s="3"/>
      <c r="AH938" s="3"/>
      <c r="AI938" s="3"/>
      <c r="AJ938" s="3"/>
      <c r="AK938" s="3"/>
      <c r="AL938" s="3"/>
      <c r="AM938" s="3"/>
      <c r="AN938" s="3"/>
      <c r="AO938" s="3"/>
      <c r="AP938" s="3"/>
      <c r="AQ938" s="3"/>
      <c r="AR938" s="3"/>
      <c r="AS938" s="3"/>
      <c r="AT938" s="3"/>
      <c r="AU938" s="3"/>
      <c r="AV938" s="3"/>
      <c r="AW938" s="3"/>
      <c r="AX938" s="3"/>
      <c r="AY938" s="3"/>
      <c r="AZ938" s="3"/>
      <c r="BA938" s="3"/>
      <c r="BB938" s="3"/>
      <c r="BC938" s="3"/>
      <c r="BD938" s="3"/>
      <c r="BE938" s="3"/>
      <c r="BF938" s="3"/>
    </row>
    <row r="939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20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  <c r="AG939" s="3"/>
      <c r="AH939" s="3"/>
      <c r="AI939" s="3"/>
      <c r="AJ939" s="3"/>
      <c r="AK939" s="3"/>
      <c r="AL939" s="3"/>
      <c r="AM939" s="3"/>
      <c r="AN939" s="3"/>
      <c r="AO939" s="3"/>
      <c r="AP939" s="3"/>
      <c r="AQ939" s="3"/>
      <c r="AR939" s="3"/>
      <c r="AS939" s="3"/>
      <c r="AT939" s="3"/>
      <c r="AU939" s="3"/>
      <c r="AV939" s="3"/>
      <c r="AW939" s="3"/>
      <c r="AX939" s="3"/>
      <c r="AY939" s="3"/>
      <c r="AZ939" s="3"/>
      <c r="BA939" s="3"/>
      <c r="BB939" s="3"/>
      <c r="BC939" s="3"/>
      <c r="BD939" s="3"/>
      <c r="BE939" s="3"/>
      <c r="BF939" s="3"/>
    </row>
    <row r="940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20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  <c r="AG940" s="3"/>
      <c r="AH940" s="3"/>
      <c r="AI940" s="3"/>
      <c r="AJ940" s="3"/>
      <c r="AK940" s="3"/>
      <c r="AL940" s="3"/>
      <c r="AM940" s="3"/>
      <c r="AN940" s="3"/>
      <c r="AO940" s="3"/>
      <c r="AP940" s="3"/>
      <c r="AQ940" s="3"/>
      <c r="AR940" s="3"/>
      <c r="AS940" s="3"/>
      <c r="AT940" s="3"/>
      <c r="AU940" s="3"/>
      <c r="AV940" s="3"/>
      <c r="AW940" s="3"/>
      <c r="AX940" s="3"/>
      <c r="AY940" s="3"/>
      <c r="AZ940" s="3"/>
      <c r="BA940" s="3"/>
      <c r="BB940" s="3"/>
      <c r="BC940" s="3"/>
      <c r="BD940" s="3"/>
      <c r="BE940" s="3"/>
      <c r="BF940" s="3"/>
    </row>
    <row r="94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20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  <c r="AG941" s="3"/>
      <c r="AH941" s="3"/>
      <c r="AI941" s="3"/>
      <c r="AJ941" s="3"/>
      <c r="AK941" s="3"/>
      <c r="AL941" s="3"/>
      <c r="AM941" s="3"/>
      <c r="AN941" s="3"/>
      <c r="AO941" s="3"/>
      <c r="AP941" s="3"/>
      <c r="AQ941" s="3"/>
      <c r="AR941" s="3"/>
      <c r="AS941" s="3"/>
      <c r="AT941" s="3"/>
      <c r="AU941" s="3"/>
      <c r="AV941" s="3"/>
      <c r="AW941" s="3"/>
      <c r="AX941" s="3"/>
      <c r="AY941" s="3"/>
      <c r="AZ941" s="3"/>
      <c r="BA941" s="3"/>
      <c r="BB941" s="3"/>
      <c r="BC941" s="3"/>
      <c r="BD941" s="3"/>
      <c r="BE941" s="3"/>
      <c r="BF941" s="3"/>
    </row>
    <row r="942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20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  <c r="AG942" s="3"/>
      <c r="AH942" s="3"/>
      <c r="AI942" s="3"/>
      <c r="AJ942" s="3"/>
      <c r="AK942" s="3"/>
      <c r="AL942" s="3"/>
      <c r="AM942" s="3"/>
      <c r="AN942" s="3"/>
      <c r="AO942" s="3"/>
      <c r="AP942" s="3"/>
      <c r="AQ942" s="3"/>
      <c r="AR942" s="3"/>
      <c r="AS942" s="3"/>
      <c r="AT942" s="3"/>
      <c r="AU942" s="3"/>
      <c r="AV942" s="3"/>
      <c r="AW942" s="3"/>
      <c r="AX942" s="3"/>
      <c r="AY942" s="3"/>
      <c r="AZ942" s="3"/>
      <c r="BA942" s="3"/>
      <c r="BB942" s="3"/>
      <c r="BC942" s="3"/>
      <c r="BD942" s="3"/>
      <c r="BE942" s="3"/>
      <c r="BF942" s="3"/>
    </row>
    <row r="94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20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  <c r="AG943" s="3"/>
      <c r="AH943" s="3"/>
      <c r="AI943" s="3"/>
      <c r="AJ943" s="3"/>
      <c r="AK943" s="3"/>
      <c r="AL943" s="3"/>
      <c r="AM943" s="3"/>
      <c r="AN943" s="3"/>
      <c r="AO943" s="3"/>
      <c r="AP943" s="3"/>
      <c r="AQ943" s="3"/>
      <c r="AR943" s="3"/>
      <c r="AS943" s="3"/>
      <c r="AT943" s="3"/>
      <c r="AU943" s="3"/>
      <c r="AV943" s="3"/>
      <c r="AW943" s="3"/>
      <c r="AX943" s="3"/>
      <c r="AY943" s="3"/>
      <c r="AZ943" s="3"/>
      <c r="BA943" s="3"/>
      <c r="BB943" s="3"/>
      <c r="BC943" s="3"/>
      <c r="BD943" s="3"/>
      <c r="BE943" s="3"/>
      <c r="BF943" s="3"/>
    </row>
    <row r="944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20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  <c r="AG944" s="3"/>
      <c r="AH944" s="3"/>
      <c r="AI944" s="3"/>
      <c r="AJ944" s="3"/>
      <c r="AK944" s="3"/>
      <c r="AL944" s="3"/>
      <c r="AM944" s="3"/>
      <c r="AN944" s="3"/>
      <c r="AO944" s="3"/>
      <c r="AP944" s="3"/>
      <c r="AQ944" s="3"/>
      <c r="AR944" s="3"/>
      <c r="AS944" s="3"/>
      <c r="AT944" s="3"/>
      <c r="AU944" s="3"/>
      <c r="AV944" s="3"/>
      <c r="AW944" s="3"/>
      <c r="AX944" s="3"/>
      <c r="AY944" s="3"/>
      <c r="AZ944" s="3"/>
      <c r="BA944" s="3"/>
      <c r="BB944" s="3"/>
      <c r="BC944" s="3"/>
      <c r="BD944" s="3"/>
      <c r="BE944" s="3"/>
      <c r="BF944" s="3"/>
    </row>
    <row r="945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20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  <c r="AG945" s="3"/>
      <c r="AH945" s="3"/>
      <c r="AI945" s="3"/>
      <c r="AJ945" s="3"/>
      <c r="AK945" s="3"/>
      <c r="AL945" s="3"/>
      <c r="AM945" s="3"/>
      <c r="AN945" s="3"/>
      <c r="AO945" s="3"/>
      <c r="AP945" s="3"/>
      <c r="AQ945" s="3"/>
      <c r="AR945" s="3"/>
      <c r="AS945" s="3"/>
      <c r="AT945" s="3"/>
      <c r="AU945" s="3"/>
      <c r="AV945" s="3"/>
      <c r="AW945" s="3"/>
      <c r="AX945" s="3"/>
      <c r="AY945" s="3"/>
      <c r="AZ945" s="3"/>
      <c r="BA945" s="3"/>
      <c r="BB945" s="3"/>
      <c r="BC945" s="3"/>
      <c r="BD945" s="3"/>
      <c r="BE945" s="3"/>
      <c r="BF945" s="3"/>
    </row>
    <row r="94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20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  <c r="AG946" s="3"/>
      <c r="AH946" s="3"/>
      <c r="AI946" s="3"/>
      <c r="AJ946" s="3"/>
      <c r="AK946" s="3"/>
      <c r="AL946" s="3"/>
      <c r="AM946" s="3"/>
      <c r="AN946" s="3"/>
      <c r="AO946" s="3"/>
      <c r="AP946" s="3"/>
      <c r="AQ946" s="3"/>
      <c r="AR946" s="3"/>
      <c r="AS946" s="3"/>
      <c r="AT946" s="3"/>
      <c r="AU946" s="3"/>
      <c r="AV946" s="3"/>
      <c r="AW946" s="3"/>
      <c r="AX946" s="3"/>
      <c r="AY946" s="3"/>
      <c r="AZ946" s="3"/>
      <c r="BA946" s="3"/>
      <c r="BB946" s="3"/>
      <c r="BC946" s="3"/>
      <c r="BD946" s="3"/>
      <c r="BE946" s="3"/>
      <c r="BF946" s="3"/>
    </row>
    <row r="947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20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  <c r="AG947" s="3"/>
      <c r="AH947" s="3"/>
      <c r="AI947" s="3"/>
      <c r="AJ947" s="3"/>
      <c r="AK947" s="3"/>
      <c r="AL947" s="3"/>
      <c r="AM947" s="3"/>
      <c r="AN947" s="3"/>
      <c r="AO947" s="3"/>
      <c r="AP947" s="3"/>
      <c r="AQ947" s="3"/>
      <c r="AR947" s="3"/>
      <c r="AS947" s="3"/>
      <c r="AT947" s="3"/>
      <c r="AU947" s="3"/>
      <c r="AV947" s="3"/>
      <c r="AW947" s="3"/>
      <c r="AX947" s="3"/>
      <c r="AY947" s="3"/>
      <c r="AZ947" s="3"/>
      <c r="BA947" s="3"/>
      <c r="BB947" s="3"/>
      <c r="BC947" s="3"/>
      <c r="BD947" s="3"/>
      <c r="BE947" s="3"/>
      <c r="BF947" s="3"/>
    </row>
    <row r="948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20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  <c r="AG948" s="3"/>
      <c r="AH948" s="3"/>
      <c r="AI948" s="3"/>
      <c r="AJ948" s="3"/>
      <c r="AK948" s="3"/>
      <c r="AL948" s="3"/>
      <c r="AM948" s="3"/>
      <c r="AN948" s="3"/>
      <c r="AO948" s="3"/>
      <c r="AP948" s="3"/>
      <c r="AQ948" s="3"/>
      <c r="AR948" s="3"/>
      <c r="AS948" s="3"/>
      <c r="AT948" s="3"/>
      <c r="AU948" s="3"/>
      <c r="AV948" s="3"/>
      <c r="AW948" s="3"/>
      <c r="AX948" s="3"/>
      <c r="AY948" s="3"/>
      <c r="AZ948" s="3"/>
      <c r="BA948" s="3"/>
      <c r="BB948" s="3"/>
      <c r="BC948" s="3"/>
      <c r="BD948" s="3"/>
      <c r="BE948" s="3"/>
      <c r="BF948" s="3"/>
    </row>
    <row r="949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20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  <c r="AG949" s="3"/>
      <c r="AH949" s="3"/>
      <c r="AI949" s="3"/>
      <c r="AJ949" s="3"/>
      <c r="AK949" s="3"/>
      <c r="AL949" s="3"/>
      <c r="AM949" s="3"/>
      <c r="AN949" s="3"/>
      <c r="AO949" s="3"/>
      <c r="AP949" s="3"/>
      <c r="AQ949" s="3"/>
      <c r="AR949" s="3"/>
      <c r="AS949" s="3"/>
      <c r="AT949" s="3"/>
      <c r="AU949" s="3"/>
      <c r="AV949" s="3"/>
      <c r="AW949" s="3"/>
      <c r="AX949" s="3"/>
      <c r="AY949" s="3"/>
      <c r="AZ949" s="3"/>
      <c r="BA949" s="3"/>
      <c r="BB949" s="3"/>
      <c r="BC949" s="3"/>
      <c r="BD949" s="3"/>
      <c r="BE949" s="3"/>
      <c r="BF949" s="3"/>
    </row>
    <row r="950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20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  <c r="AG950" s="3"/>
      <c r="AH950" s="3"/>
      <c r="AI950" s="3"/>
      <c r="AJ950" s="3"/>
      <c r="AK950" s="3"/>
      <c r="AL950" s="3"/>
      <c r="AM950" s="3"/>
      <c r="AN950" s="3"/>
      <c r="AO950" s="3"/>
      <c r="AP950" s="3"/>
      <c r="AQ950" s="3"/>
      <c r="AR950" s="3"/>
      <c r="AS950" s="3"/>
      <c r="AT950" s="3"/>
      <c r="AU950" s="3"/>
      <c r="AV950" s="3"/>
      <c r="AW950" s="3"/>
      <c r="AX950" s="3"/>
      <c r="AY950" s="3"/>
      <c r="AZ950" s="3"/>
      <c r="BA950" s="3"/>
      <c r="BB950" s="3"/>
      <c r="BC950" s="3"/>
      <c r="BD950" s="3"/>
      <c r="BE950" s="3"/>
      <c r="BF950" s="3"/>
    </row>
    <row r="95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20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  <c r="AG951" s="3"/>
      <c r="AH951" s="3"/>
      <c r="AI951" s="3"/>
      <c r="AJ951" s="3"/>
      <c r="AK951" s="3"/>
      <c r="AL951" s="3"/>
      <c r="AM951" s="3"/>
      <c r="AN951" s="3"/>
      <c r="AO951" s="3"/>
      <c r="AP951" s="3"/>
      <c r="AQ951" s="3"/>
      <c r="AR951" s="3"/>
      <c r="AS951" s="3"/>
      <c r="AT951" s="3"/>
      <c r="AU951" s="3"/>
      <c r="AV951" s="3"/>
      <c r="AW951" s="3"/>
      <c r="AX951" s="3"/>
      <c r="AY951" s="3"/>
      <c r="AZ951" s="3"/>
      <c r="BA951" s="3"/>
      <c r="BB951" s="3"/>
      <c r="BC951" s="3"/>
      <c r="BD951" s="3"/>
      <c r="BE951" s="3"/>
      <c r="BF951" s="3"/>
    </row>
    <row r="952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20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  <c r="AG952" s="3"/>
      <c r="AH952" s="3"/>
      <c r="AI952" s="3"/>
      <c r="AJ952" s="3"/>
      <c r="AK952" s="3"/>
      <c r="AL952" s="3"/>
      <c r="AM952" s="3"/>
      <c r="AN952" s="3"/>
      <c r="AO952" s="3"/>
      <c r="AP952" s="3"/>
      <c r="AQ952" s="3"/>
      <c r="AR952" s="3"/>
      <c r="AS952" s="3"/>
      <c r="AT952" s="3"/>
      <c r="AU952" s="3"/>
      <c r="AV952" s="3"/>
      <c r="AW952" s="3"/>
      <c r="AX952" s="3"/>
      <c r="AY952" s="3"/>
      <c r="AZ952" s="3"/>
      <c r="BA952" s="3"/>
      <c r="BB952" s="3"/>
      <c r="BC952" s="3"/>
      <c r="BD952" s="3"/>
      <c r="BE952" s="3"/>
      <c r="BF952" s="3"/>
    </row>
    <row r="95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20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  <c r="AG953" s="3"/>
      <c r="AH953" s="3"/>
      <c r="AI953" s="3"/>
      <c r="AJ953" s="3"/>
      <c r="AK953" s="3"/>
      <c r="AL953" s="3"/>
      <c r="AM953" s="3"/>
      <c r="AN953" s="3"/>
      <c r="AO953" s="3"/>
      <c r="AP953" s="3"/>
      <c r="AQ953" s="3"/>
      <c r="AR953" s="3"/>
      <c r="AS953" s="3"/>
      <c r="AT953" s="3"/>
      <c r="AU953" s="3"/>
      <c r="AV953" s="3"/>
      <c r="AW953" s="3"/>
      <c r="AX953" s="3"/>
      <c r="AY953" s="3"/>
      <c r="AZ953" s="3"/>
      <c r="BA953" s="3"/>
      <c r="BB953" s="3"/>
      <c r="BC953" s="3"/>
      <c r="BD953" s="3"/>
      <c r="BE953" s="3"/>
      <c r="BF953" s="3"/>
    </row>
    <row r="954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20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  <c r="AG954" s="3"/>
      <c r="AH954" s="3"/>
      <c r="AI954" s="3"/>
      <c r="AJ954" s="3"/>
      <c r="AK954" s="3"/>
      <c r="AL954" s="3"/>
      <c r="AM954" s="3"/>
      <c r="AN954" s="3"/>
      <c r="AO954" s="3"/>
      <c r="AP954" s="3"/>
      <c r="AQ954" s="3"/>
      <c r="AR954" s="3"/>
      <c r="AS954" s="3"/>
      <c r="AT954" s="3"/>
      <c r="AU954" s="3"/>
      <c r="AV954" s="3"/>
      <c r="AW954" s="3"/>
      <c r="AX954" s="3"/>
      <c r="AY954" s="3"/>
      <c r="AZ954" s="3"/>
      <c r="BA954" s="3"/>
      <c r="BB954" s="3"/>
      <c r="BC954" s="3"/>
      <c r="BD954" s="3"/>
      <c r="BE954" s="3"/>
      <c r="BF954" s="3"/>
    </row>
    <row r="955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20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  <c r="AG955" s="3"/>
      <c r="AH955" s="3"/>
      <c r="AI955" s="3"/>
      <c r="AJ955" s="3"/>
      <c r="AK955" s="3"/>
      <c r="AL955" s="3"/>
      <c r="AM955" s="3"/>
      <c r="AN955" s="3"/>
      <c r="AO955" s="3"/>
      <c r="AP955" s="3"/>
      <c r="AQ955" s="3"/>
      <c r="AR955" s="3"/>
      <c r="AS955" s="3"/>
      <c r="AT955" s="3"/>
      <c r="AU955" s="3"/>
      <c r="AV955" s="3"/>
      <c r="AW955" s="3"/>
      <c r="AX955" s="3"/>
      <c r="AY955" s="3"/>
      <c r="AZ955" s="3"/>
      <c r="BA955" s="3"/>
      <c r="BB955" s="3"/>
      <c r="BC955" s="3"/>
      <c r="BD955" s="3"/>
      <c r="BE955" s="3"/>
      <c r="BF955" s="3"/>
    </row>
    <row r="95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20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  <c r="AG956" s="3"/>
      <c r="AH956" s="3"/>
      <c r="AI956" s="3"/>
      <c r="AJ956" s="3"/>
      <c r="AK956" s="3"/>
      <c r="AL956" s="3"/>
      <c r="AM956" s="3"/>
      <c r="AN956" s="3"/>
      <c r="AO956" s="3"/>
      <c r="AP956" s="3"/>
      <c r="AQ956" s="3"/>
      <c r="AR956" s="3"/>
      <c r="AS956" s="3"/>
      <c r="AT956" s="3"/>
      <c r="AU956" s="3"/>
      <c r="AV956" s="3"/>
      <c r="AW956" s="3"/>
      <c r="AX956" s="3"/>
      <c r="AY956" s="3"/>
      <c r="AZ956" s="3"/>
      <c r="BA956" s="3"/>
      <c r="BB956" s="3"/>
      <c r="BC956" s="3"/>
      <c r="BD956" s="3"/>
      <c r="BE956" s="3"/>
      <c r="BF956" s="3"/>
    </row>
    <row r="957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20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  <c r="AG957" s="3"/>
      <c r="AH957" s="3"/>
      <c r="AI957" s="3"/>
      <c r="AJ957" s="3"/>
      <c r="AK957" s="3"/>
      <c r="AL957" s="3"/>
      <c r="AM957" s="3"/>
      <c r="AN957" s="3"/>
      <c r="AO957" s="3"/>
      <c r="AP957" s="3"/>
      <c r="AQ957" s="3"/>
      <c r="AR957" s="3"/>
      <c r="AS957" s="3"/>
      <c r="AT957" s="3"/>
      <c r="AU957" s="3"/>
      <c r="AV957" s="3"/>
      <c r="AW957" s="3"/>
      <c r="AX957" s="3"/>
      <c r="AY957" s="3"/>
      <c r="AZ957" s="3"/>
      <c r="BA957" s="3"/>
      <c r="BB957" s="3"/>
      <c r="BC957" s="3"/>
      <c r="BD957" s="3"/>
      <c r="BE957" s="3"/>
      <c r="BF957" s="3"/>
    </row>
    <row r="958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20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  <c r="AG958" s="3"/>
      <c r="AH958" s="3"/>
      <c r="AI958" s="3"/>
      <c r="AJ958" s="3"/>
      <c r="AK958" s="3"/>
      <c r="AL958" s="3"/>
      <c r="AM958" s="3"/>
      <c r="AN958" s="3"/>
      <c r="AO958" s="3"/>
      <c r="AP958" s="3"/>
      <c r="AQ958" s="3"/>
      <c r="AR958" s="3"/>
      <c r="AS958" s="3"/>
      <c r="AT958" s="3"/>
      <c r="AU958" s="3"/>
      <c r="AV958" s="3"/>
      <c r="AW958" s="3"/>
      <c r="AX958" s="3"/>
      <c r="AY958" s="3"/>
      <c r="AZ958" s="3"/>
      <c r="BA958" s="3"/>
      <c r="BB958" s="3"/>
      <c r="BC958" s="3"/>
      <c r="BD958" s="3"/>
      <c r="BE958" s="3"/>
      <c r="BF958" s="3"/>
    </row>
    <row r="959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20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  <c r="AG959" s="3"/>
      <c r="AH959" s="3"/>
      <c r="AI959" s="3"/>
      <c r="AJ959" s="3"/>
      <c r="AK959" s="3"/>
      <c r="AL959" s="3"/>
      <c r="AM959" s="3"/>
      <c r="AN959" s="3"/>
      <c r="AO959" s="3"/>
      <c r="AP959" s="3"/>
      <c r="AQ959" s="3"/>
      <c r="AR959" s="3"/>
      <c r="AS959" s="3"/>
      <c r="AT959" s="3"/>
      <c r="AU959" s="3"/>
      <c r="AV959" s="3"/>
      <c r="AW959" s="3"/>
      <c r="AX959" s="3"/>
      <c r="AY959" s="3"/>
      <c r="AZ959" s="3"/>
      <c r="BA959" s="3"/>
      <c r="BB959" s="3"/>
      <c r="BC959" s="3"/>
      <c r="BD959" s="3"/>
      <c r="BE959" s="3"/>
      <c r="BF959" s="3"/>
    </row>
    <row r="960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20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  <c r="AG960" s="3"/>
      <c r="AH960" s="3"/>
      <c r="AI960" s="3"/>
      <c r="AJ960" s="3"/>
      <c r="AK960" s="3"/>
      <c r="AL960" s="3"/>
      <c r="AM960" s="3"/>
      <c r="AN960" s="3"/>
      <c r="AO960" s="3"/>
      <c r="AP960" s="3"/>
      <c r="AQ960" s="3"/>
      <c r="AR960" s="3"/>
      <c r="AS960" s="3"/>
      <c r="AT960" s="3"/>
      <c r="AU960" s="3"/>
      <c r="AV960" s="3"/>
      <c r="AW960" s="3"/>
      <c r="AX960" s="3"/>
      <c r="AY960" s="3"/>
      <c r="AZ960" s="3"/>
      <c r="BA960" s="3"/>
      <c r="BB960" s="3"/>
      <c r="BC960" s="3"/>
      <c r="BD960" s="3"/>
      <c r="BE960" s="3"/>
      <c r="BF960" s="3"/>
    </row>
    <row r="96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20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  <c r="AG961" s="3"/>
      <c r="AH961" s="3"/>
      <c r="AI961" s="3"/>
      <c r="AJ961" s="3"/>
      <c r="AK961" s="3"/>
      <c r="AL961" s="3"/>
      <c r="AM961" s="3"/>
      <c r="AN961" s="3"/>
      <c r="AO961" s="3"/>
      <c r="AP961" s="3"/>
      <c r="AQ961" s="3"/>
      <c r="AR961" s="3"/>
      <c r="AS961" s="3"/>
      <c r="AT961" s="3"/>
      <c r="AU961" s="3"/>
      <c r="AV961" s="3"/>
      <c r="AW961" s="3"/>
      <c r="AX961" s="3"/>
      <c r="AY961" s="3"/>
      <c r="AZ961" s="3"/>
      <c r="BA961" s="3"/>
      <c r="BB961" s="3"/>
      <c r="BC961" s="3"/>
      <c r="BD961" s="3"/>
      <c r="BE961" s="3"/>
      <c r="BF961" s="3"/>
    </row>
    <row r="962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20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  <c r="AG962" s="3"/>
      <c r="AH962" s="3"/>
      <c r="AI962" s="3"/>
      <c r="AJ962" s="3"/>
      <c r="AK962" s="3"/>
      <c r="AL962" s="3"/>
      <c r="AM962" s="3"/>
      <c r="AN962" s="3"/>
      <c r="AO962" s="3"/>
      <c r="AP962" s="3"/>
      <c r="AQ962" s="3"/>
      <c r="AR962" s="3"/>
      <c r="AS962" s="3"/>
      <c r="AT962" s="3"/>
      <c r="AU962" s="3"/>
      <c r="AV962" s="3"/>
      <c r="AW962" s="3"/>
      <c r="AX962" s="3"/>
      <c r="AY962" s="3"/>
      <c r="AZ962" s="3"/>
      <c r="BA962" s="3"/>
      <c r="BB962" s="3"/>
      <c r="BC962" s="3"/>
      <c r="BD962" s="3"/>
      <c r="BE962" s="3"/>
      <c r="BF962" s="3"/>
    </row>
    <row r="96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20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  <c r="AG963" s="3"/>
      <c r="AH963" s="3"/>
      <c r="AI963" s="3"/>
      <c r="AJ963" s="3"/>
      <c r="AK963" s="3"/>
      <c r="AL963" s="3"/>
      <c r="AM963" s="3"/>
      <c r="AN963" s="3"/>
      <c r="AO963" s="3"/>
      <c r="AP963" s="3"/>
      <c r="AQ963" s="3"/>
      <c r="AR963" s="3"/>
      <c r="AS963" s="3"/>
      <c r="AT963" s="3"/>
      <c r="AU963" s="3"/>
      <c r="AV963" s="3"/>
      <c r="AW963" s="3"/>
      <c r="AX963" s="3"/>
      <c r="AY963" s="3"/>
      <c r="AZ963" s="3"/>
      <c r="BA963" s="3"/>
      <c r="BB963" s="3"/>
      <c r="BC963" s="3"/>
      <c r="BD963" s="3"/>
      <c r="BE963" s="3"/>
      <c r="BF963" s="3"/>
    </row>
    <row r="964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20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  <c r="AG964" s="3"/>
      <c r="AH964" s="3"/>
      <c r="AI964" s="3"/>
      <c r="AJ964" s="3"/>
      <c r="AK964" s="3"/>
      <c r="AL964" s="3"/>
      <c r="AM964" s="3"/>
      <c r="AN964" s="3"/>
      <c r="AO964" s="3"/>
      <c r="AP964" s="3"/>
      <c r="AQ964" s="3"/>
      <c r="AR964" s="3"/>
      <c r="AS964" s="3"/>
      <c r="AT964" s="3"/>
      <c r="AU964" s="3"/>
      <c r="AV964" s="3"/>
      <c r="AW964" s="3"/>
      <c r="AX964" s="3"/>
      <c r="AY964" s="3"/>
      <c r="AZ964" s="3"/>
      <c r="BA964" s="3"/>
      <c r="BB964" s="3"/>
      <c r="BC964" s="3"/>
      <c r="BD964" s="3"/>
      <c r="BE964" s="3"/>
      <c r="BF964" s="3"/>
    </row>
    <row r="965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20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  <c r="AG965" s="3"/>
      <c r="AH965" s="3"/>
      <c r="AI965" s="3"/>
      <c r="AJ965" s="3"/>
      <c r="AK965" s="3"/>
      <c r="AL965" s="3"/>
      <c r="AM965" s="3"/>
      <c r="AN965" s="3"/>
      <c r="AO965" s="3"/>
      <c r="AP965" s="3"/>
      <c r="AQ965" s="3"/>
      <c r="AR965" s="3"/>
      <c r="AS965" s="3"/>
      <c r="AT965" s="3"/>
      <c r="AU965" s="3"/>
      <c r="AV965" s="3"/>
      <c r="AW965" s="3"/>
      <c r="AX965" s="3"/>
      <c r="AY965" s="3"/>
      <c r="AZ965" s="3"/>
      <c r="BA965" s="3"/>
      <c r="BB965" s="3"/>
      <c r="BC965" s="3"/>
      <c r="BD965" s="3"/>
      <c r="BE965" s="3"/>
      <c r="BF965" s="3"/>
    </row>
    <row r="96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20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  <c r="AG966" s="3"/>
      <c r="AH966" s="3"/>
      <c r="AI966" s="3"/>
      <c r="AJ966" s="3"/>
      <c r="AK966" s="3"/>
      <c r="AL966" s="3"/>
      <c r="AM966" s="3"/>
      <c r="AN966" s="3"/>
      <c r="AO966" s="3"/>
      <c r="AP966" s="3"/>
      <c r="AQ966" s="3"/>
      <c r="AR966" s="3"/>
      <c r="AS966" s="3"/>
      <c r="AT966" s="3"/>
      <c r="AU966" s="3"/>
      <c r="AV966" s="3"/>
      <c r="AW966" s="3"/>
      <c r="AX966" s="3"/>
      <c r="AY966" s="3"/>
      <c r="AZ966" s="3"/>
      <c r="BA966" s="3"/>
      <c r="BB966" s="3"/>
      <c r="BC966" s="3"/>
      <c r="BD966" s="3"/>
      <c r="BE966" s="3"/>
      <c r="BF966" s="3"/>
    </row>
    <row r="967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20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  <c r="AG967" s="3"/>
      <c r="AH967" s="3"/>
      <c r="AI967" s="3"/>
      <c r="AJ967" s="3"/>
      <c r="AK967" s="3"/>
      <c r="AL967" s="3"/>
      <c r="AM967" s="3"/>
      <c r="AN967" s="3"/>
      <c r="AO967" s="3"/>
      <c r="AP967" s="3"/>
      <c r="AQ967" s="3"/>
      <c r="AR967" s="3"/>
      <c r="AS967" s="3"/>
      <c r="AT967" s="3"/>
      <c r="AU967" s="3"/>
      <c r="AV967" s="3"/>
      <c r="AW967" s="3"/>
      <c r="AX967" s="3"/>
      <c r="AY967" s="3"/>
      <c r="AZ967" s="3"/>
      <c r="BA967" s="3"/>
      <c r="BB967" s="3"/>
      <c r="BC967" s="3"/>
      <c r="BD967" s="3"/>
      <c r="BE967" s="3"/>
      <c r="BF967" s="3"/>
    </row>
    <row r="968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20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  <c r="AG968" s="3"/>
      <c r="AH968" s="3"/>
      <c r="AI968" s="3"/>
      <c r="AJ968" s="3"/>
      <c r="AK968" s="3"/>
      <c r="AL968" s="3"/>
      <c r="AM968" s="3"/>
      <c r="AN968" s="3"/>
      <c r="AO968" s="3"/>
      <c r="AP968" s="3"/>
      <c r="AQ968" s="3"/>
      <c r="AR968" s="3"/>
      <c r="AS968" s="3"/>
      <c r="AT968" s="3"/>
      <c r="AU968" s="3"/>
      <c r="AV968" s="3"/>
      <c r="AW968" s="3"/>
      <c r="AX968" s="3"/>
      <c r="AY968" s="3"/>
      <c r="AZ968" s="3"/>
      <c r="BA968" s="3"/>
      <c r="BB968" s="3"/>
      <c r="BC968" s="3"/>
      <c r="BD968" s="3"/>
      <c r="BE968" s="3"/>
      <c r="BF968" s="3"/>
    </row>
    <row r="969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20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  <c r="AG969" s="3"/>
      <c r="AH969" s="3"/>
      <c r="AI969" s="3"/>
      <c r="AJ969" s="3"/>
      <c r="AK969" s="3"/>
      <c r="AL969" s="3"/>
      <c r="AM969" s="3"/>
      <c r="AN969" s="3"/>
      <c r="AO969" s="3"/>
      <c r="AP969" s="3"/>
      <c r="AQ969" s="3"/>
      <c r="AR969" s="3"/>
      <c r="AS969" s="3"/>
      <c r="AT969" s="3"/>
      <c r="AU969" s="3"/>
      <c r="AV969" s="3"/>
      <c r="AW969" s="3"/>
      <c r="AX969" s="3"/>
      <c r="AY969" s="3"/>
      <c r="AZ969" s="3"/>
      <c r="BA969" s="3"/>
      <c r="BB969" s="3"/>
      <c r="BC969" s="3"/>
      <c r="BD969" s="3"/>
      <c r="BE969" s="3"/>
      <c r="BF969" s="3"/>
    </row>
    <row r="970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20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  <c r="AG970" s="3"/>
      <c r="AH970" s="3"/>
      <c r="AI970" s="3"/>
      <c r="AJ970" s="3"/>
      <c r="AK970" s="3"/>
      <c r="AL970" s="3"/>
      <c r="AM970" s="3"/>
      <c r="AN970" s="3"/>
      <c r="AO970" s="3"/>
      <c r="AP970" s="3"/>
      <c r="AQ970" s="3"/>
      <c r="AR970" s="3"/>
      <c r="AS970" s="3"/>
      <c r="AT970" s="3"/>
      <c r="AU970" s="3"/>
      <c r="AV970" s="3"/>
      <c r="AW970" s="3"/>
      <c r="AX970" s="3"/>
      <c r="AY970" s="3"/>
      <c r="AZ970" s="3"/>
      <c r="BA970" s="3"/>
      <c r="BB970" s="3"/>
      <c r="BC970" s="3"/>
      <c r="BD970" s="3"/>
      <c r="BE970" s="3"/>
      <c r="BF970" s="3"/>
    </row>
    <row r="97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20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  <c r="AG971" s="3"/>
      <c r="AH971" s="3"/>
      <c r="AI971" s="3"/>
      <c r="AJ971" s="3"/>
      <c r="AK971" s="3"/>
      <c r="AL971" s="3"/>
      <c r="AM971" s="3"/>
      <c r="AN971" s="3"/>
      <c r="AO971" s="3"/>
      <c r="AP971" s="3"/>
      <c r="AQ971" s="3"/>
      <c r="AR971" s="3"/>
      <c r="AS971" s="3"/>
      <c r="AT971" s="3"/>
      <c r="AU971" s="3"/>
      <c r="AV971" s="3"/>
      <c r="AW971" s="3"/>
      <c r="AX971" s="3"/>
      <c r="AY971" s="3"/>
      <c r="AZ971" s="3"/>
      <c r="BA971" s="3"/>
      <c r="BB971" s="3"/>
      <c r="BC971" s="3"/>
      <c r="BD971" s="3"/>
      <c r="BE971" s="3"/>
      <c r="BF971" s="3"/>
    </row>
    <row r="972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20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  <c r="AG972" s="3"/>
      <c r="AH972" s="3"/>
      <c r="AI972" s="3"/>
      <c r="AJ972" s="3"/>
      <c r="AK972" s="3"/>
      <c r="AL972" s="3"/>
      <c r="AM972" s="3"/>
      <c r="AN972" s="3"/>
      <c r="AO972" s="3"/>
      <c r="AP972" s="3"/>
      <c r="AQ972" s="3"/>
      <c r="AR972" s="3"/>
      <c r="AS972" s="3"/>
      <c r="AT972" s="3"/>
      <c r="AU972" s="3"/>
      <c r="AV972" s="3"/>
      <c r="AW972" s="3"/>
      <c r="AX972" s="3"/>
      <c r="AY972" s="3"/>
      <c r="AZ972" s="3"/>
      <c r="BA972" s="3"/>
      <c r="BB972" s="3"/>
      <c r="BC972" s="3"/>
      <c r="BD972" s="3"/>
      <c r="BE972" s="3"/>
      <c r="BF972" s="3"/>
    </row>
    <row r="97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20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  <c r="AG973" s="3"/>
      <c r="AH973" s="3"/>
      <c r="AI973" s="3"/>
      <c r="AJ973" s="3"/>
      <c r="AK973" s="3"/>
      <c r="AL973" s="3"/>
      <c r="AM973" s="3"/>
      <c r="AN973" s="3"/>
      <c r="AO973" s="3"/>
      <c r="AP973" s="3"/>
      <c r="AQ973" s="3"/>
      <c r="AR973" s="3"/>
      <c r="AS973" s="3"/>
      <c r="AT973" s="3"/>
      <c r="AU973" s="3"/>
      <c r="AV973" s="3"/>
      <c r="AW973" s="3"/>
      <c r="AX973" s="3"/>
      <c r="AY973" s="3"/>
      <c r="AZ973" s="3"/>
      <c r="BA973" s="3"/>
      <c r="BB973" s="3"/>
      <c r="BC973" s="3"/>
      <c r="BD973" s="3"/>
      <c r="BE973" s="3"/>
      <c r="BF973" s="3"/>
    </row>
    <row r="974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20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  <c r="AG974" s="3"/>
      <c r="AH974" s="3"/>
      <c r="AI974" s="3"/>
      <c r="AJ974" s="3"/>
      <c r="AK974" s="3"/>
      <c r="AL974" s="3"/>
      <c r="AM974" s="3"/>
      <c r="AN974" s="3"/>
      <c r="AO974" s="3"/>
      <c r="AP974" s="3"/>
      <c r="AQ974" s="3"/>
      <c r="AR974" s="3"/>
      <c r="AS974" s="3"/>
      <c r="AT974" s="3"/>
      <c r="AU974" s="3"/>
      <c r="AV974" s="3"/>
      <c r="AW974" s="3"/>
      <c r="AX974" s="3"/>
      <c r="AY974" s="3"/>
      <c r="AZ974" s="3"/>
      <c r="BA974" s="3"/>
      <c r="BB974" s="3"/>
      <c r="BC974" s="3"/>
      <c r="BD974" s="3"/>
      <c r="BE974" s="3"/>
      <c r="BF974" s="3"/>
    </row>
    <row r="975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20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  <c r="AG975" s="3"/>
      <c r="AH975" s="3"/>
      <c r="AI975" s="3"/>
      <c r="AJ975" s="3"/>
      <c r="AK975" s="3"/>
      <c r="AL975" s="3"/>
      <c r="AM975" s="3"/>
      <c r="AN975" s="3"/>
      <c r="AO975" s="3"/>
      <c r="AP975" s="3"/>
      <c r="AQ975" s="3"/>
      <c r="AR975" s="3"/>
      <c r="AS975" s="3"/>
      <c r="AT975" s="3"/>
      <c r="AU975" s="3"/>
      <c r="AV975" s="3"/>
      <c r="AW975" s="3"/>
      <c r="AX975" s="3"/>
      <c r="AY975" s="3"/>
      <c r="AZ975" s="3"/>
      <c r="BA975" s="3"/>
      <c r="BB975" s="3"/>
      <c r="BC975" s="3"/>
      <c r="BD975" s="3"/>
      <c r="BE975" s="3"/>
      <c r="BF975" s="3"/>
    </row>
    <row r="97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20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  <c r="AG976" s="3"/>
      <c r="AH976" s="3"/>
      <c r="AI976" s="3"/>
      <c r="AJ976" s="3"/>
      <c r="AK976" s="3"/>
      <c r="AL976" s="3"/>
      <c r="AM976" s="3"/>
      <c r="AN976" s="3"/>
      <c r="AO976" s="3"/>
      <c r="AP976" s="3"/>
      <c r="AQ976" s="3"/>
      <c r="AR976" s="3"/>
      <c r="AS976" s="3"/>
      <c r="AT976" s="3"/>
      <c r="AU976" s="3"/>
      <c r="AV976" s="3"/>
      <c r="AW976" s="3"/>
      <c r="AX976" s="3"/>
      <c r="AY976" s="3"/>
      <c r="AZ976" s="3"/>
      <c r="BA976" s="3"/>
      <c r="BB976" s="3"/>
      <c r="BC976" s="3"/>
      <c r="BD976" s="3"/>
      <c r="BE976" s="3"/>
      <c r="BF976" s="3"/>
    </row>
    <row r="977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20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  <c r="AG977" s="3"/>
      <c r="AH977" s="3"/>
      <c r="AI977" s="3"/>
      <c r="AJ977" s="3"/>
      <c r="AK977" s="3"/>
      <c r="AL977" s="3"/>
      <c r="AM977" s="3"/>
      <c r="AN977" s="3"/>
      <c r="AO977" s="3"/>
      <c r="AP977" s="3"/>
      <c r="AQ977" s="3"/>
      <c r="AR977" s="3"/>
      <c r="AS977" s="3"/>
      <c r="AT977" s="3"/>
      <c r="AU977" s="3"/>
      <c r="AV977" s="3"/>
      <c r="AW977" s="3"/>
      <c r="AX977" s="3"/>
      <c r="AY977" s="3"/>
      <c r="AZ977" s="3"/>
      <c r="BA977" s="3"/>
      <c r="BB977" s="3"/>
      <c r="BC977" s="3"/>
      <c r="BD977" s="3"/>
      <c r="BE977" s="3"/>
      <c r="BF977" s="3"/>
    </row>
    <row r="978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20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  <c r="AG978" s="3"/>
      <c r="AH978" s="3"/>
      <c r="AI978" s="3"/>
      <c r="AJ978" s="3"/>
      <c r="AK978" s="3"/>
      <c r="AL978" s="3"/>
      <c r="AM978" s="3"/>
      <c r="AN978" s="3"/>
      <c r="AO978" s="3"/>
      <c r="AP978" s="3"/>
      <c r="AQ978" s="3"/>
      <c r="AR978" s="3"/>
      <c r="AS978" s="3"/>
      <c r="AT978" s="3"/>
      <c r="AU978" s="3"/>
      <c r="AV978" s="3"/>
      <c r="AW978" s="3"/>
      <c r="AX978" s="3"/>
      <c r="AY978" s="3"/>
      <c r="AZ978" s="3"/>
      <c r="BA978" s="3"/>
      <c r="BB978" s="3"/>
      <c r="BC978" s="3"/>
      <c r="BD978" s="3"/>
      <c r="BE978" s="3"/>
      <c r="BF978" s="3"/>
    </row>
    <row r="979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20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  <c r="AG979" s="3"/>
      <c r="AH979" s="3"/>
      <c r="AI979" s="3"/>
      <c r="AJ979" s="3"/>
      <c r="AK979" s="3"/>
      <c r="AL979" s="3"/>
      <c r="AM979" s="3"/>
      <c r="AN979" s="3"/>
      <c r="AO979" s="3"/>
      <c r="AP979" s="3"/>
      <c r="AQ979" s="3"/>
      <c r="AR979" s="3"/>
      <c r="AS979" s="3"/>
      <c r="AT979" s="3"/>
      <c r="AU979" s="3"/>
      <c r="AV979" s="3"/>
      <c r="AW979" s="3"/>
      <c r="AX979" s="3"/>
      <c r="AY979" s="3"/>
      <c r="AZ979" s="3"/>
      <c r="BA979" s="3"/>
      <c r="BB979" s="3"/>
      <c r="BC979" s="3"/>
      <c r="BD979" s="3"/>
      <c r="BE979" s="3"/>
      <c r="BF979" s="3"/>
    </row>
    <row r="980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20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  <c r="AG980" s="3"/>
      <c r="AH980" s="3"/>
      <c r="AI980" s="3"/>
      <c r="AJ980" s="3"/>
      <c r="AK980" s="3"/>
      <c r="AL980" s="3"/>
      <c r="AM980" s="3"/>
      <c r="AN980" s="3"/>
      <c r="AO980" s="3"/>
      <c r="AP980" s="3"/>
      <c r="AQ980" s="3"/>
      <c r="AR980" s="3"/>
      <c r="AS980" s="3"/>
      <c r="AT980" s="3"/>
      <c r="AU980" s="3"/>
      <c r="AV980" s="3"/>
      <c r="AW980" s="3"/>
      <c r="AX980" s="3"/>
      <c r="AY980" s="3"/>
      <c r="AZ980" s="3"/>
      <c r="BA980" s="3"/>
      <c r="BB980" s="3"/>
      <c r="BC980" s="3"/>
      <c r="BD980" s="3"/>
      <c r="BE980" s="3"/>
      <c r="BF980" s="3"/>
    </row>
    <row r="98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20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  <c r="AG981" s="3"/>
      <c r="AH981" s="3"/>
      <c r="AI981" s="3"/>
      <c r="AJ981" s="3"/>
      <c r="AK981" s="3"/>
      <c r="AL981" s="3"/>
      <c r="AM981" s="3"/>
      <c r="AN981" s="3"/>
      <c r="AO981" s="3"/>
      <c r="AP981" s="3"/>
      <c r="AQ981" s="3"/>
      <c r="AR981" s="3"/>
      <c r="AS981" s="3"/>
      <c r="AT981" s="3"/>
      <c r="AU981" s="3"/>
      <c r="AV981" s="3"/>
      <c r="AW981" s="3"/>
      <c r="AX981" s="3"/>
      <c r="AY981" s="3"/>
      <c r="AZ981" s="3"/>
      <c r="BA981" s="3"/>
      <c r="BB981" s="3"/>
      <c r="BC981" s="3"/>
      <c r="BD981" s="3"/>
      <c r="BE981" s="3"/>
      <c r="BF981" s="3"/>
    </row>
    <row r="982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20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  <c r="AG982" s="3"/>
      <c r="AH982" s="3"/>
      <c r="AI982" s="3"/>
      <c r="AJ982" s="3"/>
      <c r="AK982" s="3"/>
      <c r="AL982" s="3"/>
      <c r="AM982" s="3"/>
      <c r="AN982" s="3"/>
      <c r="AO982" s="3"/>
      <c r="AP982" s="3"/>
      <c r="AQ982" s="3"/>
      <c r="AR982" s="3"/>
      <c r="AS982" s="3"/>
      <c r="AT982" s="3"/>
      <c r="AU982" s="3"/>
      <c r="AV982" s="3"/>
      <c r="AW982" s="3"/>
      <c r="AX982" s="3"/>
      <c r="AY982" s="3"/>
      <c r="AZ982" s="3"/>
      <c r="BA982" s="3"/>
      <c r="BB982" s="3"/>
      <c r="BC982" s="3"/>
      <c r="BD982" s="3"/>
      <c r="BE982" s="3"/>
      <c r="BF982" s="3"/>
    </row>
    <row r="98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20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  <c r="AG983" s="3"/>
      <c r="AH983" s="3"/>
      <c r="AI983" s="3"/>
      <c r="AJ983" s="3"/>
      <c r="AK983" s="3"/>
      <c r="AL983" s="3"/>
      <c r="AM983" s="3"/>
      <c r="AN983" s="3"/>
      <c r="AO983" s="3"/>
      <c r="AP983" s="3"/>
      <c r="AQ983" s="3"/>
      <c r="AR983" s="3"/>
      <c r="AS983" s="3"/>
      <c r="AT983" s="3"/>
      <c r="AU983" s="3"/>
      <c r="AV983" s="3"/>
      <c r="AW983" s="3"/>
      <c r="AX983" s="3"/>
      <c r="AY983" s="3"/>
      <c r="AZ983" s="3"/>
      <c r="BA983" s="3"/>
      <c r="BB983" s="3"/>
      <c r="BC983" s="3"/>
      <c r="BD983" s="3"/>
      <c r="BE983" s="3"/>
      <c r="BF983" s="3"/>
    </row>
    <row r="984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20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  <c r="AG984" s="3"/>
      <c r="AH984" s="3"/>
      <c r="AI984" s="3"/>
      <c r="AJ984" s="3"/>
      <c r="AK984" s="3"/>
      <c r="AL984" s="3"/>
      <c r="AM984" s="3"/>
      <c r="AN984" s="3"/>
      <c r="AO984" s="3"/>
      <c r="AP984" s="3"/>
      <c r="AQ984" s="3"/>
      <c r="AR984" s="3"/>
      <c r="AS984" s="3"/>
      <c r="AT984" s="3"/>
      <c r="AU984" s="3"/>
      <c r="AV984" s="3"/>
      <c r="AW984" s="3"/>
      <c r="AX984" s="3"/>
      <c r="AY984" s="3"/>
      <c r="AZ984" s="3"/>
      <c r="BA984" s="3"/>
      <c r="BB984" s="3"/>
      <c r="BC984" s="3"/>
      <c r="BD984" s="3"/>
      <c r="BE984" s="3"/>
      <c r="BF984" s="3"/>
    </row>
    <row r="985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20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  <c r="AG985" s="3"/>
      <c r="AH985" s="3"/>
      <c r="AI985" s="3"/>
      <c r="AJ985" s="3"/>
      <c r="AK985" s="3"/>
      <c r="AL985" s="3"/>
      <c r="AM985" s="3"/>
      <c r="AN985" s="3"/>
      <c r="AO985" s="3"/>
      <c r="AP985" s="3"/>
      <c r="AQ985" s="3"/>
      <c r="AR985" s="3"/>
      <c r="AS985" s="3"/>
      <c r="AT985" s="3"/>
      <c r="AU985" s="3"/>
      <c r="AV985" s="3"/>
      <c r="AW985" s="3"/>
      <c r="AX985" s="3"/>
      <c r="AY985" s="3"/>
      <c r="AZ985" s="3"/>
      <c r="BA985" s="3"/>
      <c r="BB985" s="3"/>
      <c r="BC985" s="3"/>
      <c r="BD985" s="3"/>
      <c r="BE985" s="3"/>
      <c r="BF985" s="3"/>
    </row>
    <row r="98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20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  <c r="AG986" s="3"/>
      <c r="AH986" s="3"/>
      <c r="AI986" s="3"/>
      <c r="AJ986" s="3"/>
      <c r="AK986" s="3"/>
      <c r="AL986" s="3"/>
      <c r="AM986" s="3"/>
      <c r="AN986" s="3"/>
      <c r="AO986" s="3"/>
      <c r="AP986" s="3"/>
      <c r="AQ986" s="3"/>
      <c r="AR986" s="3"/>
      <c r="AS986" s="3"/>
      <c r="AT986" s="3"/>
      <c r="AU986" s="3"/>
      <c r="AV986" s="3"/>
      <c r="AW986" s="3"/>
      <c r="AX986" s="3"/>
      <c r="AY986" s="3"/>
      <c r="AZ986" s="3"/>
      <c r="BA986" s="3"/>
      <c r="BB986" s="3"/>
      <c r="BC986" s="3"/>
      <c r="BD986" s="3"/>
      <c r="BE986" s="3"/>
      <c r="BF986" s="3"/>
    </row>
    <row r="987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20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  <c r="AG987" s="3"/>
      <c r="AH987" s="3"/>
      <c r="AI987" s="3"/>
      <c r="AJ987" s="3"/>
      <c r="AK987" s="3"/>
      <c r="AL987" s="3"/>
      <c r="AM987" s="3"/>
      <c r="AN987" s="3"/>
      <c r="AO987" s="3"/>
      <c r="AP987" s="3"/>
      <c r="AQ987" s="3"/>
      <c r="AR987" s="3"/>
      <c r="AS987" s="3"/>
      <c r="AT987" s="3"/>
      <c r="AU987" s="3"/>
      <c r="AV987" s="3"/>
      <c r="AW987" s="3"/>
      <c r="AX987" s="3"/>
      <c r="AY987" s="3"/>
      <c r="AZ987" s="3"/>
      <c r="BA987" s="3"/>
      <c r="BB987" s="3"/>
      <c r="BC987" s="3"/>
      <c r="BD987" s="3"/>
      <c r="BE987" s="3"/>
      <c r="BF987" s="3"/>
    </row>
    <row r="988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20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  <c r="AG988" s="3"/>
      <c r="AH988" s="3"/>
      <c r="AI988" s="3"/>
      <c r="AJ988" s="3"/>
      <c r="AK988" s="3"/>
      <c r="AL988" s="3"/>
      <c r="AM988" s="3"/>
      <c r="AN988" s="3"/>
      <c r="AO988" s="3"/>
      <c r="AP988" s="3"/>
      <c r="AQ988" s="3"/>
      <c r="AR988" s="3"/>
      <c r="AS988" s="3"/>
      <c r="AT988" s="3"/>
      <c r="AU988" s="3"/>
      <c r="AV988" s="3"/>
      <c r="AW988" s="3"/>
      <c r="AX988" s="3"/>
      <c r="AY988" s="3"/>
      <c r="AZ988" s="3"/>
      <c r="BA988" s="3"/>
      <c r="BB988" s="3"/>
      <c r="BC988" s="3"/>
      <c r="BD988" s="3"/>
      <c r="BE988" s="3"/>
      <c r="BF988" s="3"/>
    </row>
    <row r="989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20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  <c r="AG989" s="3"/>
      <c r="AH989" s="3"/>
      <c r="AI989" s="3"/>
      <c r="AJ989" s="3"/>
      <c r="AK989" s="3"/>
      <c r="AL989" s="3"/>
      <c r="AM989" s="3"/>
      <c r="AN989" s="3"/>
      <c r="AO989" s="3"/>
      <c r="AP989" s="3"/>
      <c r="AQ989" s="3"/>
      <c r="AR989" s="3"/>
      <c r="AS989" s="3"/>
      <c r="AT989" s="3"/>
      <c r="AU989" s="3"/>
      <c r="AV989" s="3"/>
      <c r="AW989" s="3"/>
      <c r="AX989" s="3"/>
      <c r="AY989" s="3"/>
      <c r="AZ989" s="3"/>
      <c r="BA989" s="3"/>
      <c r="BB989" s="3"/>
      <c r="BC989" s="3"/>
      <c r="BD989" s="3"/>
      <c r="BE989" s="3"/>
      <c r="BF989" s="3"/>
    </row>
    <row r="990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20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  <c r="AG990" s="3"/>
      <c r="AH990" s="3"/>
      <c r="AI990" s="3"/>
      <c r="AJ990" s="3"/>
      <c r="AK990" s="3"/>
      <c r="AL990" s="3"/>
      <c r="AM990" s="3"/>
      <c r="AN990" s="3"/>
      <c r="AO990" s="3"/>
      <c r="AP990" s="3"/>
      <c r="AQ990" s="3"/>
      <c r="AR990" s="3"/>
      <c r="AS990" s="3"/>
      <c r="AT990" s="3"/>
      <c r="AU990" s="3"/>
      <c r="AV990" s="3"/>
      <c r="AW990" s="3"/>
      <c r="AX990" s="3"/>
      <c r="AY990" s="3"/>
      <c r="AZ990" s="3"/>
      <c r="BA990" s="3"/>
      <c r="BB990" s="3"/>
      <c r="BC990" s="3"/>
      <c r="BD990" s="3"/>
      <c r="BE990" s="3"/>
      <c r="BF990" s="3"/>
    </row>
    <row r="99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20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  <c r="AG991" s="3"/>
      <c r="AH991" s="3"/>
      <c r="AI991" s="3"/>
      <c r="AJ991" s="3"/>
      <c r="AK991" s="3"/>
      <c r="AL991" s="3"/>
      <c r="AM991" s="3"/>
      <c r="AN991" s="3"/>
      <c r="AO991" s="3"/>
      <c r="AP991" s="3"/>
      <c r="AQ991" s="3"/>
      <c r="AR991" s="3"/>
      <c r="AS991" s="3"/>
      <c r="AT991" s="3"/>
      <c r="AU991" s="3"/>
      <c r="AV991" s="3"/>
      <c r="AW991" s="3"/>
      <c r="AX991" s="3"/>
      <c r="AY991" s="3"/>
      <c r="AZ991" s="3"/>
      <c r="BA991" s="3"/>
      <c r="BB991" s="3"/>
      <c r="BC991" s="3"/>
      <c r="BD991" s="3"/>
      <c r="BE991" s="3"/>
      <c r="BF991" s="3"/>
    </row>
    <row r="992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20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  <c r="AG992" s="3"/>
      <c r="AH992" s="3"/>
      <c r="AI992" s="3"/>
      <c r="AJ992" s="3"/>
      <c r="AK992" s="3"/>
      <c r="AL992" s="3"/>
      <c r="AM992" s="3"/>
      <c r="AN992" s="3"/>
      <c r="AO992" s="3"/>
      <c r="AP992" s="3"/>
      <c r="AQ992" s="3"/>
      <c r="AR992" s="3"/>
      <c r="AS992" s="3"/>
      <c r="AT992" s="3"/>
      <c r="AU992" s="3"/>
      <c r="AV992" s="3"/>
      <c r="AW992" s="3"/>
      <c r="AX992" s="3"/>
      <c r="AY992" s="3"/>
      <c r="AZ992" s="3"/>
      <c r="BA992" s="3"/>
      <c r="BB992" s="3"/>
      <c r="BC992" s="3"/>
      <c r="BD992" s="3"/>
      <c r="BE992" s="3"/>
      <c r="BF992" s="3"/>
    </row>
    <row r="993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20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  <c r="AG993" s="3"/>
      <c r="AH993" s="3"/>
      <c r="AI993" s="3"/>
      <c r="AJ993" s="3"/>
      <c r="AK993" s="3"/>
      <c r="AL993" s="3"/>
      <c r="AM993" s="3"/>
      <c r="AN993" s="3"/>
      <c r="AO993" s="3"/>
      <c r="AP993" s="3"/>
      <c r="AQ993" s="3"/>
      <c r="AR993" s="3"/>
      <c r="AS993" s="3"/>
      <c r="AT993" s="3"/>
      <c r="AU993" s="3"/>
      <c r="AV993" s="3"/>
      <c r="AW993" s="3"/>
      <c r="AX993" s="3"/>
      <c r="AY993" s="3"/>
      <c r="AZ993" s="3"/>
      <c r="BA993" s="3"/>
      <c r="BB993" s="3"/>
      <c r="BC993" s="3"/>
      <c r="BD993" s="3"/>
      <c r="BE993" s="3"/>
      <c r="BF993" s="3"/>
    </row>
    <row r="994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20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  <c r="AG994" s="3"/>
      <c r="AH994" s="3"/>
      <c r="AI994" s="3"/>
      <c r="AJ994" s="3"/>
      <c r="AK994" s="3"/>
      <c r="AL994" s="3"/>
      <c r="AM994" s="3"/>
      <c r="AN994" s="3"/>
      <c r="AO994" s="3"/>
      <c r="AP994" s="3"/>
      <c r="AQ994" s="3"/>
      <c r="AR994" s="3"/>
      <c r="AS994" s="3"/>
      <c r="AT994" s="3"/>
      <c r="AU994" s="3"/>
      <c r="AV994" s="3"/>
      <c r="AW994" s="3"/>
      <c r="AX994" s="3"/>
      <c r="AY994" s="3"/>
      <c r="AZ994" s="3"/>
      <c r="BA994" s="3"/>
      <c r="BB994" s="3"/>
      <c r="BC994" s="3"/>
      <c r="BD994" s="3"/>
      <c r="BE994" s="3"/>
      <c r="BF994" s="3"/>
    </row>
    <row r="995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20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  <c r="AG995" s="3"/>
      <c r="AH995" s="3"/>
      <c r="AI995" s="3"/>
      <c r="AJ995" s="3"/>
      <c r="AK995" s="3"/>
      <c r="AL995" s="3"/>
      <c r="AM995" s="3"/>
      <c r="AN995" s="3"/>
      <c r="AO995" s="3"/>
      <c r="AP995" s="3"/>
      <c r="AQ995" s="3"/>
      <c r="AR995" s="3"/>
      <c r="AS995" s="3"/>
      <c r="AT995" s="3"/>
      <c r="AU995" s="3"/>
      <c r="AV995" s="3"/>
      <c r="AW995" s="3"/>
      <c r="AX995" s="3"/>
      <c r="AY995" s="3"/>
      <c r="AZ995" s="3"/>
      <c r="BA995" s="3"/>
      <c r="BB995" s="3"/>
      <c r="BC995" s="3"/>
      <c r="BD995" s="3"/>
      <c r="BE995" s="3"/>
      <c r="BF995" s="3"/>
    </row>
    <row r="99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20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  <c r="AG996" s="3"/>
      <c r="AH996" s="3"/>
      <c r="AI996" s="3"/>
      <c r="AJ996" s="3"/>
      <c r="AK996" s="3"/>
      <c r="AL996" s="3"/>
      <c r="AM996" s="3"/>
      <c r="AN996" s="3"/>
      <c r="AO996" s="3"/>
      <c r="AP996" s="3"/>
      <c r="AQ996" s="3"/>
      <c r="AR996" s="3"/>
      <c r="AS996" s="3"/>
      <c r="AT996" s="3"/>
      <c r="AU996" s="3"/>
      <c r="AV996" s="3"/>
      <c r="AW996" s="3"/>
      <c r="AX996" s="3"/>
      <c r="AY996" s="3"/>
      <c r="AZ996" s="3"/>
      <c r="BA996" s="3"/>
      <c r="BB996" s="3"/>
      <c r="BC996" s="3"/>
      <c r="BD996" s="3"/>
      <c r="BE996" s="3"/>
      <c r="BF996" s="3"/>
    </row>
    <row r="997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20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  <c r="AG997" s="3"/>
      <c r="AH997" s="3"/>
      <c r="AI997" s="3"/>
      <c r="AJ997" s="3"/>
      <c r="AK997" s="3"/>
      <c r="AL997" s="3"/>
      <c r="AM997" s="3"/>
      <c r="AN997" s="3"/>
      <c r="AO997" s="3"/>
      <c r="AP997" s="3"/>
      <c r="AQ997" s="3"/>
      <c r="AR997" s="3"/>
      <c r="AS997" s="3"/>
      <c r="AT997" s="3"/>
      <c r="AU997" s="3"/>
      <c r="AV997" s="3"/>
      <c r="AW997" s="3"/>
      <c r="AX997" s="3"/>
      <c r="AY997" s="3"/>
      <c r="AZ997" s="3"/>
      <c r="BA997" s="3"/>
      <c r="BB997" s="3"/>
      <c r="BC997" s="3"/>
      <c r="BD997" s="3"/>
      <c r="BE997" s="3"/>
      <c r="BF997" s="3"/>
    </row>
    <row r="998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20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  <c r="AG998" s="3"/>
      <c r="AH998" s="3"/>
      <c r="AI998" s="3"/>
      <c r="AJ998" s="3"/>
      <c r="AK998" s="3"/>
      <c r="AL998" s="3"/>
      <c r="AM998" s="3"/>
      <c r="AN998" s="3"/>
      <c r="AO998" s="3"/>
      <c r="AP998" s="3"/>
      <c r="AQ998" s="3"/>
      <c r="AR998" s="3"/>
      <c r="AS998" s="3"/>
      <c r="AT998" s="3"/>
      <c r="AU998" s="3"/>
      <c r="AV998" s="3"/>
      <c r="AW998" s="3"/>
      <c r="AX998" s="3"/>
      <c r="AY998" s="3"/>
      <c r="AZ998" s="3"/>
      <c r="BA998" s="3"/>
      <c r="BB998" s="3"/>
      <c r="BC998" s="3"/>
      <c r="BD998" s="3"/>
      <c r="BE998" s="3"/>
      <c r="BF998" s="3"/>
    </row>
    <row r="999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20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  <c r="AG999" s="3"/>
      <c r="AH999" s="3"/>
      <c r="AI999" s="3"/>
      <c r="AJ999" s="3"/>
      <c r="AK999" s="3"/>
      <c r="AL999" s="3"/>
      <c r="AM999" s="3"/>
      <c r="AN999" s="3"/>
      <c r="AO999" s="3"/>
      <c r="AP999" s="3"/>
      <c r="AQ999" s="3"/>
      <c r="AR999" s="3"/>
      <c r="AS999" s="3"/>
      <c r="AT999" s="3"/>
      <c r="AU999" s="3"/>
      <c r="AV999" s="3"/>
      <c r="AW999" s="3"/>
      <c r="AX999" s="3"/>
      <c r="AY999" s="3"/>
      <c r="AZ999" s="3"/>
      <c r="BA999" s="3"/>
      <c r="BB999" s="3"/>
      <c r="BC999" s="3"/>
      <c r="BD999" s="3"/>
      <c r="BE999" s="3"/>
      <c r="BF999" s="3"/>
    </row>
    <row r="1000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20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  <c r="AG1000" s="3"/>
      <c r="AH1000" s="3"/>
      <c r="AI1000" s="3"/>
      <c r="AJ1000" s="3"/>
      <c r="AK1000" s="3"/>
      <c r="AL1000" s="3"/>
      <c r="AM1000" s="3"/>
      <c r="AN1000" s="3"/>
      <c r="AO1000" s="3"/>
      <c r="AP1000" s="3"/>
      <c r="AQ1000" s="3"/>
      <c r="AR1000" s="3"/>
      <c r="AS1000" s="3"/>
      <c r="AT1000" s="3"/>
      <c r="AU1000" s="3"/>
      <c r="AV1000" s="3"/>
      <c r="AW1000" s="3"/>
      <c r="AX1000" s="3"/>
      <c r="AY1000" s="3"/>
      <c r="AZ1000" s="3"/>
      <c r="BA1000" s="3"/>
      <c r="BB1000" s="3"/>
      <c r="BC1000" s="3"/>
      <c r="BD1000" s="3"/>
      <c r="BE1000" s="3"/>
      <c r="BF1000" s="3"/>
    </row>
    <row r="1001">
      <c r="A1001" s="3"/>
      <c r="B1001" s="3"/>
      <c r="C1001" s="3"/>
      <c r="D1001" s="3"/>
      <c r="E1001" s="3"/>
      <c r="F1001" s="3"/>
      <c r="G1001" s="3"/>
      <c r="H1001" s="3"/>
      <c r="I1001" s="3"/>
      <c r="J1001" s="3"/>
      <c r="K1001" s="3"/>
      <c r="L1001" s="3"/>
      <c r="M1001" s="3"/>
      <c r="N1001" s="3"/>
      <c r="O1001" s="3"/>
      <c r="P1001" s="3"/>
      <c r="Q1001" s="3"/>
      <c r="R1001" s="20"/>
      <c r="S1001" s="3"/>
      <c r="T1001" s="3"/>
      <c r="U1001" s="3"/>
      <c r="V1001" s="3"/>
      <c r="W1001" s="3"/>
      <c r="X1001" s="3"/>
      <c r="Y1001" s="3"/>
      <c r="Z1001" s="3"/>
      <c r="AA1001" s="3"/>
      <c r="AB1001" s="3"/>
      <c r="AC1001" s="3"/>
      <c r="AD1001" s="3"/>
      <c r="AE1001" s="3"/>
      <c r="AF1001" s="3"/>
      <c r="AG1001" s="3"/>
      <c r="AH1001" s="3"/>
      <c r="AI1001" s="3"/>
      <c r="AJ1001" s="3"/>
      <c r="AK1001" s="3"/>
      <c r="AL1001" s="3"/>
      <c r="AM1001" s="3"/>
      <c r="AN1001" s="3"/>
      <c r="AO1001" s="3"/>
      <c r="AP1001" s="3"/>
      <c r="AQ1001" s="3"/>
      <c r="AR1001" s="3"/>
      <c r="AS1001" s="3"/>
      <c r="AT1001" s="3"/>
      <c r="AU1001" s="3"/>
      <c r="AV1001" s="3"/>
      <c r="AW1001" s="3"/>
      <c r="AX1001" s="3"/>
      <c r="AY1001" s="3"/>
      <c r="AZ1001" s="3"/>
      <c r="BA1001" s="3"/>
      <c r="BB1001" s="3"/>
      <c r="BC1001" s="3"/>
      <c r="BD1001" s="3"/>
      <c r="BE1001" s="3"/>
      <c r="BF1001" s="3"/>
    </row>
    <row r="1002">
      <c r="A1002" s="3"/>
      <c r="B1002" s="3"/>
      <c r="C1002" s="3"/>
      <c r="D1002" s="3"/>
      <c r="E1002" s="3"/>
      <c r="F1002" s="3"/>
      <c r="G1002" s="3"/>
      <c r="H1002" s="3"/>
      <c r="I1002" s="3"/>
      <c r="J1002" s="3"/>
      <c r="K1002" s="3"/>
      <c r="L1002" s="3"/>
      <c r="M1002" s="3"/>
      <c r="N1002" s="3"/>
      <c r="O1002" s="3"/>
      <c r="P1002" s="3"/>
      <c r="Q1002" s="3"/>
      <c r="R1002" s="20"/>
      <c r="S1002" s="3"/>
      <c r="T1002" s="3"/>
      <c r="U1002" s="3"/>
      <c r="V1002" s="3"/>
      <c r="W1002" s="3"/>
      <c r="X1002" s="3"/>
      <c r="Y1002" s="3"/>
      <c r="Z1002" s="3"/>
      <c r="AA1002" s="3"/>
      <c r="AB1002" s="3"/>
      <c r="AC1002" s="3"/>
      <c r="AD1002" s="3"/>
      <c r="AE1002" s="3"/>
      <c r="AF1002" s="3"/>
      <c r="AG1002" s="3"/>
      <c r="AH1002" s="3"/>
      <c r="AI1002" s="3"/>
      <c r="AJ1002" s="3"/>
      <c r="AK1002" s="3"/>
      <c r="AL1002" s="3"/>
      <c r="AM1002" s="3"/>
      <c r="AN1002" s="3"/>
      <c r="AO1002" s="3"/>
      <c r="AP1002" s="3"/>
      <c r="AQ1002" s="3"/>
      <c r="AR1002" s="3"/>
      <c r="AS1002" s="3"/>
      <c r="AT1002" s="3"/>
      <c r="AU1002" s="3"/>
      <c r="AV1002" s="3"/>
      <c r="AW1002" s="3"/>
      <c r="AX1002" s="3"/>
      <c r="AY1002" s="3"/>
      <c r="AZ1002" s="3"/>
      <c r="BA1002" s="3"/>
      <c r="BB1002" s="3"/>
      <c r="BC1002" s="3"/>
      <c r="BD1002" s="3"/>
      <c r="BE1002" s="3"/>
      <c r="BF1002" s="3"/>
    </row>
  </sheetData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