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_2DS_Complet" sheetId="1" r:id="rId4"/>
  </sheets>
  <definedNames/>
  <calcPr/>
  <extLst>
    <ext uri="GoogleSheetsCustomDataVersion2">
      <go:sheetsCustomData xmlns:go="http://customooxmlschemas.google.com/" r:id="rId5" roundtripDataChecksum="q3m2FCP+aA6RJEjNyCLi7MFTRZcU6W/8ZJ8qJbdI09Q="/>
    </ext>
  </extLst>
</workbook>
</file>

<file path=xl/sharedStrings.xml><?xml version="1.0" encoding="utf-8"?>
<sst xmlns="http://schemas.openxmlformats.org/spreadsheetml/2006/main" count="1003" uniqueCount="93">
  <si>
    <t>model</t>
  </si>
  <si>
    <t>Z-Score_Composite</t>
  </si>
  <si>
    <t>train_dataset</t>
  </si>
  <si>
    <t>exp_dataset</t>
  </si>
  <si>
    <t>group_msec</t>
  </si>
  <si>
    <t>seconds_ahead</t>
  </si>
  <si>
    <t>forecast_steps</t>
  </si>
  <si>
    <t>timesteps_orig</t>
  </si>
  <si>
    <t>Epochs</t>
  </si>
  <si>
    <t>batch_size</t>
  </si>
  <si>
    <t>units_range</t>
  </si>
  <si>
    <t>best_layers</t>
  </si>
  <si>
    <t>best_activation</t>
  </si>
  <si>
    <t>best_optimizer</t>
  </si>
  <si>
    <t>best_dropout</t>
  </si>
  <si>
    <t>best_units_l1</t>
  </si>
  <si>
    <t>best_units_l2</t>
  </si>
  <si>
    <t>train_time_s</t>
  </si>
  <si>
    <t>pred_time_s</t>
  </si>
  <si>
    <t>direct_mae</t>
  </si>
  <si>
    <t>direct_mse</t>
  </si>
  <si>
    <t>direct_rmse</t>
  </si>
  <si>
    <t>direct_r2</t>
  </si>
  <si>
    <t>multi_mae</t>
  </si>
  <si>
    <t>multi_mse</t>
  </si>
  <si>
    <t>multi_rmse</t>
  </si>
  <si>
    <t>multi_r2</t>
  </si>
  <si>
    <t>step1_mae</t>
  </si>
  <si>
    <t>step1_rmse</t>
  </si>
  <si>
    <t>step1_r2</t>
  </si>
  <si>
    <t>stepN_mae</t>
  </si>
  <si>
    <t>stepN_rmse</t>
  </si>
  <si>
    <t>stepN_r2</t>
  </si>
  <si>
    <t>tuner_trials</t>
  </si>
  <si>
    <t>multi_mae_den</t>
  </si>
  <si>
    <t>multi_mse_den</t>
  </si>
  <si>
    <t>multi_rmse_den</t>
  </si>
  <si>
    <t>multi_r2_den</t>
  </si>
  <si>
    <t>step1_mae_den</t>
  </si>
  <si>
    <t>step1_mse_den</t>
  </si>
  <si>
    <t>step1_rmse_den</t>
  </si>
  <si>
    <t>step1_r2_den</t>
  </si>
  <si>
    <t>stepN_mae_den</t>
  </si>
  <si>
    <t>stepN_mse_den</t>
  </si>
  <si>
    <t>stepN_rmse_den</t>
  </si>
  <si>
    <t>stepN_r2_den</t>
  </si>
  <si>
    <t>Z-MAE@1</t>
  </si>
  <si>
    <t>Z-RMSE@1</t>
  </si>
  <si>
    <t>Z-MAE@H</t>
  </si>
  <si>
    <t>Z-RMSE@H</t>
  </si>
  <si>
    <t>Z-MAE@multi</t>
  </si>
  <si>
    <t>Z-RMSE@multi</t>
  </si>
  <si>
    <t>Z-R²@1</t>
  </si>
  <si>
    <t>Z-R²@H</t>
  </si>
  <si>
    <t>Z-R²MedH</t>
  </si>
  <si>
    <t>Z-T@Tra</t>
  </si>
  <si>
    <t>Z-T@Pre</t>
  </si>
  <si>
    <t>LSTM</t>
  </si>
  <si>
    <t>rssi_odom_dataset_12apr25_isolado.parquet</t>
  </si>
  <si>
    <t>rssi_odom_dataset_11apr25_isolado.parquet</t>
  </si>
  <si>
    <t>100</t>
  </si>
  <si>
    <t>3.0</t>
  </si>
  <si>
    <t>30</t>
  </si>
  <si>
    <t>60</t>
  </si>
  <si>
    <t>1024</t>
  </si>
  <si>
    <t>64-256:64</t>
  </si>
  <si>
    <t>1</t>
  </si>
  <si>
    <t>tanh</t>
  </si>
  <si>
    <t>adam</t>
  </si>
  <si>
    <t>0.2</t>
  </si>
  <si>
    <t>128</t>
  </si>
  <si>
    <t>120</t>
  </si>
  <si>
    <t>16-64:16</t>
  </si>
  <si>
    <t>2</t>
  </si>
  <si>
    <t>elu</t>
  </si>
  <si>
    <t>64</t>
  </si>
  <si>
    <t>48</t>
  </si>
  <si>
    <t>GRU</t>
  </si>
  <si>
    <t>10.0</t>
  </si>
  <si>
    <t>relu</t>
  </si>
  <si>
    <t>Nadam</t>
  </si>
  <si>
    <t>192</t>
  </si>
  <si>
    <t>40</t>
  </si>
  <si>
    <t>75</t>
  </si>
  <si>
    <t>rmsprop</t>
  </si>
  <si>
    <t>256</t>
  </si>
  <si>
    <t>250</t>
  </si>
  <si>
    <t>32</t>
  </si>
  <si>
    <t>16</t>
  </si>
  <si>
    <t>2048</t>
  </si>
  <si>
    <t>8192</t>
  </si>
  <si>
    <t>Médias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</si>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</sst>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i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2" fillId="0" fontId="2" numFmtId="164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horizontal="right" vertical="bottom"/>
    </xf>
    <xf borderId="4" fillId="0" fontId="2" numFmtId="164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quotePrefix="1" borderId="0" fillId="0" fontId="2" numFmtId="3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shrinkToFit="0" wrapText="0"/>
    </xf>
    <xf borderId="0" fillId="0" fontId="4" numFmtId="164" xfId="0" applyAlignment="1" applyFont="1" applyNumberFormat="1">
      <alignment horizontal="center" shrinkToFit="0" wrapText="0"/>
    </xf>
    <xf borderId="0" fillId="0" fontId="2" numFmtId="4" xfId="0" applyAlignment="1" applyFont="1" applyNumberFormat="1">
      <alignment vertical="bottom"/>
    </xf>
    <xf borderId="4" fillId="2" fontId="3" numFmtId="0" xfId="0" applyAlignment="1" applyBorder="1" applyFont="1">
      <alignment horizontal="center" shrinkToFit="0" wrapText="0"/>
    </xf>
    <xf borderId="4" fillId="0" fontId="4" numFmtId="164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88"/>
    <col customWidth="1" min="2" max="2" width="16.75"/>
    <col customWidth="1" min="3" max="3" width="34.38"/>
    <col customWidth="1" min="4" max="4" width="34.5"/>
    <col customWidth="1" min="5" max="5" width="10.88"/>
    <col customWidth="1" min="6" max="6" width="13.5"/>
    <col customWidth="1" min="7" max="7" width="12.75"/>
    <col customWidth="1" min="8" max="8" width="12.88"/>
    <col customWidth="1" min="9" max="9" width="7.0"/>
    <col customWidth="1" min="10" max="10" width="9.5"/>
    <col customWidth="1" min="11" max="11" width="10.5"/>
    <col customWidth="1" min="12" max="12" width="10.13"/>
    <col customWidth="1" min="13" max="13" width="13.13"/>
    <col customWidth="1" min="14" max="14" width="12.75"/>
    <col customWidth="1" min="15" max="17" width="11.63"/>
    <col customWidth="1" min="18" max="19" width="10.88"/>
    <col customWidth="1" min="20" max="21" width="9.75"/>
    <col customWidth="1" min="22" max="22" width="10.5"/>
    <col customWidth="1" min="23" max="23" width="8.0"/>
    <col customWidth="1" min="24" max="24" width="9.25"/>
    <col customWidth="1" hidden="1" min="25" max="25" width="9.25"/>
    <col customWidth="1" min="26" max="26" width="9.88"/>
    <col customWidth="1" min="27" max="27" width="7.5"/>
    <col customWidth="1" min="28" max="28" width="9.63"/>
    <col customWidth="1" min="29" max="29" width="10.25"/>
    <col customWidth="1" min="30" max="30" width="7.88"/>
    <col customWidth="1" min="31" max="31" width="9.88"/>
    <col customWidth="1" min="32" max="32" width="10.5"/>
    <col customWidth="1" min="33" max="33" width="8.13"/>
    <col customWidth="1" min="34" max="34" width="10.13"/>
    <col customWidth="1" min="35" max="36" width="13.13"/>
    <col customWidth="1" min="37" max="37" width="13.75"/>
    <col customWidth="1" min="38" max="38" width="11.38"/>
    <col customWidth="1" min="39" max="39" width="13.5"/>
    <col customWidth="1" hidden="1" min="40" max="40" width="13.5"/>
    <col customWidth="1" min="41" max="41" width="14.13"/>
    <col customWidth="1" min="42" max="42" width="11.75"/>
    <col customWidth="1" min="43" max="43" width="13.75"/>
    <col customWidth="1" hidden="1" min="44" max="44" width="13.75"/>
    <col customWidth="1" min="45" max="45" width="14.38"/>
    <col customWidth="1" min="46" max="46" width="12.0"/>
    <col customWidth="1" min="47" max="47" width="9.88"/>
    <col customWidth="1" min="48" max="48" width="10.0"/>
    <col customWidth="1" min="49" max="49" width="9.13"/>
    <col customWidth="1" min="50" max="50" width="10.25"/>
    <col customWidth="1" min="51" max="51" width="12.13"/>
    <col customWidth="1" min="53" max="53" width="7.5"/>
    <col customWidth="1" min="54" max="54" width="7.25"/>
    <col customWidth="1" min="55" max="58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2" t="s">
        <v>50</v>
      </c>
      <c r="AZ1" s="3" t="s">
        <v>51</v>
      </c>
      <c r="BA1" s="2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/>
    </row>
    <row r="2">
      <c r="A2" s="3" t="s">
        <v>57</v>
      </c>
      <c r="B2" s="4">
        <f t="shared" ref="B2:B66" si="2">(((1*AU2)+(1*AV2)+(1*AW2)+(1*AX2)+(1*AY2)+(1*AZ2)+(1*BA2)+(1*BB2)+(1*BC2)+(1*BD2)+(1*BE2))/11)*-1</f>
        <v>0.8890325985</v>
      </c>
      <c r="C2" s="3" t="s">
        <v>58</v>
      </c>
      <c r="D2" s="3" t="s">
        <v>59</v>
      </c>
      <c r="E2" s="5" t="s">
        <v>60</v>
      </c>
      <c r="F2" s="3" t="s">
        <v>61</v>
      </c>
      <c r="G2" s="5" t="s">
        <v>62</v>
      </c>
      <c r="H2" s="5" t="s">
        <v>63</v>
      </c>
      <c r="I2" s="6">
        <v>20.0</v>
      </c>
      <c r="J2" s="5" t="s">
        <v>64</v>
      </c>
      <c r="K2" s="3" t="s">
        <v>65</v>
      </c>
      <c r="L2" s="5" t="s">
        <v>66</v>
      </c>
      <c r="M2" s="3" t="s">
        <v>67</v>
      </c>
      <c r="N2" s="3" t="s">
        <v>68</v>
      </c>
      <c r="O2" s="3" t="s">
        <v>69</v>
      </c>
      <c r="P2" s="5" t="s">
        <v>70</v>
      </c>
      <c r="Q2" s="3"/>
      <c r="R2" s="7">
        <v>218.89393544197</v>
      </c>
      <c r="S2" s="7">
        <v>166.977711200714</v>
      </c>
      <c r="T2" s="7">
        <v>1.35632294712949</v>
      </c>
      <c r="U2" s="7">
        <v>3.24724210959422</v>
      </c>
      <c r="V2" s="7">
        <v>1.8020105742182</v>
      </c>
      <c r="W2" s="7">
        <v>0.875307630420859</v>
      </c>
      <c r="X2" s="7">
        <v>0.0460217587078995</v>
      </c>
      <c r="Y2" s="7">
        <v>0.003638726269537</v>
      </c>
      <c r="Z2" s="7">
        <v>0.0603218556539585</v>
      </c>
      <c r="AA2" s="7">
        <v>0.923461274893948</v>
      </c>
      <c r="AB2" s="7">
        <v>0.0459219010246912</v>
      </c>
      <c r="AC2" s="7">
        <v>0.0601946975545709</v>
      </c>
      <c r="AD2" s="7">
        <v>0.924154316520774</v>
      </c>
      <c r="AE2" s="7">
        <v>0.060098787653246</v>
      </c>
      <c r="AF2" s="7">
        <v>0.0800237262873955</v>
      </c>
      <c r="AG2" s="7">
        <v>0.866519886403743</v>
      </c>
      <c r="AH2" s="7">
        <v>10.0</v>
      </c>
      <c r="AI2" s="7">
        <v>1.35632294712949</v>
      </c>
      <c r="AJ2" s="7">
        <v>3.24724210959422</v>
      </c>
      <c r="AK2" s="7">
        <v>1.8020105742182</v>
      </c>
      <c r="AL2" s="7">
        <v>0.875285189368965</v>
      </c>
      <c r="AM2" s="7">
        <v>1.07087321972853</v>
      </c>
      <c r="AN2" s="7">
        <v>1.97039307647526</v>
      </c>
      <c r="AO2" s="7">
        <v>1.40370690547395</v>
      </c>
      <c r="AP2" s="7">
        <v>0.924154316520774</v>
      </c>
      <c r="AQ2" s="7">
        <v>1.40147033985833</v>
      </c>
      <c r="AR2" s="7">
        <v>3.48236220047317</v>
      </c>
      <c r="AS2" s="7">
        <v>1.86610883939634</v>
      </c>
      <c r="AT2" s="7">
        <v>0.866519886403743</v>
      </c>
      <c r="AU2" s="8">
        <f t="shared" ref="AU2:AU66" si="3">(AB2-$AB$68)/AB$69</f>
        <v>-0.8243116929</v>
      </c>
      <c r="AV2" s="9">
        <f t="shared" ref="AV2:AV66" si="4">(AC2-AC$68)/AC$69</f>
        <v>-0.7851521443</v>
      </c>
      <c r="AW2" s="9">
        <f t="shared" ref="AW2:AW66" si="5">(AQ2-AQ$68)/AQ$69</f>
        <v>-1.255779637</v>
      </c>
      <c r="AX2" s="10">
        <f t="shared" ref="AX2:AX66" si="6">(AS2-AS$68)/AS$69</f>
        <v>-1.252636822</v>
      </c>
      <c r="AY2" s="8">
        <f t="shared" ref="AY2:AY66" si="7">(AI2-AI$68)/AI$69</f>
        <v>-1.017533712</v>
      </c>
      <c r="AZ2" s="10">
        <f t="shared" ref="AZ2:AZ66" si="8">(AK2-AK$68)/AK$69</f>
        <v>-1.006452736</v>
      </c>
      <c r="BA2" s="8">
        <f t="shared" ref="BA2:BA66" si="9">-((AP2-AP$68)/AP$69)</f>
        <v>-0.4980610541</v>
      </c>
      <c r="BB2" s="9">
        <f t="shared" ref="BB2:BB66" si="10">-((AT2-AT$68)/AT$69)</f>
        <v>-0.9026561059</v>
      </c>
      <c r="BC2" s="10">
        <f t="shared" ref="BC2:BC66" si="11">-((AL2-AL$68)/AL$69)</f>
        <v>-0.6888767816</v>
      </c>
      <c r="BD2" s="11">
        <f t="shared" ref="BD2:BE2" si="1">((R2-R$68)/R$69)</f>
        <v>-0.5458556808</v>
      </c>
      <c r="BE2" s="11">
        <f t="shared" si="1"/>
        <v>-1.002042216</v>
      </c>
      <c r="BF2" s="3"/>
    </row>
    <row r="3">
      <c r="A3" s="3" t="s">
        <v>57</v>
      </c>
      <c r="B3" s="4">
        <f t="shared" si="2"/>
        <v>0.5761223719</v>
      </c>
      <c r="C3" s="3" t="s">
        <v>58</v>
      </c>
      <c r="D3" s="3" t="s">
        <v>59</v>
      </c>
      <c r="E3" s="5" t="s">
        <v>60</v>
      </c>
      <c r="F3" s="3" t="s">
        <v>61</v>
      </c>
      <c r="G3" s="5" t="s">
        <v>62</v>
      </c>
      <c r="H3" s="5" t="s">
        <v>71</v>
      </c>
      <c r="I3" s="6">
        <v>20.0</v>
      </c>
      <c r="J3" s="5" t="s">
        <v>64</v>
      </c>
      <c r="K3" s="3" t="s">
        <v>72</v>
      </c>
      <c r="L3" s="5" t="s">
        <v>73</v>
      </c>
      <c r="M3" s="3" t="s">
        <v>74</v>
      </c>
      <c r="N3" s="3" t="s">
        <v>68</v>
      </c>
      <c r="O3" s="3" t="s">
        <v>69</v>
      </c>
      <c r="P3" s="5" t="s">
        <v>75</v>
      </c>
      <c r="Q3" s="5" t="s">
        <v>76</v>
      </c>
      <c r="R3" s="7">
        <v>180.497941732406</v>
      </c>
      <c r="S3" s="7">
        <v>176.4144718647</v>
      </c>
      <c r="T3" s="7">
        <v>1.4872975965098</v>
      </c>
      <c r="U3" s="7">
        <v>3.75574826620639</v>
      </c>
      <c r="V3" s="7">
        <v>1.93797530072144</v>
      </c>
      <c r="W3" s="7">
        <v>0.856779222326288</v>
      </c>
      <c r="X3" s="7">
        <v>0.0590307737202428</v>
      </c>
      <c r="Y3" s="7">
        <v>0.0056542840890702</v>
      </c>
      <c r="Z3" s="7">
        <v>0.0751949738285093</v>
      </c>
      <c r="AA3" s="7">
        <v>0.881649521881403</v>
      </c>
      <c r="AB3" s="7">
        <v>0.0590880974979725</v>
      </c>
      <c r="AC3" s="7">
        <v>0.0751681676963383</v>
      </c>
      <c r="AD3" s="7">
        <v>0.882328740937604</v>
      </c>
      <c r="AE3" s="7">
        <v>0.0997148238428574</v>
      </c>
      <c r="AF3" s="7">
        <v>0.121635311204348</v>
      </c>
      <c r="AG3" s="7">
        <v>0.694142473448383</v>
      </c>
      <c r="AH3" s="7">
        <v>10.0</v>
      </c>
      <c r="AI3" s="7">
        <v>1.4872975965098</v>
      </c>
      <c r="AJ3" s="7">
        <v>3.75574826620638</v>
      </c>
      <c r="AK3" s="7">
        <v>1.93797530072144</v>
      </c>
      <c r="AL3" s="7">
        <v>0.856736806771338</v>
      </c>
      <c r="AM3" s="7">
        <v>1.37790160693189</v>
      </c>
      <c r="AN3" s="7">
        <v>3.07258798093403</v>
      </c>
      <c r="AO3" s="7">
        <v>1.75287991058544</v>
      </c>
      <c r="AP3" s="7">
        <v>0.882328740937603</v>
      </c>
      <c r="AQ3" s="7">
        <v>2.32529429489108</v>
      </c>
      <c r="AR3" s="7">
        <v>8.04555004625578</v>
      </c>
      <c r="AS3" s="7">
        <v>2.8364678821125</v>
      </c>
      <c r="AT3" s="7">
        <v>0.694142473448383</v>
      </c>
      <c r="AU3" s="8">
        <f t="shared" si="3"/>
        <v>-0.5523353754</v>
      </c>
      <c r="AV3" s="9">
        <f t="shared" si="4"/>
        <v>-0.5291542284</v>
      </c>
      <c r="AW3" s="9">
        <f t="shared" si="5"/>
        <v>-0.2069095181</v>
      </c>
      <c r="AX3" s="10">
        <f t="shared" si="6"/>
        <v>-0.3254611887</v>
      </c>
      <c r="AY3" s="8">
        <f t="shared" si="7"/>
        <v>-0.8900195691</v>
      </c>
      <c r="AZ3" s="10">
        <f t="shared" si="8"/>
        <v>-0.8951483763</v>
      </c>
      <c r="BA3" s="8">
        <f t="shared" si="9"/>
        <v>-0.4119861446</v>
      </c>
      <c r="BB3" s="9">
        <f t="shared" si="10"/>
        <v>-0.3563483048</v>
      </c>
      <c r="BC3" s="10">
        <f t="shared" si="11"/>
        <v>-0.6427539914</v>
      </c>
      <c r="BD3" s="11">
        <f t="shared" ref="BD3:BE3" si="12">((R3-R$68)/R$69)</f>
        <v>-0.5950844222</v>
      </c>
      <c r="BE3" s="11">
        <f t="shared" si="12"/>
        <v>-0.9321449723</v>
      </c>
      <c r="BF3" s="3"/>
    </row>
    <row r="4">
      <c r="A4" s="3" t="s">
        <v>77</v>
      </c>
      <c r="B4" s="4">
        <f t="shared" si="2"/>
        <v>0.4958362711</v>
      </c>
      <c r="C4" s="3" t="s">
        <v>58</v>
      </c>
      <c r="D4" s="3" t="s">
        <v>59</v>
      </c>
      <c r="E4" s="5" t="s">
        <v>60</v>
      </c>
      <c r="F4" s="3" t="s">
        <v>78</v>
      </c>
      <c r="G4" s="5" t="s">
        <v>60</v>
      </c>
      <c r="H4" s="5" t="s">
        <v>63</v>
      </c>
      <c r="I4" s="6">
        <v>20.0</v>
      </c>
      <c r="J4" s="5" t="s">
        <v>64</v>
      </c>
      <c r="K4" s="3" t="s">
        <v>65</v>
      </c>
      <c r="L4" s="5" t="s">
        <v>73</v>
      </c>
      <c r="M4" s="3" t="s">
        <v>79</v>
      </c>
      <c r="N4" s="3" t="s">
        <v>80</v>
      </c>
      <c r="O4" s="3" t="s">
        <v>69</v>
      </c>
      <c r="P4" s="5" t="s">
        <v>75</v>
      </c>
      <c r="Q4" s="5" t="s">
        <v>81</v>
      </c>
      <c r="R4" s="7">
        <v>249.12476325035</v>
      </c>
      <c r="S4" s="7">
        <v>178.692143678665</v>
      </c>
      <c r="T4" s="7">
        <v>2.05220237403132</v>
      </c>
      <c r="U4" s="7">
        <v>6.7404251870492</v>
      </c>
      <c r="V4" s="7">
        <v>2.59623288382402</v>
      </c>
      <c r="W4" s="7">
        <v>0.741022388544214</v>
      </c>
      <c r="X4" s="7">
        <v>0.0530995494184025</v>
      </c>
      <c r="Y4" s="7">
        <v>0.00464347744138451</v>
      </c>
      <c r="Z4" s="7">
        <v>0.0681430659816867</v>
      </c>
      <c r="AA4" s="7">
        <v>0.900852098706236</v>
      </c>
      <c r="AB4" s="7">
        <v>0.0527862257484584</v>
      </c>
      <c r="AC4" s="7">
        <v>0.0677852361860527</v>
      </c>
      <c r="AD4" s="7">
        <v>0.902940119995542</v>
      </c>
      <c r="AE4" s="7">
        <v>0.092942790589634</v>
      </c>
      <c r="AF4" s="7">
        <v>0.118489502041377</v>
      </c>
      <c r="AG4" s="7">
        <v>0.71014294473145</v>
      </c>
      <c r="AH4" s="7">
        <v>10.0</v>
      </c>
      <c r="AI4" s="7">
        <v>2.05220237403132</v>
      </c>
      <c r="AJ4" s="7">
        <v>6.7404251870492</v>
      </c>
      <c r="AK4" s="7">
        <v>2.59623288382402</v>
      </c>
      <c r="AL4" s="7">
        <v>0.740771909492662</v>
      </c>
      <c r="AM4" s="7">
        <v>1.23094545877308</v>
      </c>
      <c r="AN4" s="7">
        <v>2.49865690595221</v>
      </c>
      <c r="AO4" s="7">
        <v>1.5807140493942</v>
      </c>
      <c r="AP4" s="7">
        <v>0.902940119995542</v>
      </c>
      <c r="AQ4" s="7">
        <v>2.16737424166662</v>
      </c>
      <c r="AR4" s="7">
        <v>7.63477333589322</v>
      </c>
      <c r="AS4" s="7">
        <v>2.76310936010379</v>
      </c>
      <c r="AT4" s="7">
        <v>0.71014294473145</v>
      </c>
      <c r="AU4" s="8">
        <f t="shared" si="3"/>
        <v>-0.6825141917</v>
      </c>
      <c r="AV4" s="9">
        <f t="shared" si="4"/>
        <v>-0.6553784811</v>
      </c>
      <c r="AW4" s="9">
        <f t="shared" si="5"/>
        <v>-0.3862051774</v>
      </c>
      <c r="AX4" s="10">
        <f t="shared" si="6"/>
        <v>-0.3955550727</v>
      </c>
      <c r="AY4" s="8">
        <f t="shared" si="7"/>
        <v>-0.3400402505</v>
      </c>
      <c r="AZ4" s="10">
        <f t="shared" si="8"/>
        <v>-0.3562811201</v>
      </c>
      <c r="BA4" s="8">
        <f t="shared" si="9"/>
        <v>-0.4544033155</v>
      </c>
      <c r="BB4" s="9">
        <f t="shared" si="10"/>
        <v>-0.407057862</v>
      </c>
      <c r="BC4" s="10">
        <f t="shared" si="11"/>
        <v>-0.3543932892</v>
      </c>
      <c r="BD4" s="11">
        <f t="shared" ref="BD4:BE4" si="13">((R4-R$68)/R$69)</f>
        <v>-0.5070957619</v>
      </c>
      <c r="BE4" s="11">
        <f t="shared" si="13"/>
        <v>-0.9152744604</v>
      </c>
      <c r="BF4" s="3"/>
    </row>
    <row r="5">
      <c r="A5" s="3" t="s">
        <v>77</v>
      </c>
      <c r="B5" s="4">
        <f t="shared" si="2"/>
        <v>0.5621826404</v>
      </c>
      <c r="C5" s="3" t="s">
        <v>58</v>
      </c>
      <c r="D5" s="3" t="s">
        <v>59</v>
      </c>
      <c r="E5" s="5" t="s">
        <v>82</v>
      </c>
      <c r="F5" s="3" t="s">
        <v>61</v>
      </c>
      <c r="G5" s="5" t="s">
        <v>83</v>
      </c>
      <c r="H5" s="5" t="s">
        <v>71</v>
      </c>
      <c r="I5" s="6">
        <v>20.0</v>
      </c>
      <c r="J5" s="5" t="s">
        <v>64</v>
      </c>
      <c r="K5" s="3" t="s">
        <v>72</v>
      </c>
      <c r="L5" s="5" t="s">
        <v>73</v>
      </c>
      <c r="M5" s="3" t="s">
        <v>67</v>
      </c>
      <c r="N5" s="3" t="s">
        <v>80</v>
      </c>
      <c r="O5" s="3" t="s">
        <v>69</v>
      </c>
      <c r="P5" s="5" t="s">
        <v>75</v>
      </c>
      <c r="Q5" s="5" t="s">
        <v>76</v>
      </c>
      <c r="R5" s="7">
        <v>439.740293741226</v>
      </c>
      <c r="S5" s="7">
        <v>465.660078287124</v>
      </c>
      <c r="T5" s="7">
        <v>1.5589926250512</v>
      </c>
      <c r="U5" s="7">
        <v>4.10358441805968</v>
      </c>
      <c r="V5" s="7">
        <v>2.025730588716</v>
      </c>
      <c r="W5" s="7">
        <v>0.848133627657178</v>
      </c>
      <c r="X5" s="7">
        <v>0.0484962771775119</v>
      </c>
      <c r="Y5" s="7">
        <v>0.00381474020366679</v>
      </c>
      <c r="Z5" s="7">
        <v>0.0617635831511319</v>
      </c>
      <c r="AA5" s="7">
        <v>0.914626525073093</v>
      </c>
      <c r="AB5" s="7">
        <v>0.0484757956343274</v>
      </c>
      <c r="AC5" s="7">
        <v>0.0616875064934141</v>
      </c>
      <c r="AD5" s="7">
        <v>0.91524404039572</v>
      </c>
      <c r="AE5" s="7">
        <v>0.0658978524354219</v>
      </c>
      <c r="AF5" s="7">
        <v>0.0856137341105</v>
      </c>
      <c r="AG5" s="7">
        <v>0.837417448510431</v>
      </c>
      <c r="AH5" s="7">
        <v>10.0</v>
      </c>
      <c r="AI5" s="7">
        <v>1.5589926250512</v>
      </c>
      <c r="AJ5" s="7">
        <v>4.10358441805968</v>
      </c>
      <c r="AK5" s="7">
        <v>2.025730588716</v>
      </c>
      <c r="AL5" s="7">
        <v>0.848105762996465</v>
      </c>
      <c r="AM5" s="7">
        <v>1.18765699304104</v>
      </c>
      <c r="AN5" s="7">
        <v>2.28416041153935</v>
      </c>
      <c r="AO5" s="7">
        <v>1.51134390908864</v>
      </c>
      <c r="AP5" s="7">
        <v>0.91524404039572</v>
      </c>
      <c r="AQ5" s="7">
        <v>1.61449738466785</v>
      </c>
      <c r="AR5" s="7">
        <v>4.39965930887311</v>
      </c>
      <c r="AS5" s="7">
        <v>2.09753648570724</v>
      </c>
      <c r="AT5" s="7">
        <v>0.837417448510431</v>
      </c>
      <c r="AU5" s="8">
        <f t="shared" si="3"/>
        <v>-0.7715554658</v>
      </c>
      <c r="AV5" s="9">
        <f t="shared" si="4"/>
        <v>-0.7596299391</v>
      </c>
      <c r="AW5" s="9">
        <f t="shared" si="5"/>
        <v>-1.013917862</v>
      </c>
      <c r="AX5" s="10">
        <f t="shared" si="6"/>
        <v>-1.031508286</v>
      </c>
      <c r="AY5" s="8">
        <f t="shared" si="7"/>
        <v>-0.8202188089</v>
      </c>
      <c r="AZ5" s="10">
        <f t="shared" si="8"/>
        <v>-0.8233095514</v>
      </c>
      <c r="BA5" s="8">
        <f t="shared" si="9"/>
        <v>-0.4797241586</v>
      </c>
      <c r="BB5" s="9">
        <f t="shared" si="10"/>
        <v>-0.8104230889</v>
      </c>
      <c r="BC5" s="10">
        <f t="shared" si="11"/>
        <v>-0.6212918602</v>
      </c>
      <c r="BD5" s="11">
        <f t="shared" ref="BD5:BE5" si="14">((R5-R$68)/R$69)</f>
        <v>-0.2627014449</v>
      </c>
      <c r="BE5" s="11">
        <f t="shared" si="14"/>
        <v>1.210271422</v>
      </c>
      <c r="BF5" s="3"/>
    </row>
    <row r="6">
      <c r="A6" s="3" t="s">
        <v>77</v>
      </c>
      <c r="B6" s="4">
        <f t="shared" si="2"/>
        <v>0.6009870702</v>
      </c>
      <c r="C6" s="3" t="s">
        <v>58</v>
      </c>
      <c r="D6" s="3" t="s">
        <v>59</v>
      </c>
      <c r="E6" s="5" t="s">
        <v>82</v>
      </c>
      <c r="F6" s="3" t="s">
        <v>61</v>
      </c>
      <c r="G6" s="5" t="s">
        <v>83</v>
      </c>
      <c r="H6" s="5" t="s">
        <v>63</v>
      </c>
      <c r="I6" s="6">
        <v>20.0</v>
      </c>
      <c r="J6" s="5" t="s">
        <v>64</v>
      </c>
      <c r="K6" s="3" t="s">
        <v>65</v>
      </c>
      <c r="L6" s="5" t="s">
        <v>73</v>
      </c>
      <c r="M6" s="3" t="s">
        <v>74</v>
      </c>
      <c r="N6" s="3" t="s">
        <v>84</v>
      </c>
      <c r="O6" s="3" t="s">
        <v>69</v>
      </c>
      <c r="P6" s="5" t="s">
        <v>81</v>
      </c>
      <c r="Q6" s="5" t="s">
        <v>85</v>
      </c>
      <c r="R6" s="7">
        <v>759.774735212326</v>
      </c>
      <c r="S6" s="7">
        <v>465.382558584213</v>
      </c>
      <c r="T6" s="7">
        <v>1.40466462282112</v>
      </c>
      <c r="U6" s="7">
        <v>3.435129418956</v>
      </c>
      <c r="V6" s="7">
        <v>1.85341021335159</v>
      </c>
      <c r="W6" s="7">
        <v>0.872761008761448</v>
      </c>
      <c r="X6" s="7">
        <v>0.0410480467081777</v>
      </c>
      <c r="Y6" s="7">
        <v>0.00271694390525276</v>
      </c>
      <c r="Z6" s="7">
        <v>0.0521243120362539</v>
      </c>
      <c r="AA6" s="7">
        <v>0.939129364236375</v>
      </c>
      <c r="AB6" s="7">
        <v>0.0410319312885553</v>
      </c>
      <c r="AC6" s="7">
        <v>0.0520619094431876</v>
      </c>
      <c r="AD6" s="7">
        <v>0.939560328420206</v>
      </c>
      <c r="AE6" s="7">
        <v>0.0641237426368237</v>
      </c>
      <c r="AF6" s="7">
        <v>0.0837715444207474</v>
      </c>
      <c r="AG6" s="7">
        <v>0.844272088225246</v>
      </c>
      <c r="AH6" s="7">
        <v>10.0</v>
      </c>
      <c r="AI6" s="7">
        <v>1.40466462282114</v>
      </c>
      <c r="AJ6" s="7">
        <v>3.435129418956</v>
      </c>
      <c r="AK6" s="7">
        <v>1.85341021335159</v>
      </c>
      <c r="AL6" s="7">
        <v>0.872728508057441</v>
      </c>
      <c r="AM6" s="7">
        <v>1.00528231656959</v>
      </c>
      <c r="AN6" s="7">
        <v>1.62694305952611</v>
      </c>
      <c r="AO6" s="7">
        <v>1.27551678135809</v>
      </c>
      <c r="AP6" s="7">
        <v>0.939560328420206</v>
      </c>
      <c r="AQ6" s="7">
        <v>1.5710316946022</v>
      </c>
      <c r="AR6" s="7">
        <v>4.21235741069601</v>
      </c>
      <c r="AS6" s="7">
        <v>2.05240283830831</v>
      </c>
      <c r="AT6" s="7">
        <v>0.844272088225246</v>
      </c>
      <c r="AU6" s="8">
        <f t="shared" si="3"/>
        <v>-0.9253246137</v>
      </c>
      <c r="AV6" s="9">
        <f t="shared" si="4"/>
        <v>-0.92419652</v>
      </c>
      <c r="AW6" s="9">
        <f t="shared" si="5"/>
        <v>-1.063266943</v>
      </c>
      <c r="AX6" s="10">
        <f t="shared" si="6"/>
        <v>-1.074633373</v>
      </c>
      <c r="AY6" s="8">
        <f t="shared" si="7"/>
        <v>-0.970469281</v>
      </c>
      <c r="AZ6" s="10">
        <f t="shared" si="8"/>
        <v>-0.9643756177</v>
      </c>
      <c r="BA6" s="8">
        <f t="shared" si="9"/>
        <v>-0.5297658439</v>
      </c>
      <c r="BB6" s="9">
        <f t="shared" si="10"/>
        <v>-0.8321471831</v>
      </c>
      <c r="BC6" s="10">
        <f t="shared" si="11"/>
        <v>-0.6825192852</v>
      </c>
      <c r="BD6" s="11">
        <f t="shared" ref="BD6:BE6" si="15">((R6-R$68)/R$69)</f>
        <v>0.1476250302</v>
      </c>
      <c r="BE6" s="11">
        <f t="shared" si="15"/>
        <v>1.208215858</v>
      </c>
      <c r="BF6" s="3"/>
    </row>
    <row r="7">
      <c r="A7" s="3" t="s">
        <v>57</v>
      </c>
      <c r="B7" s="4">
        <f t="shared" si="2"/>
        <v>0.1637220261</v>
      </c>
      <c r="C7" s="3" t="s">
        <v>58</v>
      </c>
      <c r="D7" s="3" t="s">
        <v>59</v>
      </c>
      <c r="E7" s="5" t="s">
        <v>82</v>
      </c>
      <c r="F7" s="3" t="s">
        <v>78</v>
      </c>
      <c r="G7" s="5" t="s">
        <v>86</v>
      </c>
      <c r="H7" s="5" t="s">
        <v>71</v>
      </c>
      <c r="I7" s="6">
        <v>20.0</v>
      </c>
      <c r="J7" s="5" t="s">
        <v>64</v>
      </c>
      <c r="K7" s="3" t="s">
        <v>72</v>
      </c>
      <c r="L7" s="5" t="s">
        <v>66</v>
      </c>
      <c r="M7" s="3" t="s">
        <v>67</v>
      </c>
      <c r="N7" s="3" t="s">
        <v>80</v>
      </c>
      <c r="O7" s="3" t="s">
        <v>69</v>
      </c>
      <c r="P7" s="5" t="s">
        <v>76</v>
      </c>
      <c r="Q7" s="3"/>
      <c r="R7" s="7">
        <v>353.311714410781</v>
      </c>
      <c r="S7" s="7">
        <v>408.070708513259</v>
      </c>
      <c r="T7" s="7">
        <v>2.1487068194497</v>
      </c>
      <c r="U7" s="7">
        <v>7.50082040311643</v>
      </c>
      <c r="V7" s="7">
        <v>2.73876256786097</v>
      </c>
      <c r="W7" s="7">
        <v>0.721973229320156</v>
      </c>
      <c r="X7" s="7">
        <v>0.0729847493133338</v>
      </c>
      <c r="Y7" s="7">
        <v>0.00831591124899518</v>
      </c>
      <c r="Z7" s="7">
        <v>0.0911916183045086</v>
      </c>
      <c r="AA7" s="7">
        <v>0.811245262994434</v>
      </c>
      <c r="AB7" s="7">
        <v>0.0726859153746441</v>
      </c>
      <c r="AC7" s="7">
        <v>0.0906793672943221</v>
      </c>
      <c r="AD7" s="7">
        <v>0.815236937005545</v>
      </c>
      <c r="AE7" s="7">
        <v>0.0944484801822747</v>
      </c>
      <c r="AF7" s="7">
        <v>0.123943876950086</v>
      </c>
      <c r="AG7" s="7">
        <v>0.662180635088795</v>
      </c>
      <c r="AH7" s="7">
        <v>10.0</v>
      </c>
      <c r="AI7" s="7">
        <v>2.14870681944964</v>
      </c>
      <c r="AJ7" s="7">
        <v>7.50082040311643</v>
      </c>
      <c r="AK7" s="7">
        <v>2.73876256786097</v>
      </c>
      <c r="AL7" s="7">
        <v>0.721760990279623</v>
      </c>
      <c r="AM7" s="7">
        <v>1.78080492667882</v>
      </c>
      <c r="AN7" s="7">
        <v>4.93570427865239</v>
      </c>
      <c r="AO7" s="7">
        <v>2.22164449871089</v>
      </c>
      <c r="AP7" s="7">
        <v>0.815236937005545</v>
      </c>
      <c r="AQ7" s="7">
        <v>2.31398776446565</v>
      </c>
      <c r="AR7" s="7">
        <v>9.22109130120928</v>
      </c>
      <c r="AS7" s="7">
        <v>3.03662498527712</v>
      </c>
      <c r="AT7" s="7">
        <v>0.662180635088795</v>
      </c>
      <c r="AU7" s="8">
        <f t="shared" si="3"/>
        <v>-0.2714429825</v>
      </c>
      <c r="AV7" s="9">
        <f t="shared" si="4"/>
        <v>-0.2639628777</v>
      </c>
      <c r="AW7" s="9">
        <f t="shared" si="5"/>
        <v>-0.2197464681</v>
      </c>
      <c r="AX7" s="10">
        <f t="shared" si="6"/>
        <v>-0.1342115783</v>
      </c>
      <c r="AY7" s="8">
        <f t="shared" si="7"/>
        <v>-0.2460855678</v>
      </c>
      <c r="AZ7" s="10">
        <f t="shared" si="8"/>
        <v>-0.2396025102</v>
      </c>
      <c r="BA7" s="8">
        <f t="shared" si="9"/>
        <v>-0.2739146208</v>
      </c>
      <c r="BB7" s="9">
        <f t="shared" si="10"/>
        <v>-0.2550531215</v>
      </c>
      <c r="BC7" s="10">
        <f t="shared" si="11"/>
        <v>-0.3071203459</v>
      </c>
      <c r="BD7" s="11">
        <f t="shared" ref="BD7:BE7" si="16">((R7-R$68)/R$69)</f>
        <v>-0.3735143129</v>
      </c>
      <c r="BE7" s="11">
        <f t="shared" si="16"/>
        <v>0.7837120991</v>
      </c>
      <c r="BF7" s="3"/>
    </row>
    <row r="8">
      <c r="A8" s="3" t="s">
        <v>57</v>
      </c>
      <c r="B8" s="4">
        <f t="shared" si="2"/>
        <v>0.1889884001</v>
      </c>
      <c r="C8" s="3" t="s">
        <v>58</v>
      </c>
      <c r="D8" s="3" t="s">
        <v>59</v>
      </c>
      <c r="E8" s="5" t="s">
        <v>82</v>
      </c>
      <c r="F8" s="3" t="s">
        <v>78</v>
      </c>
      <c r="G8" s="5" t="s">
        <v>86</v>
      </c>
      <c r="H8" s="5" t="s">
        <v>63</v>
      </c>
      <c r="I8" s="6">
        <v>20.0</v>
      </c>
      <c r="J8" s="5" t="s">
        <v>64</v>
      </c>
      <c r="K8" s="3" t="s">
        <v>65</v>
      </c>
      <c r="L8" s="5" t="s">
        <v>66</v>
      </c>
      <c r="M8" s="3" t="s">
        <v>67</v>
      </c>
      <c r="N8" s="3" t="s">
        <v>68</v>
      </c>
      <c r="O8" s="3" t="s">
        <v>69</v>
      </c>
      <c r="P8" s="5" t="s">
        <v>85</v>
      </c>
      <c r="Q8" s="3"/>
      <c r="R8" s="7">
        <v>749.205843687057</v>
      </c>
      <c r="S8" s="7">
        <v>416.313429355621</v>
      </c>
      <c r="T8" s="7">
        <v>2.13875495833566</v>
      </c>
      <c r="U8" s="7">
        <v>7.20986923223144</v>
      </c>
      <c r="V8" s="7">
        <v>2.68511996607813</v>
      </c>
      <c r="W8" s="7">
        <v>0.732205316456469</v>
      </c>
      <c r="X8" s="7">
        <v>0.0697727343433666</v>
      </c>
      <c r="Y8" s="7">
        <v>0.00745792813905505</v>
      </c>
      <c r="Z8" s="7">
        <v>0.0863592967725829</v>
      </c>
      <c r="AA8" s="7">
        <v>0.830598311706381</v>
      </c>
      <c r="AB8" s="7">
        <v>0.0689232672825333</v>
      </c>
      <c r="AC8" s="7">
        <v>0.08559173647368</v>
      </c>
      <c r="AD8" s="7">
        <v>0.835226283175164</v>
      </c>
      <c r="AE8" s="7">
        <v>0.0888373480956608</v>
      </c>
      <c r="AF8" s="7">
        <v>0.113726226259709</v>
      </c>
      <c r="AG8" s="7">
        <v>0.714653550955342</v>
      </c>
      <c r="AH8" s="7">
        <v>10.0</v>
      </c>
      <c r="AI8" s="7">
        <v>2.13875495833559</v>
      </c>
      <c r="AJ8" s="7">
        <v>7.20986923223144</v>
      </c>
      <c r="AK8" s="7">
        <v>2.68511996607813</v>
      </c>
      <c r="AL8" s="7">
        <v>0.732036879597021</v>
      </c>
      <c r="AM8" s="7">
        <v>1.68862004842208</v>
      </c>
      <c r="AN8" s="7">
        <v>4.39739869788607</v>
      </c>
      <c r="AO8" s="7">
        <v>2.09699754360516</v>
      </c>
      <c r="AP8" s="7">
        <v>0.835226283175164</v>
      </c>
      <c r="AQ8" s="7">
        <v>2.17651502834361</v>
      </c>
      <c r="AR8" s="7">
        <v>7.7634261371996</v>
      </c>
      <c r="AS8" s="7">
        <v>2.78629254336288</v>
      </c>
      <c r="AT8" s="7">
        <v>0.714653550955342</v>
      </c>
      <c r="AU8" s="8">
        <f t="shared" si="3"/>
        <v>-0.349168632</v>
      </c>
      <c r="AV8" s="9">
        <f t="shared" si="4"/>
        <v>-0.3509449116</v>
      </c>
      <c r="AW8" s="9">
        <f t="shared" si="5"/>
        <v>-0.37582712</v>
      </c>
      <c r="AX8" s="10">
        <f t="shared" si="6"/>
        <v>-0.3734035992</v>
      </c>
      <c r="AY8" s="8">
        <f t="shared" si="7"/>
        <v>-0.2557744888</v>
      </c>
      <c r="AZ8" s="10">
        <f t="shared" si="8"/>
        <v>-0.2835157781</v>
      </c>
      <c r="BA8" s="8">
        <f t="shared" si="9"/>
        <v>-0.3150516796</v>
      </c>
      <c r="BB8" s="9">
        <f t="shared" si="10"/>
        <v>-0.4213531187</v>
      </c>
      <c r="BC8" s="10">
        <f t="shared" si="11"/>
        <v>-0.3326725839</v>
      </c>
      <c r="BD8" s="11">
        <f t="shared" ref="BD8:BE8" si="17">((R8-R$68)/R$69)</f>
        <v>0.1340743136</v>
      </c>
      <c r="BE8" s="11">
        <f t="shared" si="17"/>
        <v>0.8447651967</v>
      </c>
      <c r="BF8" s="3"/>
    </row>
    <row r="9">
      <c r="A9" s="3" t="s">
        <v>77</v>
      </c>
      <c r="B9" s="4">
        <f t="shared" si="2"/>
        <v>-0.8925175715</v>
      </c>
      <c r="C9" s="3" t="s">
        <v>58</v>
      </c>
      <c r="D9" s="3" t="s">
        <v>59</v>
      </c>
      <c r="E9" s="5" t="s">
        <v>60</v>
      </c>
      <c r="F9" s="3" t="s">
        <v>78</v>
      </c>
      <c r="G9" s="5" t="s">
        <v>60</v>
      </c>
      <c r="H9" s="5" t="s">
        <v>71</v>
      </c>
      <c r="I9" s="6">
        <v>20.0</v>
      </c>
      <c r="J9" s="5" t="s">
        <v>64</v>
      </c>
      <c r="K9" s="3" t="s">
        <v>72</v>
      </c>
      <c r="L9" s="5" t="s">
        <v>73</v>
      </c>
      <c r="M9" s="3" t="s">
        <v>74</v>
      </c>
      <c r="N9" s="3" t="s">
        <v>80</v>
      </c>
      <c r="O9" s="3" t="s">
        <v>69</v>
      </c>
      <c r="P9" s="5" t="s">
        <v>87</v>
      </c>
      <c r="Q9" s="5" t="s">
        <v>76</v>
      </c>
      <c r="R9" s="7">
        <v>159.367000818252</v>
      </c>
      <c r="S9" s="7">
        <v>180.55416893959</v>
      </c>
      <c r="T9" s="7">
        <v>3.6376081690372</v>
      </c>
      <c r="U9" s="7">
        <v>19.1094377455952</v>
      </c>
      <c r="V9" s="7">
        <v>4.3714342892917</v>
      </c>
      <c r="W9" s="7">
        <v>0.268681203136733</v>
      </c>
      <c r="X9" s="7">
        <v>0.150223688636753</v>
      </c>
      <c r="Y9" s="7">
        <v>0.0311685955770548</v>
      </c>
      <c r="Z9" s="7">
        <v>0.176546298678434</v>
      </c>
      <c r="AA9" s="7">
        <v>0.337275783107784</v>
      </c>
      <c r="AB9" s="7">
        <v>0.152090577295458</v>
      </c>
      <c r="AC9" s="7">
        <v>0.178121321571671</v>
      </c>
      <c r="AD9" s="7">
        <v>0.332967555616365</v>
      </c>
      <c r="AE9" s="7">
        <v>0.174145238218972</v>
      </c>
      <c r="AF9" s="7">
        <v>0.20846324800882</v>
      </c>
      <c r="AG9" s="7">
        <v>0.0990902950804955</v>
      </c>
      <c r="AH9" s="7">
        <v>10.0</v>
      </c>
      <c r="AI9" s="7">
        <v>3.63760816903721</v>
      </c>
      <c r="AJ9" s="7">
        <v>19.1094377455952</v>
      </c>
      <c r="AK9" s="7">
        <v>4.3714342892917</v>
      </c>
      <c r="AL9" s="7">
        <v>0.268455611734381</v>
      </c>
      <c r="AM9" s="7">
        <v>3.54666776776491</v>
      </c>
      <c r="AN9" s="7">
        <v>17.2531427989606</v>
      </c>
      <c r="AO9" s="7">
        <v>4.15369026276161</v>
      </c>
      <c r="AP9" s="7">
        <v>0.332967555616365</v>
      </c>
      <c r="AQ9" s="7">
        <v>4.06097020791186</v>
      </c>
      <c r="AR9" s="7">
        <v>23.6317236652541</v>
      </c>
      <c r="AS9" s="7">
        <v>4.86124713065013</v>
      </c>
      <c r="AT9" s="7">
        <v>0.0990902950804953</v>
      </c>
      <c r="AU9" s="8">
        <f t="shared" si="3"/>
        <v>1.368832369</v>
      </c>
      <c r="AV9" s="9">
        <f t="shared" si="4"/>
        <v>1.231011757</v>
      </c>
      <c r="AW9" s="9">
        <f t="shared" si="5"/>
        <v>1.763702514</v>
      </c>
      <c r="AX9" s="10">
        <f t="shared" si="6"/>
        <v>1.609210308</v>
      </c>
      <c r="AY9" s="8">
        <f t="shared" si="7"/>
        <v>1.20347723</v>
      </c>
      <c r="AZ9" s="10">
        <f t="shared" si="8"/>
        <v>1.096946211</v>
      </c>
      <c r="BA9" s="8">
        <f t="shared" si="9"/>
        <v>0.7185712636</v>
      </c>
      <c r="BB9" s="9">
        <f t="shared" si="10"/>
        <v>1.529523177</v>
      </c>
      <c r="BC9" s="10">
        <f t="shared" si="11"/>
        <v>0.8200781455</v>
      </c>
      <c r="BD9" s="11">
        <f t="shared" ref="BD9:BE9" si="18">((R9-R$68)/R$69)</f>
        <v>-0.6221770828</v>
      </c>
      <c r="BE9" s="11">
        <f t="shared" si="18"/>
        <v>-0.9014826055</v>
      </c>
      <c r="BF9" s="3"/>
    </row>
    <row r="10">
      <c r="A10" s="3" t="s">
        <v>77</v>
      </c>
      <c r="B10" s="4">
        <f t="shared" si="2"/>
        <v>0.7440817511</v>
      </c>
      <c r="C10" s="3" t="s">
        <v>58</v>
      </c>
      <c r="D10" s="3" t="s">
        <v>59</v>
      </c>
      <c r="E10" s="5" t="s">
        <v>60</v>
      </c>
      <c r="F10" s="3" t="s">
        <v>61</v>
      </c>
      <c r="G10" s="5" t="s">
        <v>62</v>
      </c>
      <c r="H10" s="5" t="s">
        <v>63</v>
      </c>
      <c r="I10" s="6">
        <v>150.0</v>
      </c>
      <c r="J10" s="5" t="s">
        <v>64</v>
      </c>
      <c r="K10" s="3" t="s">
        <v>72</v>
      </c>
      <c r="L10" s="5" t="s">
        <v>66</v>
      </c>
      <c r="M10" s="3" t="s">
        <v>67</v>
      </c>
      <c r="N10" s="3" t="s">
        <v>80</v>
      </c>
      <c r="O10" s="3" t="s">
        <v>69</v>
      </c>
      <c r="P10" s="5" t="s">
        <v>76</v>
      </c>
      <c r="Q10" s="3"/>
      <c r="R10" s="7">
        <v>247.16165113449</v>
      </c>
      <c r="S10" s="7">
        <v>166.867327690124</v>
      </c>
      <c r="T10" s="7">
        <v>1.57170794078677</v>
      </c>
      <c r="U10" s="7">
        <v>4.15042703842185</v>
      </c>
      <c r="V10" s="7">
        <v>2.03725968850852</v>
      </c>
      <c r="W10" s="7">
        <v>0.840626397956574</v>
      </c>
      <c r="X10" s="7">
        <v>0.0497712338076072</v>
      </c>
      <c r="Y10" s="7">
        <v>0.00408469636967637</v>
      </c>
      <c r="Z10" s="7">
        <v>0.0639116293774175</v>
      </c>
      <c r="AA10" s="7">
        <v>0.914080524496247</v>
      </c>
      <c r="AB10" s="7">
        <v>0.0496547856932379</v>
      </c>
      <c r="AC10" s="7">
        <v>0.063768550541354</v>
      </c>
      <c r="AD10" s="7">
        <v>0.914880809042186</v>
      </c>
      <c r="AE10" s="7">
        <v>0.0746807284141372</v>
      </c>
      <c r="AF10" s="7">
        <v>0.0955816747223364</v>
      </c>
      <c r="AG10" s="7">
        <v>0.809573099658516</v>
      </c>
      <c r="AH10" s="7">
        <v>10.0</v>
      </c>
      <c r="AI10" s="7">
        <v>1.57170794078677</v>
      </c>
      <c r="AJ10" s="7">
        <v>4.15042703842186</v>
      </c>
      <c r="AK10" s="7">
        <v>2.03725968850852</v>
      </c>
      <c r="AL10" s="7">
        <v>0.840597126834072</v>
      </c>
      <c r="AM10" s="7">
        <v>1.15792201637426</v>
      </c>
      <c r="AN10" s="7">
        <v>2.21130929071778</v>
      </c>
      <c r="AO10" s="7">
        <v>1.48704717165185</v>
      </c>
      <c r="AP10" s="7">
        <v>0.914880809042186</v>
      </c>
      <c r="AQ10" s="7">
        <v>1.74151309732413</v>
      </c>
      <c r="AR10" s="7">
        <v>4.96804671374697</v>
      </c>
      <c r="AS10" s="7">
        <v>2.22891155359448</v>
      </c>
      <c r="AT10" s="7">
        <v>0.809573099658516</v>
      </c>
      <c r="AU10" s="8">
        <f t="shared" si="3"/>
        <v>-0.7472008714</v>
      </c>
      <c r="AV10" s="9">
        <f t="shared" si="4"/>
        <v>-0.7240508159</v>
      </c>
      <c r="AW10" s="9">
        <f t="shared" si="5"/>
        <v>-0.8697096662</v>
      </c>
      <c r="AX10" s="10">
        <f t="shared" si="6"/>
        <v>-0.9059797379</v>
      </c>
      <c r="AY10" s="8">
        <f t="shared" si="7"/>
        <v>-0.807839447</v>
      </c>
      <c r="AZ10" s="10">
        <f t="shared" si="8"/>
        <v>-0.813871522</v>
      </c>
      <c r="BA10" s="8">
        <f t="shared" si="9"/>
        <v>-0.4789766469</v>
      </c>
      <c r="BB10" s="9">
        <f t="shared" si="10"/>
        <v>-0.7221772757</v>
      </c>
      <c r="BC10" s="10">
        <f t="shared" si="11"/>
        <v>-0.6026207308</v>
      </c>
      <c r="BD10" s="11">
        <f t="shared" ref="BD10:BE10" si="19">((R10-R$68)/R$69)</f>
        <v>-0.5096127312</v>
      </c>
      <c r="BE10" s="11">
        <f t="shared" si="19"/>
        <v>-1.002859817</v>
      </c>
      <c r="BF10" s="3"/>
    </row>
    <row r="11">
      <c r="A11" s="3" t="s">
        <v>57</v>
      </c>
      <c r="B11" s="4">
        <f t="shared" si="2"/>
        <v>0.3723498899</v>
      </c>
      <c r="C11" s="3" t="s">
        <v>58</v>
      </c>
      <c r="D11" s="3" t="s">
        <v>59</v>
      </c>
      <c r="E11" s="5" t="s">
        <v>82</v>
      </c>
      <c r="F11" s="3" t="s">
        <v>61</v>
      </c>
      <c r="G11" s="5" t="s">
        <v>83</v>
      </c>
      <c r="H11" s="5" t="s">
        <v>63</v>
      </c>
      <c r="I11" s="6">
        <v>150.0</v>
      </c>
      <c r="J11" s="5" t="s">
        <v>64</v>
      </c>
      <c r="K11" s="3" t="s">
        <v>72</v>
      </c>
      <c r="L11" s="5" t="s">
        <v>66</v>
      </c>
      <c r="M11" s="3" t="s">
        <v>74</v>
      </c>
      <c r="N11" s="3" t="s">
        <v>84</v>
      </c>
      <c r="O11" s="3" t="s">
        <v>69</v>
      </c>
      <c r="P11" s="5" t="s">
        <v>88</v>
      </c>
      <c r="Q11" s="3"/>
      <c r="R11" s="7">
        <v>292.106032609939</v>
      </c>
      <c r="S11" s="7">
        <v>415.575386762619</v>
      </c>
      <c r="T11" s="7">
        <v>1.82704337263948</v>
      </c>
      <c r="U11" s="7">
        <v>5.38853946499464</v>
      </c>
      <c r="V11" s="7">
        <v>2.32132278345658</v>
      </c>
      <c r="W11" s="7">
        <v>0.800385174051907</v>
      </c>
      <c r="X11" s="7">
        <v>0.064572024893641</v>
      </c>
      <c r="Y11" s="7">
        <v>0.00668876195426165</v>
      </c>
      <c r="Z11" s="7">
        <v>0.0817848516185097</v>
      </c>
      <c r="AA11" s="7">
        <v>0.850144424461507</v>
      </c>
      <c r="AB11" s="7">
        <v>0.0644669401660231</v>
      </c>
      <c r="AC11" s="7">
        <v>0.0816250733210368</v>
      </c>
      <c r="AD11" s="7">
        <v>0.851430699113005</v>
      </c>
      <c r="AE11" s="7">
        <v>0.0837440384775956</v>
      </c>
      <c r="AF11" s="7">
        <v>0.10536287538448</v>
      </c>
      <c r="AG11" s="7">
        <v>0.753652225146556</v>
      </c>
      <c r="AH11" s="7">
        <v>10.0</v>
      </c>
      <c r="AI11" s="7">
        <v>1.82704337263945</v>
      </c>
      <c r="AJ11" s="7">
        <v>5.38853946499465</v>
      </c>
      <c r="AK11" s="7">
        <v>2.32132278345658</v>
      </c>
      <c r="AL11" s="7">
        <v>0.800354696007448</v>
      </c>
      <c r="AM11" s="7">
        <v>1.57944003406758</v>
      </c>
      <c r="AN11" s="7">
        <v>3.99925721994744</v>
      </c>
      <c r="AO11" s="7">
        <v>1.9998142963654</v>
      </c>
      <c r="AP11" s="7">
        <v>0.851430699113005</v>
      </c>
      <c r="AQ11" s="7">
        <v>2.05172894270111</v>
      </c>
      <c r="AR11" s="7">
        <v>6.6635766394487</v>
      </c>
      <c r="AS11" s="7">
        <v>2.58139044691978</v>
      </c>
      <c r="AT11" s="7">
        <v>0.753652225146556</v>
      </c>
      <c r="AU11" s="8">
        <f t="shared" si="3"/>
        <v>-0.4412237248</v>
      </c>
      <c r="AV11" s="9">
        <f t="shared" si="4"/>
        <v>-0.4187620235</v>
      </c>
      <c r="AW11" s="9">
        <f t="shared" si="5"/>
        <v>-0.5175038927</v>
      </c>
      <c r="AX11" s="10">
        <f t="shared" si="6"/>
        <v>-0.5691870388</v>
      </c>
      <c r="AY11" s="8">
        <f t="shared" si="7"/>
        <v>-0.5592502822</v>
      </c>
      <c r="AZ11" s="10">
        <f t="shared" si="8"/>
        <v>-0.581329878</v>
      </c>
      <c r="BA11" s="8">
        <f t="shared" si="9"/>
        <v>-0.3483995443</v>
      </c>
      <c r="BB11" s="9">
        <f t="shared" si="10"/>
        <v>-0.5449498219</v>
      </c>
      <c r="BC11" s="10">
        <f t="shared" si="11"/>
        <v>-0.5025530734</v>
      </c>
      <c r="BD11" s="11">
        <f t="shared" ref="BD11:BE11" si="20">((R11-R$68)/R$69)</f>
        <v>-0.4519880908</v>
      </c>
      <c r="BE11" s="11">
        <f t="shared" si="20"/>
        <v>0.8392985811</v>
      </c>
      <c r="BF11" s="3"/>
    </row>
    <row r="12">
      <c r="A12" s="3" t="s">
        <v>77</v>
      </c>
      <c r="B12" s="4">
        <f t="shared" si="2"/>
        <v>0.4199636507</v>
      </c>
      <c r="C12" s="3" t="s">
        <v>58</v>
      </c>
      <c r="D12" s="3" t="s">
        <v>59</v>
      </c>
      <c r="E12" s="5" t="s">
        <v>60</v>
      </c>
      <c r="F12" s="3" t="s">
        <v>61</v>
      </c>
      <c r="G12" s="5" t="s">
        <v>62</v>
      </c>
      <c r="H12" s="5" t="s">
        <v>71</v>
      </c>
      <c r="I12" s="6">
        <v>150.0</v>
      </c>
      <c r="J12" s="5" t="s">
        <v>64</v>
      </c>
      <c r="K12" s="3" t="s">
        <v>65</v>
      </c>
      <c r="L12" s="5" t="s">
        <v>66</v>
      </c>
      <c r="M12" s="3" t="s">
        <v>79</v>
      </c>
      <c r="N12" s="3" t="s">
        <v>68</v>
      </c>
      <c r="O12" s="3" t="s">
        <v>69</v>
      </c>
      <c r="P12" s="5" t="s">
        <v>81</v>
      </c>
      <c r="Q12" s="3"/>
      <c r="R12" s="7">
        <v>904.142293453216</v>
      </c>
      <c r="S12" s="7">
        <v>176.659787416458</v>
      </c>
      <c r="T12" s="7">
        <v>1.93583251240042</v>
      </c>
      <c r="U12" s="7">
        <v>5.90400534033677</v>
      </c>
      <c r="V12" s="7">
        <v>2.42981590667621</v>
      </c>
      <c r="W12" s="7">
        <v>0.774884436556127</v>
      </c>
      <c r="X12" s="7">
        <v>0.0615678167221039</v>
      </c>
      <c r="Y12" s="7">
        <v>0.00579604375603109</v>
      </c>
      <c r="Z12" s="7">
        <v>0.0761317526136834</v>
      </c>
      <c r="AA12" s="7">
        <v>0.878682333799152</v>
      </c>
      <c r="AB12" s="7">
        <v>0.0616351814014468</v>
      </c>
      <c r="AC12" s="7">
        <v>0.0761157433866215</v>
      </c>
      <c r="AD12" s="7">
        <v>0.879343295581374</v>
      </c>
      <c r="AE12" s="7">
        <v>0.0934759906935505</v>
      </c>
      <c r="AF12" s="7">
        <v>0.117292556675154</v>
      </c>
      <c r="AG12" s="7">
        <v>0.715592701823038</v>
      </c>
      <c r="AH12" s="7">
        <v>10.0</v>
      </c>
      <c r="AI12" s="7">
        <v>1.93583251240042</v>
      </c>
      <c r="AJ12" s="7">
        <v>5.90400534033677</v>
      </c>
      <c r="AK12" s="7">
        <v>2.42981590667621</v>
      </c>
      <c r="AL12" s="7">
        <v>0.774791440228748</v>
      </c>
      <c r="AM12" s="7">
        <v>1.4372981885143</v>
      </c>
      <c r="AN12" s="7">
        <v>3.15054281538023</v>
      </c>
      <c r="AO12" s="7">
        <v>1.77497684925191</v>
      </c>
      <c r="AP12" s="7">
        <v>0.879343295581374</v>
      </c>
      <c r="AQ12" s="7">
        <v>2.17980817186767</v>
      </c>
      <c r="AR12" s="7">
        <v>7.48130404636937</v>
      </c>
      <c r="AS12" s="7">
        <v>2.73519725913312</v>
      </c>
      <c r="AT12" s="7">
        <v>0.715592701823038</v>
      </c>
      <c r="AU12" s="8">
        <f t="shared" si="3"/>
        <v>-0.4997198381</v>
      </c>
      <c r="AV12" s="9">
        <f t="shared" si="4"/>
        <v>-0.5129537485</v>
      </c>
      <c r="AW12" s="9">
        <f t="shared" si="5"/>
        <v>-0.372088226</v>
      </c>
      <c r="AX12" s="10">
        <f t="shared" si="6"/>
        <v>-0.4222250152</v>
      </c>
      <c r="AY12" s="8">
        <f t="shared" si="7"/>
        <v>-0.4533354814</v>
      </c>
      <c r="AZ12" s="10">
        <f t="shared" si="8"/>
        <v>-0.4925145068</v>
      </c>
      <c r="BA12" s="8">
        <f t="shared" si="9"/>
        <v>-0.4058422497</v>
      </c>
      <c r="BB12" s="9">
        <f t="shared" si="10"/>
        <v>-0.4243295263</v>
      </c>
      <c r="BC12" s="10">
        <f t="shared" si="11"/>
        <v>-0.4389869551</v>
      </c>
      <c r="BD12" s="11">
        <f t="shared" ref="BD12:BE12" si="21">((R12-R$68)/R$69)</f>
        <v>0.3327233309</v>
      </c>
      <c r="BE12" s="11">
        <f t="shared" si="21"/>
        <v>-0.9303279419</v>
      </c>
      <c r="BF12" s="3"/>
    </row>
    <row r="13">
      <c r="A13" s="3" t="s">
        <v>57</v>
      </c>
      <c r="B13" s="4">
        <f t="shared" si="2"/>
        <v>-0.032780507</v>
      </c>
      <c r="C13" s="3" t="s">
        <v>58</v>
      </c>
      <c r="D13" s="3" t="s">
        <v>59</v>
      </c>
      <c r="E13" s="5" t="s">
        <v>60</v>
      </c>
      <c r="F13" s="3" t="s">
        <v>78</v>
      </c>
      <c r="G13" s="5" t="s">
        <v>60</v>
      </c>
      <c r="H13" s="5" t="s">
        <v>63</v>
      </c>
      <c r="I13" s="6">
        <v>150.0</v>
      </c>
      <c r="J13" s="5" t="s">
        <v>64</v>
      </c>
      <c r="K13" s="3" t="s">
        <v>72</v>
      </c>
      <c r="L13" s="5" t="s">
        <v>66</v>
      </c>
      <c r="M13" s="3" t="s">
        <v>74</v>
      </c>
      <c r="N13" s="3" t="s">
        <v>68</v>
      </c>
      <c r="O13" s="3" t="s">
        <v>69</v>
      </c>
      <c r="P13" s="5" t="s">
        <v>75</v>
      </c>
      <c r="Q13" s="3"/>
      <c r="R13" s="7">
        <v>219.924874782562</v>
      </c>
      <c r="S13" s="7">
        <v>162.536518096923</v>
      </c>
      <c r="T13" s="7">
        <v>2.58316064789201</v>
      </c>
      <c r="U13" s="7">
        <v>11.8962781596147</v>
      </c>
      <c r="V13" s="7">
        <v>3.44909816613194</v>
      </c>
      <c r="W13" s="7">
        <v>0.542718744583185</v>
      </c>
      <c r="X13" s="7">
        <v>0.0983913360233705</v>
      </c>
      <c r="Y13" s="7">
        <v>0.0157644671138441</v>
      </c>
      <c r="Z13" s="7">
        <v>0.125556629111505</v>
      </c>
      <c r="AA13" s="7">
        <v>0.663395838769021</v>
      </c>
      <c r="AB13" s="7">
        <v>0.0976573777433428</v>
      </c>
      <c r="AC13" s="7">
        <v>0.124589619001112</v>
      </c>
      <c r="AD13" s="7">
        <v>0.6721061747383</v>
      </c>
      <c r="AE13" s="7">
        <v>0.110696531013151</v>
      </c>
      <c r="AF13" s="7">
        <v>0.153910052077851</v>
      </c>
      <c r="AG13" s="7">
        <v>0.51094455635176</v>
      </c>
      <c r="AH13" s="7">
        <v>10.0</v>
      </c>
      <c r="AI13" s="7">
        <v>2.58316064789202</v>
      </c>
      <c r="AJ13" s="7">
        <v>11.8962781596147</v>
      </c>
      <c r="AK13" s="7">
        <v>3.44909816613194</v>
      </c>
      <c r="AL13" s="7">
        <v>0.542484430005058</v>
      </c>
      <c r="AM13" s="7">
        <v>2.27731579487601</v>
      </c>
      <c r="AN13" s="7">
        <v>8.44112078926546</v>
      </c>
      <c r="AO13" s="7">
        <v>2.90536069865093</v>
      </c>
      <c r="AP13" s="7">
        <v>0.6721061747383</v>
      </c>
      <c r="AQ13" s="7">
        <v>2.58138160515388</v>
      </c>
      <c r="AR13" s="7">
        <v>12.8816166212675</v>
      </c>
      <c r="AS13" s="7">
        <v>3.58909690887101</v>
      </c>
      <c r="AT13" s="7">
        <v>0.51094455635176</v>
      </c>
      <c r="AU13" s="8">
        <f t="shared" si="3"/>
        <v>0.2443966826</v>
      </c>
      <c r="AV13" s="9">
        <f t="shared" si="4"/>
        <v>0.3157927624</v>
      </c>
      <c r="AW13" s="9">
        <f t="shared" si="5"/>
        <v>0.08384103684</v>
      </c>
      <c r="AX13" s="10">
        <f t="shared" si="6"/>
        <v>0.39367396</v>
      </c>
      <c r="AY13" s="8">
        <f t="shared" si="7"/>
        <v>0.1768894716</v>
      </c>
      <c r="AZ13" s="10">
        <f t="shared" si="8"/>
        <v>0.3418972016</v>
      </c>
      <c r="BA13" s="8">
        <f t="shared" si="9"/>
        <v>0.02064121593</v>
      </c>
      <c r="BB13" s="9">
        <f t="shared" si="10"/>
        <v>0.2242524221</v>
      </c>
      <c r="BC13" s="10">
        <f t="shared" si="11"/>
        <v>0.1386724416</v>
      </c>
      <c r="BD13" s="11">
        <f t="shared" ref="BD13:BE13" si="22">((R13-R$68)/R$69)</f>
        <v>-0.5445338803</v>
      </c>
      <c r="BE13" s="11">
        <f t="shared" si="22"/>
        <v>-1.034937737</v>
      </c>
      <c r="BF13" s="3"/>
    </row>
    <row r="14">
      <c r="A14" s="3" t="s">
        <v>77</v>
      </c>
      <c r="B14" s="4">
        <f t="shared" si="2"/>
        <v>-0.2932866128</v>
      </c>
      <c r="C14" s="3" t="s">
        <v>58</v>
      </c>
      <c r="D14" s="3" t="s">
        <v>59</v>
      </c>
      <c r="E14" s="5" t="s">
        <v>82</v>
      </c>
      <c r="F14" s="3" t="s">
        <v>78</v>
      </c>
      <c r="G14" s="5" t="s">
        <v>86</v>
      </c>
      <c r="H14" s="5" t="s">
        <v>63</v>
      </c>
      <c r="I14" s="6">
        <v>150.0</v>
      </c>
      <c r="J14" s="5" t="s">
        <v>64</v>
      </c>
      <c r="K14" s="3" t="s">
        <v>72</v>
      </c>
      <c r="L14" s="5" t="s">
        <v>73</v>
      </c>
      <c r="M14" s="3" t="s">
        <v>79</v>
      </c>
      <c r="N14" s="3" t="s">
        <v>68</v>
      </c>
      <c r="O14" s="3" t="s">
        <v>69</v>
      </c>
      <c r="P14" s="5" t="s">
        <v>88</v>
      </c>
      <c r="Q14" s="5" t="s">
        <v>75</v>
      </c>
      <c r="R14" s="7">
        <v>486.499375343322</v>
      </c>
      <c r="S14" s="7">
        <v>426.429473400115</v>
      </c>
      <c r="T14" s="7">
        <v>2.70133382651244</v>
      </c>
      <c r="U14" s="7">
        <v>11.6301429926127</v>
      </c>
      <c r="V14" s="7">
        <v>3.41029954587757</v>
      </c>
      <c r="W14" s="7">
        <v>0.568201504123001</v>
      </c>
      <c r="X14" s="7">
        <v>0.0925429222389792</v>
      </c>
      <c r="Y14" s="7">
        <v>0.0131510707725719</v>
      </c>
      <c r="Z14" s="7">
        <v>0.114678118107038</v>
      </c>
      <c r="AA14" s="7">
        <v>0.701282507661059</v>
      </c>
      <c r="AB14" s="7">
        <v>0.0918034157652344</v>
      </c>
      <c r="AC14" s="7">
        <v>0.113790651171309</v>
      </c>
      <c r="AD14" s="7">
        <v>0.708769115710342</v>
      </c>
      <c r="AE14" s="7">
        <v>0.123433477087389</v>
      </c>
      <c r="AF14" s="7">
        <v>0.157166155332266</v>
      </c>
      <c r="AG14" s="7">
        <v>0.455034167278878</v>
      </c>
      <c r="AH14" s="7">
        <v>10.0</v>
      </c>
      <c r="AI14" s="7">
        <v>2.70133382651231</v>
      </c>
      <c r="AJ14" s="7">
        <v>11.6301429926127</v>
      </c>
      <c r="AK14" s="7">
        <v>3.41029954587757</v>
      </c>
      <c r="AL14" s="7">
        <v>0.567752298044272</v>
      </c>
      <c r="AM14" s="7">
        <v>2.24918368624818</v>
      </c>
      <c r="AN14" s="7">
        <v>7.7722244544679</v>
      </c>
      <c r="AO14" s="7">
        <v>2.78787095369708</v>
      </c>
      <c r="AP14" s="7">
        <v>0.708769115710342</v>
      </c>
      <c r="AQ14" s="7">
        <v>3.02412018864084</v>
      </c>
      <c r="AR14" s="7">
        <v>14.826895529251</v>
      </c>
      <c r="AS14" s="7">
        <v>3.85057080564051</v>
      </c>
      <c r="AT14" s="7">
        <v>0.455034167278878</v>
      </c>
      <c r="AU14" s="8">
        <f t="shared" si="3"/>
        <v>0.1234704132</v>
      </c>
      <c r="AV14" s="9">
        <f t="shared" si="4"/>
        <v>0.1311653358</v>
      </c>
      <c r="AW14" s="9">
        <f t="shared" si="5"/>
        <v>0.5865074467</v>
      </c>
      <c r="AX14" s="10">
        <f t="shared" si="6"/>
        <v>0.643511613</v>
      </c>
      <c r="AY14" s="8">
        <f t="shared" si="7"/>
        <v>0.2919403738</v>
      </c>
      <c r="AZ14" s="10">
        <f t="shared" si="8"/>
        <v>0.3101356137</v>
      </c>
      <c r="BA14" s="8">
        <f t="shared" si="9"/>
        <v>-0.05480925386</v>
      </c>
      <c r="BB14" s="9">
        <f t="shared" si="10"/>
        <v>0.4014466449</v>
      </c>
      <c r="BC14" s="10">
        <f t="shared" si="11"/>
        <v>0.07584084046</v>
      </c>
      <c r="BD14" s="11">
        <f t="shared" ref="BD14:BE14" si="23">((R14-R$68)/R$69)</f>
        <v>-0.2027501189</v>
      </c>
      <c r="BE14" s="11">
        <f t="shared" si="23"/>
        <v>0.9196938322</v>
      </c>
      <c r="BF14" s="3"/>
    </row>
    <row r="15">
      <c r="A15" s="3" t="s">
        <v>57</v>
      </c>
      <c r="B15" s="4">
        <f t="shared" si="2"/>
        <v>0.2783580268</v>
      </c>
      <c r="C15" s="3" t="s">
        <v>58</v>
      </c>
      <c r="D15" s="3" t="s">
        <v>59</v>
      </c>
      <c r="E15" s="5" t="s">
        <v>60</v>
      </c>
      <c r="F15" s="3" t="s">
        <v>78</v>
      </c>
      <c r="G15" s="5" t="s">
        <v>60</v>
      </c>
      <c r="H15" s="5" t="s">
        <v>71</v>
      </c>
      <c r="I15" s="6">
        <v>150.0</v>
      </c>
      <c r="J15" s="5" t="s">
        <v>64</v>
      </c>
      <c r="K15" s="3" t="s">
        <v>65</v>
      </c>
      <c r="L15" s="5" t="s">
        <v>73</v>
      </c>
      <c r="M15" s="3" t="s">
        <v>67</v>
      </c>
      <c r="N15" s="3" t="s">
        <v>68</v>
      </c>
      <c r="O15" s="3" t="s">
        <v>69</v>
      </c>
      <c r="P15" s="5" t="s">
        <v>81</v>
      </c>
      <c r="Q15" s="5" t="s">
        <v>85</v>
      </c>
      <c r="R15" s="7">
        <v>1423.15570974349</v>
      </c>
      <c r="S15" s="7">
        <v>197.473453521728</v>
      </c>
      <c r="T15" s="7">
        <v>1.97881624396164</v>
      </c>
      <c r="U15" s="7">
        <v>6.64776052101398</v>
      </c>
      <c r="V15" s="7">
        <v>2.57832513873134</v>
      </c>
      <c r="W15" s="7">
        <v>0.745705162982565</v>
      </c>
      <c r="X15" s="7">
        <v>0.0657229555347509</v>
      </c>
      <c r="Y15" s="7">
        <v>0.00709394170794325</v>
      </c>
      <c r="Z15" s="7">
        <v>0.084225540710305</v>
      </c>
      <c r="AA15" s="7">
        <v>0.849164619834951</v>
      </c>
      <c r="AB15" s="7">
        <v>0.065057935778275</v>
      </c>
      <c r="AC15" s="7">
        <v>0.0835556163702286</v>
      </c>
      <c r="AD15" s="7">
        <v>0.853220151359582</v>
      </c>
      <c r="AE15" s="7">
        <v>0.0945384913596027</v>
      </c>
      <c r="AF15" s="7">
        <v>0.123057499721637</v>
      </c>
      <c r="AG15" s="7">
        <v>0.68606593843065</v>
      </c>
      <c r="AH15" s="7">
        <v>10.0</v>
      </c>
      <c r="AI15" s="7">
        <v>1.97881624396164</v>
      </c>
      <c r="AJ15" s="7">
        <v>6.64776052101398</v>
      </c>
      <c r="AK15" s="7">
        <v>2.57832513873134</v>
      </c>
      <c r="AL15" s="7">
        <v>0.74551151277057</v>
      </c>
      <c r="AM15" s="7">
        <v>1.51711491905173</v>
      </c>
      <c r="AN15" s="7">
        <v>3.79653749967592</v>
      </c>
      <c r="AO15" s="7">
        <v>1.94847055396686</v>
      </c>
      <c r="AP15" s="7">
        <v>0.853220151359582</v>
      </c>
      <c r="AQ15" s="7">
        <v>2.20458509712185</v>
      </c>
      <c r="AR15" s="7">
        <v>8.23479084708121</v>
      </c>
      <c r="AS15" s="7">
        <v>2.86963252823096</v>
      </c>
      <c r="AT15" s="7">
        <v>0.68606593843065</v>
      </c>
      <c r="AU15" s="8">
        <f t="shared" si="3"/>
        <v>-0.4290154298</v>
      </c>
      <c r="AV15" s="9">
        <f t="shared" si="4"/>
        <v>-0.3857559806</v>
      </c>
      <c r="AW15" s="9">
        <f t="shared" si="5"/>
        <v>-0.3439575671</v>
      </c>
      <c r="AX15" s="10">
        <f t="shared" si="6"/>
        <v>-0.2937724525</v>
      </c>
      <c r="AY15" s="8">
        <f t="shared" si="7"/>
        <v>-0.4114874314</v>
      </c>
      <c r="AZ15" s="10">
        <f t="shared" si="8"/>
        <v>-0.370940879</v>
      </c>
      <c r="BA15" s="8">
        <f t="shared" si="9"/>
        <v>-0.3520821461</v>
      </c>
      <c r="BB15" s="9">
        <f t="shared" si="10"/>
        <v>-0.3307517141</v>
      </c>
      <c r="BC15" s="10">
        <f t="shared" si="11"/>
        <v>-0.3661788843</v>
      </c>
      <c r="BD15" s="11">
        <f t="shared" ref="BD15:BE15" si="24">((R15-R$68)/R$69)</f>
        <v>0.9981671646</v>
      </c>
      <c r="BE15" s="11">
        <f t="shared" si="24"/>
        <v>-0.7761629745</v>
      </c>
      <c r="BF15" s="3"/>
    </row>
    <row r="16">
      <c r="A16" s="3" t="s">
        <v>57</v>
      </c>
      <c r="B16" s="4">
        <f t="shared" si="2"/>
        <v>0.06385185188</v>
      </c>
      <c r="C16" s="3" t="s">
        <v>58</v>
      </c>
      <c r="D16" s="3" t="s">
        <v>59</v>
      </c>
      <c r="E16" s="5" t="s">
        <v>82</v>
      </c>
      <c r="F16" s="3" t="s">
        <v>61</v>
      </c>
      <c r="G16" s="5" t="s">
        <v>83</v>
      </c>
      <c r="H16" s="5" t="s">
        <v>71</v>
      </c>
      <c r="I16" s="6">
        <v>150.0</v>
      </c>
      <c r="J16" s="5" t="s">
        <v>64</v>
      </c>
      <c r="K16" s="3" t="s">
        <v>65</v>
      </c>
      <c r="L16" s="5" t="s">
        <v>73</v>
      </c>
      <c r="M16" s="3" t="s">
        <v>74</v>
      </c>
      <c r="N16" s="3" t="s">
        <v>80</v>
      </c>
      <c r="O16" s="3" t="s">
        <v>69</v>
      </c>
      <c r="P16" s="5" t="s">
        <v>81</v>
      </c>
      <c r="Q16" s="5" t="s">
        <v>81</v>
      </c>
      <c r="R16" s="7">
        <v>3068.06471204757</v>
      </c>
      <c r="S16" s="7">
        <v>500.266392230987</v>
      </c>
      <c r="T16" s="7">
        <v>1.81110468291815</v>
      </c>
      <c r="U16" s="7">
        <v>5.31482665000266</v>
      </c>
      <c r="V16" s="7">
        <v>2.30539078032394</v>
      </c>
      <c r="W16" s="7">
        <v>0.803298070048677</v>
      </c>
      <c r="X16" s="7">
        <v>0.0623468060548975</v>
      </c>
      <c r="Y16" s="7">
        <v>0.00624358488590796</v>
      </c>
      <c r="Z16" s="7">
        <v>0.0790163583437503</v>
      </c>
      <c r="AA16" s="7">
        <v>0.86026924266069</v>
      </c>
      <c r="AB16" s="7">
        <v>0.0621836398233193</v>
      </c>
      <c r="AC16" s="7">
        <v>0.0788338654371974</v>
      </c>
      <c r="AD16" s="7">
        <v>0.861579167370532</v>
      </c>
      <c r="AE16" s="7">
        <v>0.0746492565633857</v>
      </c>
      <c r="AF16" s="7">
        <v>0.0950133525140146</v>
      </c>
      <c r="AG16" s="7">
        <v>0.799757462374797</v>
      </c>
      <c r="AH16" s="7">
        <v>10.0</v>
      </c>
      <c r="AI16" s="7">
        <v>1.81110468291811</v>
      </c>
      <c r="AJ16" s="7">
        <v>5.31482665000266</v>
      </c>
      <c r="AK16" s="7">
        <v>2.30539078032394</v>
      </c>
      <c r="AL16" s="7">
        <v>0.80327161413925</v>
      </c>
      <c r="AM16" s="7">
        <v>1.52349917567132</v>
      </c>
      <c r="AN16" s="7">
        <v>3.73042069844704</v>
      </c>
      <c r="AO16" s="7">
        <v>1.93142970321133</v>
      </c>
      <c r="AP16" s="7">
        <v>0.861579167370532</v>
      </c>
      <c r="AQ16" s="7">
        <v>1.82890678580295</v>
      </c>
      <c r="AR16" s="7">
        <v>5.41877917786045</v>
      </c>
      <c r="AS16" s="7">
        <v>2.32782713659336</v>
      </c>
      <c r="AT16" s="7">
        <v>0.799757462374797</v>
      </c>
      <c r="AU16" s="8">
        <f t="shared" si="3"/>
        <v>-0.488390241</v>
      </c>
      <c r="AV16" s="9">
        <f t="shared" si="4"/>
        <v>-0.4664826517</v>
      </c>
      <c r="AW16" s="9">
        <f t="shared" si="5"/>
        <v>-0.7704866184</v>
      </c>
      <c r="AX16" s="10">
        <f t="shared" si="6"/>
        <v>-0.8114661463</v>
      </c>
      <c r="AY16" s="8">
        <f t="shared" si="7"/>
        <v>-0.5747678527</v>
      </c>
      <c r="AZ16" s="10">
        <f t="shared" si="8"/>
        <v>-0.5943722417</v>
      </c>
      <c r="BA16" s="8">
        <f t="shared" si="9"/>
        <v>-0.3692845764</v>
      </c>
      <c r="BB16" s="9">
        <f t="shared" si="10"/>
        <v>-0.6910690282</v>
      </c>
      <c r="BC16" s="10">
        <f t="shared" si="11"/>
        <v>-0.5098063421</v>
      </c>
      <c r="BD16" s="11">
        <f t="shared" ref="BD16:BE16" si="25">((R16-R$68)/R$69)</f>
        <v>3.107158027</v>
      </c>
      <c r="BE16" s="11">
        <f t="shared" si="25"/>
        <v>1.466597301</v>
      </c>
      <c r="BF16" s="3"/>
    </row>
    <row r="17">
      <c r="A17" s="3" t="s">
        <v>77</v>
      </c>
      <c r="B17" s="4">
        <f t="shared" si="2"/>
        <v>-0.3373093316</v>
      </c>
      <c r="C17" s="3" t="s">
        <v>58</v>
      </c>
      <c r="D17" s="3" t="s">
        <v>59</v>
      </c>
      <c r="E17" s="5" t="s">
        <v>82</v>
      </c>
      <c r="F17" s="3" t="s">
        <v>78</v>
      </c>
      <c r="G17" s="5" t="s">
        <v>86</v>
      </c>
      <c r="H17" s="5" t="s">
        <v>71</v>
      </c>
      <c r="I17" s="6">
        <v>150.0</v>
      </c>
      <c r="J17" s="5" t="s">
        <v>64</v>
      </c>
      <c r="K17" s="3" t="s">
        <v>65</v>
      </c>
      <c r="L17" s="5" t="s">
        <v>73</v>
      </c>
      <c r="M17" s="3" t="s">
        <v>67</v>
      </c>
      <c r="N17" s="3" t="s">
        <v>80</v>
      </c>
      <c r="O17" s="3" t="s">
        <v>69</v>
      </c>
      <c r="P17" s="5" t="s">
        <v>81</v>
      </c>
      <c r="Q17" s="5" t="s">
        <v>81</v>
      </c>
      <c r="R17" s="7">
        <v>3339.36573553085</v>
      </c>
      <c r="S17" s="7">
        <v>490.373898744583</v>
      </c>
      <c r="T17" s="7">
        <v>2.34990639697905</v>
      </c>
      <c r="U17" s="7">
        <v>9.83449432883098</v>
      </c>
      <c r="V17" s="7">
        <v>3.13599973355084</v>
      </c>
      <c r="W17" s="7">
        <v>0.636162707305723</v>
      </c>
      <c r="X17" s="7">
        <v>0.0333733952171905</v>
      </c>
      <c r="Y17" s="7">
        <v>0.0018396674654189</v>
      </c>
      <c r="Z17" s="7">
        <v>0.0428913448777128</v>
      </c>
      <c r="AA17" s="7">
        <v>0.958243187280913</v>
      </c>
      <c r="AB17" s="7">
        <v>0.0330702223283427</v>
      </c>
      <c r="AC17" s="7">
        <v>0.0426097708756065</v>
      </c>
      <c r="AD17" s="7">
        <v>0.959204093413079</v>
      </c>
      <c r="AE17" s="7">
        <v>0.119865273751864</v>
      </c>
      <c r="AF17" s="7">
        <v>0.160191765046991</v>
      </c>
      <c r="AG17" s="7">
        <v>0.435693879161066</v>
      </c>
      <c r="AH17" s="7">
        <v>10.0</v>
      </c>
      <c r="AI17" s="7">
        <v>2.34990639697896</v>
      </c>
      <c r="AJ17" s="7">
        <v>9.83449432883099</v>
      </c>
      <c r="AK17" s="7">
        <v>3.13599973355084</v>
      </c>
      <c r="AL17" s="7">
        <v>0.635194576580223</v>
      </c>
      <c r="AM17" s="7">
        <v>0.810220447044395</v>
      </c>
      <c r="AN17" s="7">
        <v>1.08980944258653</v>
      </c>
      <c r="AO17" s="7">
        <v>1.04393938645236</v>
      </c>
      <c r="AP17" s="7">
        <v>0.959204093413079</v>
      </c>
      <c r="AQ17" s="7">
        <v>2.93669920692046</v>
      </c>
      <c r="AR17" s="7">
        <v>15.4032563037195</v>
      </c>
      <c r="AS17" s="7">
        <v>3.92469824365129</v>
      </c>
      <c r="AT17" s="7">
        <v>0.435693879161066</v>
      </c>
      <c r="AU17" s="8">
        <f t="shared" si="3"/>
        <v>-1.089790964</v>
      </c>
      <c r="AV17" s="9">
        <f t="shared" si="4"/>
        <v>-1.085797522</v>
      </c>
      <c r="AW17" s="9">
        <f t="shared" si="5"/>
        <v>0.4872534113</v>
      </c>
      <c r="AX17" s="10">
        <f t="shared" si="6"/>
        <v>0.7143401942</v>
      </c>
      <c r="AY17" s="8">
        <f t="shared" si="7"/>
        <v>-0.05020192338</v>
      </c>
      <c r="AZ17" s="10">
        <f t="shared" si="8"/>
        <v>0.08558645388</v>
      </c>
      <c r="BA17" s="8">
        <f t="shared" si="9"/>
        <v>-0.5701917142</v>
      </c>
      <c r="BB17" s="9">
        <f t="shared" si="10"/>
        <v>0.4627409299</v>
      </c>
      <c r="BC17" s="10">
        <f t="shared" si="11"/>
        <v>-0.09186251852</v>
      </c>
      <c r="BD17" s="11">
        <f t="shared" ref="BD17:BE17" si="26">((R17-R$68)/R$69)</f>
        <v>3.455001816</v>
      </c>
      <c r="BE17" s="11">
        <f t="shared" si="26"/>
        <v>1.393324484</v>
      </c>
      <c r="BF17" s="3"/>
    </row>
    <row r="18">
      <c r="A18" s="3" t="s">
        <v>57</v>
      </c>
      <c r="B18" s="4">
        <f t="shared" si="2"/>
        <v>0.6568669394</v>
      </c>
      <c r="C18" s="3" t="s">
        <v>58</v>
      </c>
      <c r="D18" s="3" t="s">
        <v>59</v>
      </c>
      <c r="E18" s="5" t="s">
        <v>60</v>
      </c>
      <c r="F18" s="3" t="s">
        <v>61</v>
      </c>
      <c r="G18" s="12" t="s">
        <v>62</v>
      </c>
      <c r="H18" s="5" t="s">
        <v>71</v>
      </c>
      <c r="I18" s="6">
        <v>20.0</v>
      </c>
      <c r="J18" s="12" t="s">
        <v>89</v>
      </c>
      <c r="K18" s="3" t="s">
        <v>72</v>
      </c>
      <c r="L18" s="5" t="s">
        <v>66</v>
      </c>
      <c r="M18" s="3" t="s">
        <v>67</v>
      </c>
      <c r="N18" s="3" t="s">
        <v>68</v>
      </c>
      <c r="O18" s="3" t="s">
        <v>69</v>
      </c>
      <c r="P18" s="5" t="s">
        <v>76</v>
      </c>
      <c r="Q18" s="3"/>
      <c r="R18" s="13">
        <v>230.009736537933</v>
      </c>
      <c r="S18" s="13">
        <v>167.019966125488</v>
      </c>
      <c r="T18" s="13">
        <v>1.66465013148509</v>
      </c>
      <c r="U18" s="13">
        <v>4.60462417369517</v>
      </c>
      <c r="V18" s="13">
        <v>2.14583880421973</v>
      </c>
      <c r="W18" s="13">
        <v>0.824381417328079</v>
      </c>
      <c r="X18" s="13">
        <v>0.0765440796560474</v>
      </c>
      <c r="Y18" s="13">
        <v>0.00913836071179317</v>
      </c>
      <c r="Z18" s="13">
        <v>0.0955947734543744</v>
      </c>
      <c r="AA18" s="13">
        <v>0.808723908734701</v>
      </c>
      <c r="AB18" s="13">
        <v>0.0766255507560167</v>
      </c>
      <c r="AC18" s="13">
        <v>0.0955679346883056</v>
      </c>
      <c r="AD18" s="13">
        <v>0.809792834543365</v>
      </c>
      <c r="AE18" s="13">
        <v>0.0653502185282228</v>
      </c>
      <c r="AF18" s="13">
        <v>0.0866806971832908</v>
      </c>
      <c r="AG18" s="13">
        <v>0.844673834037248</v>
      </c>
      <c r="AH18" s="13">
        <v>10.0</v>
      </c>
      <c r="AI18" s="13">
        <v>1.66465013148509</v>
      </c>
      <c r="AJ18" s="13">
        <v>4.60462417369517</v>
      </c>
      <c r="AK18" s="13">
        <v>2.14583880421973</v>
      </c>
      <c r="AL18" s="13">
        <v>0.824356395587774</v>
      </c>
      <c r="AM18" s="13">
        <v>1.78686527387991</v>
      </c>
      <c r="AN18" s="13">
        <v>4.96661848548496</v>
      </c>
      <c r="AO18" s="13">
        <v>2.22859114363423</v>
      </c>
      <c r="AP18" s="13">
        <v>0.809792834543365</v>
      </c>
      <c r="AQ18" s="13">
        <v>1.5239307904012</v>
      </c>
      <c r="AR18" s="13">
        <v>4.08583844849557</v>
      </c>
      <c r="AS18" s="13">
        <v>2.02134570237146</v>
      </c>
      <c r="AT18" s="13">
        <v>0.844673834037248</v>
      </c>
      <c r="AU18" s="8">
        <f t="shared" si="3"/>
        <v>-0.190061277</v>
      </c>
      <c r="AV18" s="9">
        <f t="shared" si="4"/>
        <v>-0.1803841847</v>
      </c>
      <c r="AW18" s="9">
        <f t="shared" si="5"/>
        <v>-1.116743291</v>
      </c>
      <c r="AX18" s="10">
        <f t="shared" si="6"/>
        <v>-1.104308389</v>
      </c>
      <c r="AY18" s="8">
        <f t="shared" si="7"/>
        <v>-0.7173528999</v>
      </c>
      <c r="AZ18" s="10">
        <f t="shared" si="8"/>
        <v>-0.724985755</v>
      </c>
      <c r="BA18" s="8">
        <f t="shared" si="9"/>
        <v>-0.2627109345</v>
      </c>
      <c r="BB18" s="9">
        <f t="shared" si="10"/>
        <v>-0.8334204176</v>
      </c>
      <c r="BC18" s="10">
        <f t="shared" si="11"/>
        <v>-0.562236194</v>
      </c>
      <c r="BD18" s="11">
        <f t="shared" ref="BD18:BE18" si="27">((R18-R$68)/R$69)</f>
        <v>-0.5316037539</v>
      </c>
      <c r="BE18" s="11">
        <f t="shared" si="27"/>
        <v>-1.001729238</v>
      </c>
      <c r="BF18" s="3"/>
    </row>
    <row r="19">
      <c r="A19" s="3" t="s">
        <v>57</v>
      </c>
      <c r="B19" s="4">
        <f t="shared" si="2"/>
        <v>0.5997553296</v>
      </c>
      <c r="C19" s="3" t="s">
        <v>58</v>
      </c>
      <c r="D19" s="3" t="s">
        <v>59</v>
      </c>
      <c r="E19" s="5" t="s">
        <v>60</v>
      </c>
      <c r="F19" s="3" t="s">
        <v>61</v>
      </c>
      <c r="G19" s="12" t="s">
        <v>62</v>
      </c>
      <c r="H19" s="5" t="s">
        <v>63</v>
      </c>
      <c r="I19" s="6">
        <v>20.0</v>
      </c>
      <c r="J19" s="12" t="s">
        <v>89</v>
      </c>
      <c r="K19" s="3" t="s">
        <v>65</v>
      </c>
      <c r="L19" s="5" t="s">
        <v>66</v>
      </c>
      <c r="M19" s="3" t="s">
        <v>67</v>
      </c>
      <c r="N19" s="3" t="s">
        <v>84</v>
      </c>
      <c r="O19" s="3" t="s">
        <v>69</v>
      </c>
      <c r="P19" s="5" t="s">
        <v>70</v>
      </c>
      <c r="Q19" s="3"/>
      <c r="R19" s="13">
        <v>238.767431497573</v>
      </c>
      <c r="S19" s="13">
        <v>166.201921463012</v>
      </c>
      <c r="T19" s="13">
        <v>1.7270130201219</v>
      </c>
      <c r="U19" s="13">
        <v>4.85216900154409</v>
      </c>
      <c r="V19" s="13">
        <v>2.20276394594248</v>
      </c>
      <c r="W19" s="13">
        <v>0.813680788828703</v>
      </c>
      <c r="X19" s="13">
        <v>0.0618946622764836</v>
      </c>
      <c r="Y19" s="13">
        <v>0.00613463892868532</v>
      </c>
      <c r="Z19" s="13">
        <v>0.0783239358605358</v>
      </c>
      <c r="AA19" s="13">
        <v>0.87096104301155</v>
      </c>
      <c r="AB19" s="13">
        <v>0.0617004657867545</v>
      </c>
      <c r="AC19" s="13">
        <v>0.0781288197614299</v>
      </c>
      <c r="AD19" s="13">
        <v>0.872227637939106</v>
      </c>
      <c r="AE19" s="13">
        <v>0.0847798738238123</v>
      </c>
      <c r="AF19" s="13">
        <v>0.106803475665044</v>
      </c>
      <c r="AG19" s="13">
        <v>0.762233974098171</v>
      </c>
      <c r="AH19" s="13">
        <v>10.0</v>
      </c>
      <c r="AI19" s="13">
        <v>1.7270130201219</v>
      </c>
      <c r="AJ19" s="13">
        <v>4.85216900154409</v>
      </c>
      <c r="AK19" s="13">
        <v>2.20276394594248</v>
      </c>
      <c r="AL19" s="13">
        <v>0.813645759153767</v>
      </c>
      <c r="AM19" s="13">
        <v>1.43882058411058</v>
      </c>
      <c r="AN19" s="13">
        <v>3.3193949348302</v>
      </c>
      <c r="AO19" s="13">
        <v>1.82192067193667</v>
      </c>
      <c r="AP19" s="13">
        <v>0.872227637939106</v>
      </c>
      <c r="AQ19" s="13">
        <v>1.97701955764141</v>
      </c>
      <c r="AR19" s="13">
        <v>6.20307698914391</v>
      </c>
      <c r="AS19" s="13">
        <v>2.49059771724457</v>
      </c>
      <c r="AT19" s="13">
        <v>0.762233974098171</v>
      </c>
      <c r="AU19" s="8">
        <f t="shared" si="3"/>
        <v>-0.4983712477</v>
      </c>
      <c r="AV19" s="9">
        <f t="shared" si="4"/>
        <v>-0.4785366527</v>
      </c>
      <c r="AW19" s="9">
        <f t="shared" si="5"/>
        <v>-0.6023257261</v>
      </c>
      <c r="AX19" s="10">
        <f t="shared" si="6"/>
        <v>-0.6559392644</v>
      </c>
      <c r="AY19" s="8">
        <f t="shared" si="7"/>
        <v>-0.6566377133</v>
      </c>
      <c r="AZ19" s="10">
        <f t="shared" si="8"/>
        <v>-0.6783853121</v>
      </c>
      <c r="BA19" s="8">
        <f t="shared" si="9"/>
        <v>-0.3911985878</v>
      </c>
      <c r="BB19" s="9">
        <f t="shared" si="10"/>
        <v>-0.5721475638</v>
      </c>
      <c r="BC19" s="10">
        <f t="shared" si="11"/>
        <v>-0.5356029048</v>
      </c>
      <c r="BD19" s="11">
        <f t="shared" ref="BD19:BE19" si="28">((R19-R$68)/R$69)</f>
        <v>-0.5203752308</v>
      </c>
      <c r="BE19" s="11">
        <f t="shared" si="28"/>
        <v>-1.007788422</v>
      </c>
      <c r="BF19" s="3"/>
    </row>
    <row r="20">
      <c r="A20" s="3" t="s">
        <v>57</v>
      </c>
      <c r="B20" s="4">
        <f t="shared" si="2"/>
        <v>0.3086842897</v>
      </c>
      <c r="C20" s="3" t="s">
        <v>58</v>
      </c>
      <c r="D20" s="3" t="s">
        <v>59</v>
      </c>
      <c r="E20" s="5" t="s">
        <v>60</v>
      </c>
      <c r="F20" s="3" t="s">
        <v>78</v>
      </c>
      <c r="G20" s="12" t="s">
        <v>60</v>
      </c>
      <c r="H20" s="5" t="s">
        <v>63</v>
      </c>
      <c r="I20" s="6">
        <v>20.0</v>
      </c>
      <c r="J20" s="12" t="s">
        <v>89</v>
      </c>
      <c r="K20" s="3" t="s">
        <v>72</v>
      </c>
      <c r="L20" s="5" t="s">
        <v>73</v>
      </c>
      <c r="M20" s="3" t="s">
        <v>74</v>
      </c>
      <c r="N20" s="3" t="s">
        <v>68</v>
      </c>
      <c r="O20" s="3" t="s">
        <v>69</v>
      </c>
      <c r="P20" s="5" t="s">
        <v>75</v>
      </c>
      <c r="Q20" s="5" t="s">
        <v>76</v>
      </c>
      <c r="R20" s="13">
        <v>84.8734290599823</v>
      </c>
      <c r="S20" s="13">
        <v>166.462764501571</v>
      </c>
      <c r="T20" s="13">
        <v>2.62206635364642</v>
      </c>
      <c r="U20" s="13">
        <v>11.088373599726</v>
      </c>
      <c r="V20" s="13">
        <v>3.32992095998178</v>
      </c>
      <c r="W20" s="13">
        <v>0.57378754696935</v>
      </c>
      <c r="X20" s="13">
        <v>0.0676758349819093</v>
      </c>
      <c r="Y20" s="13">
        <v>0.00790422420776392</v>
      </c>
      <c r="Z20" s="13">
        <v>0.0889057040226549</v>
      </c>
      <c r="AA20" s="13">
        <v>0.831228373250912</v>
      </c>
      <c r="AB20" s="13">
        <v>0.0676889402413252</v>
      </c>
      <c r="AC20" s="13">
        <v>0.0887691703052119</v>
      </c>
      <c r="AD20" s="13">
        <v>0.833546150157009</v>
      </c>
      <c r="AE20" s="13">
        <v>0.0912406211342025</v>
      </c>
      <c r="AF20" s="13">
        <v>0.119131051594254</v>
      </c>
      <c r="AG20" s="13">
        <v>0.70699564331527</v>
      </c>
      <c r="AH20" s="13">
        <v>10.0</v>
      </c>
      <c r="AI20" s="13">
        <v>2.62206635364643</v>
      </c>
      <c r="AJ20" s="13">
        <v>11.088373599726</v>
      </c>
      <c r="AK20" s="13">
        <v>3.32992095998178</v>
      </c>
      <c r="AL20" s="13">
        <v>0.573555401132297</v>
      </c>
      <c r="AM20" s="13">
        <v>1.57846848146092</v>
      </c>
      <c r="AN20" s="13">
        <v>4.28509762646958</v>
      </c>
      <c r="AO20" s="13">
        <v>2.07004773531181</v>
      </c>
      <c r="AP20" s="13">
        <v>0.833546150157009</v>
      </c>
      <c r="AQ20" s="13">
        <v>2.12768059561564</v>
      </c>
      <c r="AR20" s="13">
        <v>7.71767258742258</v>
      </c>
      <c r="AS20" s="13">
        <v>2.77806993926045</v>
      </c>
      <c r="AT20" s="13">
        <v>0.70699564331527</v>
      </c>
      <c r="AU20" s="8">
        <f t="shared" si="3"/>
        <v>-0.3746663316</v>
      </c>
      <c r="AV20" s="9">
        <f t="shared" si="4"/>
        <v>-0.2966210687</v>
      </c>
      <c r="AW20" s="9">
        <f t="shared" si="5"/>
        <v>-0.4312716416</v>
      </c>
      <c r="AX20" s="10">
        <f t="shared" si="6"/>
        <v>-0.3812602768</v>
      </c>
      <c r="AY20" s="8">
        <f t="shared" si="7"/>
        <v>0.2147672422</v>
      </c>
      <c r="AZ20" s="10">
        <f t="shared" si="8"/>
        <v>0.2443355544</v>
      </c>
      <c r="BA20" s="8">
        <f t="shared" si="9"/>
        <v>-0.3115940512</v>
      </c>
      <c r="BB20" s="9">
        <f t="shared" si="10"/>
        <v>-0.3970832645</v>
      </c>
      <c r="BC20" s="10">
        <f t="shared" si="11"/>
        <v>0.06141072479</v>
      </c>
      <c r="BD20" s="11">
        <f t="shared" ref="BD20:BE20" si="29">((R20-R$68)/R$69)</f>
        <v>-0.7176876928</v>
      </c>
      <c r="BE20" s="11">
        <f t="shared" si="29"/>
        <v>-1.005856381</v>
      </c>
      <c r="BF20" s="3"/>
    </row>
    <row r="21">
      <c r="A21" s="3" t="s">
        <v>57</v>
      </c>
      <c r="B21" s="4">
        <f t="shared" si="2"/>
        <v>0.4531862812</v>
      </c>
      <c r="C21" s="3" t="s">
        <v>58</v>
      </c>
      <c r="D21" s="3" t="s">
        <v>59</v>
      </c>
      <c r="E21" s="5" t="s">
        <v>82</v>
      </c>
      <c r="F21" s="3" t="s">
        <v>61</v>
      </c>
      <c r="G21" s="12" t="s">
        <v>83</v>
      </c>
      <c r="H21" s="5" t="s">
        <v>71</v>
      </c>
      <c r="I21" s="6">
        <v>20.0</v>
      </c>
      <c r="J21" s="12" t="s">
        <v>89</v>
      </c>
      <c r="K21" s="3" t="s">
        <v>65</v>
      </c>
      <c r="L21" s="5" t="s">
        <v>73</v>
      </c>
      <c r="M21" s="3" t="s">
        <v>74</v>
      </c>
      <c r="N21" s="3" t="s">
        <v>68</v>
      </c>
      <c r="O21" s="3" t="s">
        <v>69</v>
      </c>
      <c r="P21" s="5" t="s">
        <v>81</v>
      </c>
      <c r="Q21" s="5" t="s">
        <v>75</v>
      </c>
      <c r="R21" s="13">
        <v>660.640508413314</v>
      </c>
      <c r="S21" s="13">
        <v>457.084951400756</v>
      </c>
      <c r="T21" s="13">
        <v>1.54199956361998</v>
      </c>
      <c r="U21" s="13">
        <v>4.00986049386201</v>
      </c>
      <c r="V21" s="13">
        <v>2.00246360612671</v>
      </c>
      <c r="W21" s="13">
        <v>0.851593638406139</v>
      </c>
      <c r="X21" s="13">
        <v>0.0541263889016729</v>
      </c>
      <c r="Y21" s="13">
        <v>0.00468394439774913</v>
      </c>
      <c r="Z21" s="13">
        <v>0.0684393483147607</v>
      </c>
      <c r="AA21" s="13">
        <v>0.895173828819094</v>
      </c>
      <c r="AB21" s="13">
        <v>0.0540929645661558</v>
      </c>
      <c r="AC21" s="13">
        <v>0.0683485281361847</v>
      </c>
      <c r="AD21" s="13">
        <v>0.895951901674363</v>
      </c>
      <c r="AE21" s="13">
        <v>0.0778628583680947</v>
      </c>
      <c r="AF21" s="13">
        <v>0.0972242051704321</v>
      </c>
      <c r="AG21" s="13">
        <v>0.790330210822494</v>
      </c>
      <c r="AH21" s="13">
        <v>10.0</v>
      </c>
      <c r="AI21" s="13">
        <v>1.54199956362</v>
      </c>
      <c r="AJ21" s="13">
        <v>4.00986049386201</v>
      </c>
      <c r="AK21" s="13">
        <v>2.00246360612671</v>
      </c>
      <c r="AL21" s="13">
        <v>0.851574955415739</v>
      </c>
      <c r="AM21" s="13">
        <v>1.32527763187083</v>
      </c>
      <c r="AN21" s="13">
        <v>2.8040806593543</v>
      </c>
      <c r="AO21" s="13">
        <v>1.67453893933652</v>
      </c>
      <c r="AP21" s="13">
        <v>0.895951901674363</v>
      </c>
      <c r="AQ21" s="13">
        <v>1.90764003001838</v>
      </c>
      <c r="AR21" s="13">
        <v>5.67389077913113</v>
      </c>
      <c r="AS21" s="13">
        <v>2.38199302667558</v>
      </c>
      <c r="AT21" s="13">
        <v>0.790330210822494</v>
      </c>
      <c r="AU21" s="8">
        <f t="shared" si="3"/>
        <v>-0.6555206699</v>
      </c>
      <c r="AV21" s="9">
        <f t="shared" si="4"/>
        <v>-0.6457480105</v>
      </c>
      <c r="AW21" s="9">
        <f t="shared" si="5"/>
        <v>-0.6810962678</v>
      </c>
      <c r="AX21" s="10">
        <f t="shared" si="6"/>
        <v>-0.759710774</v>
      </c>
      <c r="AY21" s="8">
        <f t="shared" si="7"/>
        <v>-0.8367628933</v>
      </c>
      <c r="AZ21" s="10">
        <f t="shared" si="8"/>
        <v>-0.8423565254</v>
      </c>
      <c r="BA21" s="8">
        <f t="shared" si="9"/>
        <v>-0.4400219172</v>
      </c>
      <c r="BB21" s="9">
        <f t="shared" si="10"/>
        <v>-0.6611916737</v>
      </c>
      <c r="BC21" s="10">
        <f t="shared" si="11"/>
        <v>-0.6299184255</v>
      </c>
      <c r="BD21" s="11">
        <f t="shared" ref="BD21:BE21" si="30">((R21-R$68)/R$69)</f>
        <v>0.02052184198</v>
      </c>
      <c r="BE21" s="11">
        <f t="shared" si="30"/>
        <v>1.146756222</v>
      </c>
      <c r="BF21" s="3"/>
    </row>
    <row r="22">
      <c r="A22" s="3" t="s">
        <v>77</v>
      </c>
      <c r="B22" s="4">
        <f t="shared" si="2"/>
        <v>0.3620409649</v>
      </c>
      <c r="C22" s="3" t="s">
        <v>58</v>
      </c>
      <c r="D22" s="3" t="s">
        <v>59</v>
      </c>
      <c r="E22" s="5" t="s">
        <v>82</v>
      </c>
      <c r="F22" s="3" t="s">
        <v>61</v>
      </c>
      <c r="G22" s="12" t="s">
        <v>83</v>
      </c>
      <c r="H22" s="5" t="s">
        <v>71</v>
      </c>
      <c r="I22" s="6">
        <v>20.0</v>
      </c>
      <c r="J22" s="12" t="s">
        <v>89</v>
      </c>
      <c r="K22" s="3" t="s">
        <v>72</v>
      </c>
      <c r="L22" s="5" t="s">
        <v>66</v>
      </c>
      <c r="M22" s="3" t="s">
        <v>67</v>
      </c>
      <c r="N22" s="3" t="s">
        <v>84</v>
      </c>
      <c r="O22" s="3" t="s">
        <v>69</v>
      </c>
      <c r="P22" s="5" t="s">
        <v>76</v>
      </c>
      <c r="Q22" s="3"/>
      <c r="R22" s="13">
        <v>568.999272823333</v>
      </c>
      <c r="S22" s="13">
        <v>432.759088516235</v>
      </c>
      <c r="T22" s="13">
        <v>1.85378683513646</v>
      </c>
      <c r="U22" s="13">
        <v>5.53632921667521</v>
      </c>
      <c r="V22" s="13">
        <v>2.35294054677869</v>
      </c>
      <c r="W22" s="13">
        <v>0.795102449040701</v>
      </c>
      <c r="X22" s="13">
        <v>0.0687073637755126</v>
      </c>
      <c r="Y22" s="13">
        <v>0.00721720434318809</v>
      </c>
      <c r="Z22" s="13">
        <v>0.0849541308188606</v>
      </c>
      <c r="AA22" s="13">
        <v>0.8384797440614</v>
      </c>
      <c r="AB22" s="13">
        <v>0.0688544823671224</v>
      </c>
      <c r="AC22" s="13">
        <v>0.0850081162945967</v>
      </c>
      <c r="AD22" s="13">
        <v>0.839047917865598</v>
      </c>
      <c r="AE22" s="13">
        <v>0.0750578749691719</v>
      </c>
      <c r="AF22" s="13">
        <v>0.0956140058214559</v>
      </c>
      <c r="AG22" s="13">
        <v>0.797217682028529</v>
      </c>
      <c r="AH22" s="13">
        <v>10.0</v>
      </c>
      <c r="AI22" s="13">
        <v>1.85378683513641</v>
      </c>
      <c r="AJ22" s="13">
        <v>5.53632921667521</v>
      </c>
      <c r="AK22" s="13">
        <v>2.35294054677869</v>
      </c>
      <c r="AL22" s="13">
        <v>0.795072693407662</v>
      </c>
      <c r="AM22" s="13">
        <v>1.68693481799453</v>
      </c>
      <c r="AN22" s="13">
        <v>4.33763449653241</v>
      </c>
      <c r="AO22" s="13">
        <v>2.08269884921762</v>
      </c>
      <c r="AP22" s="13">
        <v>0.839047917865598</v>
      </c>
      <c r="AQ22" s="13">
        <v>1.83891793674474</v>
      </c>
      <c r="AR22" s="13">
        <v>5.48750837506256</v>
      </c>
      <c r="AS22" s="13">
        <v>2.34254314262567</v>
      </c>
      <c r="AT22" s="13">
        <v>0.797217682028529</v>
      </c>
      <c r="AU22" s="8">
        <f t="shared" si="3"/>
        <v>-0.3505895334</v>
      </c>
      <c r="AV22" s="9">
        <f t="shared" si="4"/>
        <v>-0.3609229292</v>
      </c>
      <c r="AW22" s="9">
        <f t="shared" si="5"/>
        <v>-0.7591203868</v>
      </c>
      <c r="AX22" s="10">
        <f t="shared" si="6"/>
        <v>-0.7974050394</v>
      </c>
      <c r="AY22" s="8">
        <f t="shared" si="7"/>
        <v>-0.5332134139</v>
      </c>
      <c r="AZ22" s="10">
        <f t="shared" si="8"/>
        <v>-0.5554467317</v>
      </c>
      <c r="BA22" s="8">
        <f t="shared" si="9"/>
        <v>-0.3229164097</v>
      </c>
      <c r="BB22" s="9">
        <f t="shared" si="10"/>
        <v>-0.6830198192</v>
      </c>
      <c r="BC22" s="10">
        <f t="shared" si="11"/>
        <v>-0.489418737</v>
      </c>
      <c r="BD22" s="11">
        <f t="shared" ref="BD22:BE22" si="31">((R22-R$68)/R$69)</f>
        <v>-0.09697434062</v>
      </c>
      <c r="BE22" s="11">
        <f t="shared" si="31"/>
        <v>0.9665767265</v>
      </c>
      <c r="BF22" s="3"/>
    </row>
    <row r="23">
      <c r="A23" s="3" t="s">
        <v>77</v>
      </c>
      <c r="B23" s="4">
        <f t="shared" si="2"/>
        <v>0.4257185742</v>
      </c>
      <c r="C23" s="3" t="s">
        <v>58</v>
      </c>
      <c r="D23" s="3" t="s">
        <v>59</v>
      </c>
      <c r="E23" s="5" t="s">
        <v>82</v>
      </c>
      <c r="F23" s="3" t="s">
        <v>61</v>
      </c>
      <c r="G23" s="12" t="s">
        <v>83</v>
      </c>
      <c r="H23" s="5" t="s">
        <v>63</v>
      </c>
      <c r="I23" s="6">
        <v>20.0</v>
      </c>
      <c r="J23" s="12" t="s">
        <v>89</v>
      </c>
      <c r="K23" s="3" t="s">
        <v>65</v>
      </c>
      <c r="L23" s="5" t="s">
        <v>66</v>
      </c>
      <c r="M23" s="3" t="s">
        <v>79</v>
      </c>
      <c r="N23" s="3" t="s">
        <v>68</v>
      </c>
      <c r="O23" s="3" t="s">
        <v>69</v>
      </c>
      <c r="P23" s="5" t="s">
        <v>75</v>
      </c>
      <c r="Q23" s="3"/>
      <c r="R23" s="13">
        <v>660.483159065246</v>
      </c>
      <c r="S23" s="13">
        <v>413.738087415695</v>
      </c>
      <c r="T23" s="13">
        <v>1.82598676402371</v>
      </c>
      <c r="U23" s="13">
        <v>5.3669495048871</v>
      </c>
      <c r="V23" s="13">
        <v>2.31666775884827</v>
      </c>
      <c r="W23" s="13">
        <v>0.801191605844258</v>
      </c>
      <c r="X23" s="13">
        <v>0.0523566743262858</v>
      </c>
      <c r="Y23" s="13">
        <v>0.00434934842421427</v>
      </c>
      <c r="Z23" s="13">
        <v>0.0659495900230947</v>
      </c>
      <c r="AA23" s="13">
        <v>0.902556838502408</v>
      </c>
      <c r="AB23" s="13">
        <v>0.0522192439684013</v>
      </c>
      <c r="AC23" s="13">
        <v>0.0657938428618492</v>
      </c>
      <c r="AD23" s="13">
        <v>0.90347219793531</v>
      </c>
      <c r="AE23" s="13">
        <v>0.078195910530925</v>
      </c>
      <c r="AF23" s="13">
        <v>0.0986400179606663</v>
      </c>
      <c r="AG23" s="13">
        <v>0.784086548010998</v>
      </c>
      <c r="AH23" s="13">
        <v>10.0</v>
      </c>
      <c r="AI23" s="13">
        <v>1.82598676402367</v>
      </c>
      <c r="AJ23" s="13">
        <v>5.3669495048871</v>
      </c>
      <c r="AK23" s="13">
        <v>2.31666775884827</v>
      </c>
      <c r="AL23" s="13">
        <v>0.801154603696138</v>
      </c>
      <c r="AM23" s="13">
        <v>1.27937147722583</v>
      </c>
      <c r="AN23" s="13">
        <v>2.59838006255746</v>
      </c>
      <c r="AO23" s="13">
        <v>1.6119491501153</v>
      </c>
      <c r="AP23" s="13">
        <v>0.90347219793531</v>
      </c>
      <c r="AQ23" s="13">
        <v>1.9157998080077</v>
      </c>
      <c r="AR23" s="13">
        <v>5.84034434925414</v>
      </c>
      <c r="AS23" s="13">
        <v>2.41668044003632</v>
      </c>
      <c r="AT23" s="13">
        <v>0.784086548010998</v>
      </c>
      <c r="AU23" s="8">
        <f t="shared" si="3"/>
        <v>-0.6942264289</v>
      </c>
      <c r="AV23" s="9">
        <f t="shared" si="4"/>
        <v>-0.6894248669</v>
      </c>
      <c r="AW23" s="9">
        <f t="shared" si="5"/>
        <v>-0.6718320057</v>
      </c>
      <c r="AX23" s="10">
        <f t="shared" si="6"/>
        <v>-0.7265670375</v>
      </c>
      <c r="AY23" s="8">
        <f t="shared" si="7"/>
        <v>-0.5602789739</v>
      </c>
      <c r="AZ23" s="10">
        <f t="shared" si="8"/>
        <v>-0.5851406056</v>
      </c>
      <c r="BA23" s="8">
        <f t="shared" si="9"/>
        <v>-0.4554983049</v>
      </c>
      <c r="BB23" s="9">
        <f t="shared" si="10"/>
        <v>-0.6414039206</v>
      </c>
      <c r="BC23" s="10">
        <f t="shared" si="11"/>
        <v>-0.5045421404</v>
      </c>
      <c r="BD23" s="11">
        <f t="shared" ref="BD23:BE23" si="32">((R23-R$68)/R$69)</f>
        <v>0.02032009931</v>
      </c>
      <c r="BE23" s="11">
        <f t="shared" si="32"/>
        <v>0.8256898688</v>
      </c>
      <c r="BF23" s="3"/>
    </row>
    <row r="24">
      <c r="A24" s="3" t="s">
        <v>77</v>
      </c>
      <c r="B24" s="4">
        <f t="shared" si="2"/>
        <v>0.005369962091</v>
      </c>
      <c r="C24" s="3" t="s">
        <v>58</v>
      </c>
      <c r="D24" s="3" t="s">
        <v>59</v>
      </c>
      <c r="E24" s="5" t="s">
        <v>60</v>
      </c>
      <c r="F24" s="3" t="s">
        <v>61</v>
      </c>
      <c r="G24" s="12" t="s">
        <v>62</v>
      </c>
      <c r="H24" s="5" t="s">
        <v>71</v>
      </c>
      <c r="I24" s="6">
        <v>20.0</v>
      </c>
      <c r="J24" s="12" t="s">
        <v>89</v>
      </c>
      <c r="K24" s="3" t="s">
        <v>65</v>
      </c>
      <c r="L24" s="5" t="s">
        <v>73</v>
      </c>
      <c r="M24" s="3" t="s">
        <v>67</v>
      </c>
      <c r="N24" s="3" t="s">
        <v>84</v>
      </c>
      <c r="O24" s="3" t="s">
        <v>69</v>
      </c>
      <c r="P24" s="5" t="s">
        <v>70</v>
      </c>
      <c r="Q24" s="5" t="s">
        <v>81</v>
      </c>
      <c r="R24" s="13">
        <v>425.850970745086</v>
      </c>
      <c r="S24" s="13">
        <v>190.165628910064</v>
      </c>
      <c r="T24" s="13">
        <v>2.47794663351936</v>
      </c>
      <c r="U24" s="13">
        <v>9.2512514889541</v>
      </c>
      <c r="V24" s="13">
        <v>3.04158700170718</v>
      </c>
      <c r="W24" s="13">
        <v>0.647184136440698</v>
      </c>
      <c r="X24" s="13">
        <v>0.0991183293478514</v>
      </c>
      <c r="Y24" s="13">
        <v>0.0146686866909212</v>
      </c>
      <c r="Z24" s="13">
        <v>0.121114353777416</v>
      </c>
      <c r="AA24" s="13">
        <v>0.692968012237268</v>
      </c>
      <c r="AB24" s="13">
        <v>0.0989568047332293</v>
      </c>
      <c r="AC24" s="13">
        <v>0.120879045270465</v>
      </c>
      <c r="AD24" s="13">
        <v>0.695698204578695</v>
      </c>
      <c r="AE24" s="13">
        <v>0.120530014146798</v>
      </c>
      <c r="AF24" s="13">
        <v>0.14508811773463</v>
      </c>
      <c r="AG24" s="13">
        <v>0.564825414916542</v>
      </c>
      <c r="AH24" s="13">
        <v>10.0</v>
      </c>
      <c r="AI24" s="13">
        <v>2.47794663351936</v>
      </c>
      <c r="AJ24" s="13">
        <v>9.2512514889541</v>
      </c>
      <c r="AK24" s="13">
        <v>3.04158700170718</v>
      </c>
      <c r="AL24" s="13">
        <v>0.647110579376583</v>
      </c>
      <c r="AM24" s="13">
        <v>2.30761771037628</v>
      </c>
      <c r="AN24" s="13">
        <v>7.94581486284906</v>
      </c>
      <c r="AO24" s="13">
        <v>2.81883218068211</v>
      </c>
      <c r="AP24" s="13">
        <v>0.695698204578695</v>
      </c>
      <c r="AQ24" s="13">
        <v>2.81069296878438</v>
      </c>
      <c r="AR24" s="13">
        <v>11.447221661085</v>
      </c>
      <c r="AS24" s="13">
        <v>3.38337430106174</v>
      </c>
      <c r="AT24" s="13">
        <v>0.564825414916542</v>
      </c>
      <c r="AU24" s="8">
        <f t="shared" si="3"/>
        <v>0.2712391627</v>
      </c>
      <c r="AV24" s="9">
        <f t="shared" si="4"/>
        <v>0.2523539514</v>
      </c>
      <c r="AW24" s="9">
        <f t="shared" si="5"/>
        <v>0.3441913297</v>
      </c>
      <c r="AX24" s="10">
        <f t="shared" si="6"/>
        <v>0.1971065238</v>
      </c>
      <c r="AY24" s="8">
        <f t="shared" si="7"/>
        <v>0.07445533719</v>
      </c>
      <c r="AZ24" s="10">
        <f t="shared" si="8"/>
        <v>0.008297667451</v>
      </c>
      <c r="BA24" s="8">
        <f t="shared" si="9"/>
        <v>-0.02790998284</v>
      </c>
      <c r="BB24" s="9">
        <f t="shared" si="10"/>
        <v>0.05349029695</v>
      </c>
      <c r="BC24" s="10">
        <f t="shared" si="11"/>
        <v>-0.1214930965</v>
      </c>
      <c r="BD24" s="11">
        <f t="shared" ref="BD24:BE24" si="33">((R24-R$68)/R$69)</f>
        <v>-0.2805093937</v>
      </c>
      <c r="BE24" s="11">
        <f t="shared" si="33"/>
        <v>-0.8302913792</v>
      </c>
      <c r="BF24" s="3"/>
    </row>
    <row r="25">
      <c r="A25" s="3" t="s">
        <v>57</v>
      </c>
      <c r="B25" s="4">
        <f t="shared" si="2"/>
        <v>-0.06011895728</v>
      </c>
      <c r="C25" s="3" t="s">
        <v>58</v>
      </c>
      <c r="D25" s="3" t="s">
        <v>59</v>
      </c>
      <c r="E25" s="5" t="s">
        <v>82</v>
      </c>
      <c r="F25" s="3" t="s">
        <v>78</v>
      </c>
      <c r="G25" s="12" t="s">
        <v>86</v>
      </c>
      <c r="H25" s="5" t="s">
        <v>63</v>
      </c>
      <c r="I25" s="6">
        <v>20.0</v>
      </c>
      <c r="J25" s="12" t="s">
        <v>89</v>
      </c>
      <c r="K25" s="3" t="s">
        <v>65</v>
      </c>
      <c r="L25" s="5" t="s">
        <v>66</v>
      </c>
      <c r="M25" s="3" t="s">
        <v>67</v>
      </c>
      <c r="N25" s="3" t="s">
        <v>80</v>
      </c>
      <c r="O25" s="3" t="s">
        <v>69</v>
      </c>
      <c r="P25" s="5" t="s">
        <v>75</v>
      </c>
      <c r="Q25" s="3"/>
      <c r="R25" s="13">
        <v>429.737086057662</v>
      </c>
      <c r="S25" s="13">
        <v>402.887254476547</v>
      </c>
      <c r="T25" s="13">
        <v>2.51133858684843</v>
      </c>
      <c r="U25" s="13">
        <v>9.64708632475311</v>
      </c>
      <c r="V25" s="13">
        <v>3.10597590537227</v>
      </c>
      <c r="W25" s="13">
        <v>0.641571141478529</v>
      </c>
      <c r="X25" s="13">
        <v>0.0862615987066653</v>
      </c>
      <c r="Y25" s="13">
        <v>0.0108685739297156</v>
      </c>
      <c r="Z25" s="13">
        <v>0.104252452871458</v>
      </c>
      <c r="AA25" s="13">
        <v>0.75312784747868</v>
      </c>
      <c r="AB25" s="13">
        <v>0.0861244511488195</v>
      </c>
      <c r="AC25" s="13">
        <v>0.103850788552814</v>
      </c>
      <c r="AD25" s="13">
        <v>0.757426217336472</v>
      </c>
      <c r="AE25" s="13">
        <v>0.108234225107339</v>
      </c>
      <c r="AF25" s="13">
        <v>0.136922963364192</v>
      </c>
      <c r="AG25" s="13">
        <v>0.586377842739359</v>
      </c>
      <c r="AH25" s="13">
        <v>10.0</v>
      </c>
      <c r="AI25" s="13">
        <v>2.5113385868483</v>
      </c>
      <c r="AJ25" s="13">
        <v>9.64708632475311</v>
      </c>
      <c r="AK25" s="13">
        <v>3.10597590537227</v>
      </c>
      <c r="AL25" s="13">
        <v>0.641454890357605</v>
      </c>
      <c r="AM25" s="13">
        <v>2.11004905314613</v>
      </c>
      <c r="AN25" s="13">
        <v>6.47368801639558</v>
      </c>
      <c r="AO25" s="13">
        <v>2.54434431954395</v>
      </c>
      <c r="AP25" s="13">
        <v>0.757426217336472</v>
      </c>
      <c r="AQ25" s="13">
        <v>2.65173851512967</v>
      </c>
      <c r="AR25" s="13">
        <v>11.2534257123332</v>
      </c>
      <c r="AS25" s="13">
        <v>3.35461260242271</v>
      </c>
      <c r="AT25" s="13">
        <v>0.586377842739359</v>
      </c>
      <c r="AU25" s="8">
        <f t="shared" si="3"/>
        <v>0.00615909346</v>
      </c>
      <c r="AV25" s="9">
        <f t="shared" si="4"/>
        <v>-0.03877416992</v>
      </c>
      <c r="AW25" s="9">
        <f t="shared" si="5"/>
        <v>0.1637212566</v>
      </c>
      <c r="AX25" s="10">
        <f t="shared" si="6"/>
        <v>0.1696247929</v>
      </c>
      <c r="AY25" s="8">
        <f t="shared" si="7"/>
        <v>0.1069650352</v>
      </c>
      <c r="AZ25" s="10">
        <f t="shared" si="8"/>
        <v>0.06100814544</v>
      </c>
      <c r="BA25" s="8">
        <f t="shared" si="9"/>
        <v>-0.1549430969</v>
      </c>
      <c r="BB25" s="9">
        <f t="shared" si="10"/>
        <v>-0.01481482058</v>
      </c>
      <c r="BC25" s="10">
        <f t="shared" si="11"/>
        <v>-0.1074295437</v>
      </c>
      <c r="BD25" s="11">
        <f t="shared" ref="BD25:BE25" si="34">((R25-R$68)/R$69)</f>
        <v>-0.27552688</v>
      </c>
      <c r="BE25" s="11">
        <f t="shared" si="34"/>
        <v>0.7453187176</v>
      </c>
      <c r="BF25" s="3"/>
    </row>
    <row r="26">
      <c r="A26" s="3" t="s">
        <v>77</v>
      </c>
      <c r="B26" s="4">
        <f t="shared" si="2"/>
        <v>0.1397319844</v>
      </c>
      <c r="C26" s="3" t="s">
        <v>58</v>
      </c>
      <c r="D26" s="3" t="s">
        <v>59</v>
      </c>
      <c r="E26" s="5" t="s">
        <v>60</v>
      </c>
      <c r="F26" s="3" t="s">
        <v>78</v>
      </c>
      <c r="G26" s="12" t="s">
        <v>60</v>
      </c>
      <c r="H26" s="5" t="s">
        <v>63</v>
      </c>
      <c r="I26" s="6">
        <v>20.0</v>
      </c>
      <c r="J26" s="12" t="s">
        <v>89</v>
      </c>
      <c r="K26" s="3" t="s">
        <v>65</v>
      </c>
      <c r="L26" s="5" t="s">
        <v>73</v>
      </c>
      <c r="M26" s="3" t="s">
        <v>67</v>
      </c>
      <c r="N26" s="3" t="s">
        <v>84</v>
      </c>
      <c r="O26" s="3" t="s">
        <v>69</v>
      </c>
      <c r="P26" s="5" t="s">
        <v>70</v>
      </c>
      <c r="Q26" s="5" t="s">
        <v>70</v>
      </c>
      <c r="R26" s="13">
        <v>762.528671026229</v>
      </c>
      <c r="S26" s="13">
        <v>170.922168254852</v>
      </c>
      <c r="T26" s="13">
        <v>2.23905107059175</v>
      </c>
      <c r="U26" s="13">
        <v>8.49615058208479</v>
      </c>
      <c r="V26" s="13">
        <v>2.91481570293643</v>
      </c>
      <c r="W26" s="13">
        <v>0.673524443689894</v>
      </c>
      <c r="X26" s="13">
        <v>0.0863868246879989</v>
      </c>
      <c r="Y26" s="13">
        <v>0.0120549436024176</v>
      </c>
      <c r="Z26" s="13">
        <v>0.109795007183467</v>
      </c>
      <c r="AA26" s="13">
        <v>0.742601881137164</v>
      </c>
      <c r="AB26" s="13">
        <v>0.0855032259970965</v>
      </c>
      <c r="AC26" s="13">
        <v>0.108850344288268</v>
      </c>
      <c r="AD26" s="13">
        <v>0.749718276545127</v>
      </c>
      <c r="AE26" s="13">
        <v>0.103049433800944</v>
      </c>
      <c r="AF26" s="13">
        <v>0.137574511172658</v>
      </c>
      <c r="AG26" s="13">
        <v>0.60924901286098</v>
      </c>
      <c r="AH26" s="13">
        <v>10.0</v>
      </c>
      <c r="AI26" s="13">
        <v>2.23905107059175</v>
      </c>
      <c r="AJ26" s="13">
        <v>8.49615058208479</v>
      </c>
      <c r="AK26" s="13">
        <v>2.91481570293643</v>
      </c>
      <c r="AL26" s="13">
        <v>0.673248967099533</v>
      </c>
      <c r="AM26" s="13">
        <v>1.99388772846009</v>
      </c>
      <c r="AN26" s="13">
        <v>6.44311693683755</v>
      </c>
      <c r="AO26" s="13">
        <v>2.53832955638891</v>
      </c>
      <c r="AP26" s="13">
        <v>0.749718276545127</v>
      </c>
      <c r="AQ26" s="13">
        <v>2.40305554655256</v>
      </c>
      <c r="AR26" s="13">
        <v>10.2922980943794</v>
      </c>
      <c r="AS26" s="13">
        <v>3.2081611702624</v>
      </c>
      <c r="AT26" s="13">
        <v>0.60924901286098</v>
      </c>
      <c r="AU26" s="8">
        <f t="shared" si="3"/>
        <v>-0.00667365816</v>
      </c>
      <c r="AV26" s="9">
        <f t="shared" si="4"/>
        <v>0.04670206484</v>
      </c>
      <c r="AW26" s="9">
        <f t="shared" si="5"/>
        <v>-0.1186227262</v>
      </c>
      <c r="AX26" s="10">
        <f t="shared" si="6"/>
        <v>0.0296908165</v>
      </c>
      <c r="AY26" s="8">
        <f t="shared" si="7"/>
        <v>-0.1581283196</v>
      </c>
      <c r="AZ26" s="10">
        <f t="shared" si="8"/>
        <v>-0.09548070698</v>
      </c>
      <c r="BA26" s="8">
        <f t="shared" si="9"/>
        <v>-0.1390805464</v>
      </c>
      <c r="BB26" s="9">
        <f t="shared" si="10"/>
        <v>-0.08729936739</v>
      </c>
      <c r="BC26" s="10">
        <f t="shared" si="11"/>
        <v>-0.1864893498</v>
      </c>
      <c r="BD26" s="11">
        <f t="shared" ref="BD26:BE26" si="35">((R26-R$68)/R$69)</f>
        <v>0.1511559401</v>
      </c>
      <c r="BE26" s="11">
        <f t="shared" si="35"/>
        <v>-0.972825975</v>
      </c>
      <c r="BF26" s="3"/>
    </row>
    <row r="27">
      <c r="A27" s="3" t="s">
        <v>77</v>
      </c>
      <c r="B27" s="4">
        <f t="shared" si="2"/>
        <v>0.05476929178</v>
      </c>
      <c r="C27" s="3" t="s">
        <v>58</v>
      </c>
      <c r="D27" s="3" t="s">
        <v>59</v>
      </c>
      <c r="E27" s="5" t="s">
        <v>82</v>
      </c>
      <c r="F27" s="3" t="s">
        <v>78</v>
      </c>
      <c r="G27" s="12" t="s">
        <v>86</v>
      </c>
      <c r="H27" s="5" t="s">
        <v>71</v>
      </c>
      <c r="I27" s="6">
        <v>20.0</v>
      </c>
      <c r="J27" s="12" t="s">
        <v>89</v>
      </c>
      <c r="K27" s="3" t="s">
        <v>65</v>
      </c>
      <c r="L27" s="5" t="s">
        <v>73</v>
      </c>
      <c r="M27" s="3" t="s">
        <v>79</v>
      </c>
      <c r="N27" s="3" t="s">
        <v>68</v>
      </c>
      <c r="O27" s="3" t="s">
        <v>69</v>
      </c>
      <c r="P27" s="5" t="s">
        <v>75</v>
      </c>
      <c r="Q27" s="5" t="s">
        <v>70</v>
      </c>
      <c r="R27" s="13">
        <v>1031.76707935333</v>
      </c>
      <c r="S27" s="13">
        <v>456.525387525558</v>
      </c>
      <c r="T27" s="13">
        <v>2.11220919566846</v>
      </c>
      <c r="U27" s="13">
        <v>7.20460628169976</v>
      </c>
      <c r="V27" s="13">
        <v>2.68413976567908</v>
      </c>
      <c r="W27" s="13">
        <v>0.733023692263028</v>
      </c>
      <c r="X27" s="13">
        <v>0.071684691570284</v>
      </c>
      <c r="Y27" s="13">
        <v>0.00781641696592492</v>
      </c>
      <c r="Z27" s="13">
        <v>0.0884105025770407</v>
      </c>
      <c r="AA27" s="13">
        <v>0.822582795252021</v>
      </c>
      <c r="AB27" s="13">
        <v>0.0716849885530764</v>
      </c>
      <c r="AC27" s="13">
        <v>0.0881602360634795</v>
      </c>
      <c r="AD27" s="13">
        <v>0.82536001728554</v>
      </c>
      <c r="AE27" s="13">
        <v>0.0987331513194772</v>
      </c>
      <c r="AF27" s="13">
        <v>0.124990950774826</v>
      </c>
      <c r="AG27" s="13">
        <v>0.656448751620275</v>
      </c>
      <c r="AH27" s="13">
        <v>10.0</v>
      </c>
      <c r="AI27" s="13">
        <v>2.11220919566841</v>
      </c>
      <c r="AJ27" s="13">
        <v>7.20460628169976</v>
      </c>
      <c r="AK27" s="13">
        <v>2.68413976567908</v>
      </c>
      <c r="AL27" s="13">
        <v>0.732748898185527</v>
      </c>
      <c r="AM27" s="13">
        <v>1.75628221955042</v>
      </c>
      <c r="AN27" s="13">
        <v>4.66527939046673</v>
      </c>
      <c r="AO27" s="13">
        <v>2.15992578355524</v>
      </c>
      <c r="AP27" s="13">
        <v>0.82536001728554</v>
      </c>
      <c r="AQ27" s="13">
        <v>2.41896220732716</v>
      </c>
      <c r="AR27" s="13">
        <v>9.37754834980094</v>
      </c>
      <c r="AS27" s="13">
        <v>3.06227829398324</v>
      </c>
      <c r="AT27" s="13">
        <v>0.656448751620275</v>
      </c>
      <c r="AU27" s="8">
        <f t="shared" si="3"/>
        <v>-0.2921192948</v>
      </c>
      <c r="AV27" s="9">
        <f t="shared" si="4"/>
        <v>-0.307031875</v>
      </c>
      <c r="AW27" s="9">
        <f t="shared" si="5"/>
        <v>-0.1005629854</v>
      </c>
      <c r="AX27" s="10">
        <f t="shared" si="6"/>
        <v>-0.1096999062</v>
      </c>
      <c r="AY27" s="8">
        <f t="shared" si="7"/>
        <v>-0.2816188807</v>
      </c>
      <c r="AZ27" s="10">
        <f t="shared" si="8"/>
        <v>-0.2843181964</v>
      </c>
      <c r="BA27" s="8">
        <f t="shared" si="9"/>
        <v>-0.2947474057</v>
      </c>
      <c r="BB27" s="9">
        <f t="shared" si="10"/>
        <v>-0.2368873271</v>
      </c>
      <c r="BC27" s="10">
        <f t="shared" si="11"/>
        <v>-0.334443104</v>
      </c>
      <c r="BD27" s="11">
        <f t="shared" ref="BD27:BE27" si="36">((R27-R$68)/R$69)</f>
        <v>0.4963551835</v>
      </c>
      <c r="BE27" s="11">
        <f t="shared" si="36"/>
        <v>1.142611582</v>
      </c>
      <c r="BF27" s="3"/>
    </row>
    <row r="28">
      <c r="A28" s="3" t="s">
        <v>77</v>
      </c>
      <c r="B28" s="4">
        <f t="shared" si="2"/>
        <v>-0.9016389668</v>
      </c>
      <c r="C28" s="3" t="s">
        <v>58</v>
      </c>
      <c r="D28" s="3" t="s">
        <v>59</v>
      </c>
      <c r="E28" s="5" t="s">
        <v>60</v>
      </c>
      <c r="F28" s="3" t="s">
        <v>61</v>
      </c>
      <c r="G28" s="12" t="s">
        <v>62</v>
      </c>
      <c r="H28" s="5" t="s">
        <v>63</v>
      </c>
      <c r="I28" s="6">
        <v>20.0</v>
      </c>
      <c r="J28" s="12" t="s">
        <v>89</v>
      </c>
      <c r="K28" s="3" t="s">
        <v>72</v>
      </c>
      <c r="L28" s="5" t="s">
        <v>73</v>
      </c>
      <c r="M28" s="3" t="s">
        <v>67</v>
      </c>
      <c r="N28" s="3" t="s">
        <v>80</v>
      </c>
      <c r="O28" s="3" t="s">
        <v>69</v>
      </c>
      <c r="P28" s="5" t="s">
        <v>75</v>
      </c>
      <c r="Q28" s="5" t="s">
        <v>76</v>
      </c>
      <c r="R28" s="13">
        <v>78.0817599296569</v>
      </c>
      <c r="S28" s="13">
        <v>174.882437467575</v>
      </c>
      <c r="T28" s="13">
        <v>4.15158099239497</v>
      </c>
      <c r="U28" s="13">
        <v>24.5546769535818</v>
      </c>
      <c r="V28" s="13">
        <v>4.95526759656648</v>
      </c>
      <c r="W28" s="13">
        <v>0.0570323047047097</v>
      </c>
      <c r="X28" s="13">
        <v>0.127809299312785</v>
      </c>
      <c r="Y28" s="13">
        <v>0.0221937758644018</v>
      </c>
      <c r="Z28" s="13">
        <v>0.14897575596184</v>
      </c>
      <c r="AA28" s="13">
        <v>0.533165403462209</v>
      </c>
      <c r="AB28" s="13">
        <v>0.128205359519995</v>
      </c>
      <c r="AC28" s="13">
        <v>0.149281204844607</v>
      </c>
      <c r="AD28" s="13">
        <v>0.533528989481155</v>
      </c>
      <c r="AE28" s="13">
        <v>0.17844783771048</v>
      </c>
      <c r="AF28" s="13">
        <v>0.208704960631285</v>
      </c>
      <c r="AG28" s="13">
        <v>0.0920862979208102</v>
      </c>
      <c r="AH28" s="13">
        <v>10.0</v>
      </c>
      <c r="AI28" s="13">
        <v>4.15158099239497</v>
      </c>
      <c r="AJ28" s="13">
        <v>24.5546769535818</v>
      </c>
      <c r="AK28" s="13">
        <v>4.95526759656648</v>
      </c>
      <c r="AL28" s="13">
        <v>0.0569437747421739</v>
      </c>
      <c r="AM28" s="13">
        <v>2.98967775880657</v>
      </c>
      <c r="AN28" s="13">
        <v>12.1184384837735</v>
      </c>
      <c r="AO28" s="13">
        <v>3.48115476297356</v>
      </c>
      <c r="AP28" s="13">
        <v>0.533528989481155</v>
      </c>
      <c r="AQ28" s="13">
        <v>4.16130443772078</v>
      </c>
      <c r="AR28" s="13">
        <v>23.6865572872939</v>
      </c>
      <c r="AS28" s="13">
        <v>4.86688373472121</v>
      </c>
      <c r="AT28" s="13">
        <v>0.0920862979208103</v>
      </c>
      <c r="AU28" s="8">
        <f t="shared" si="3"/>
        <v>0.8754314396</v>
      </c>
      <c r="AV28" s="9">
        <f t="shared" si="4"/>
        <v>0.7379390289</v>
      </c>
      <c r="AW28" s="9">
        <f t="shared" si="5"/>
        <v>1.877617698</v>
      </c>
      <c r="AX28" s="10">
        <f t="shared" si="6"/>
        <v>1.61459607</v>
      </c>
      <c r="AY28" s="8">
        <f t="shared" si="7"/>
        <v>1.703870277</v>
      </c>
      <c r="AZ28" s="10">
        <f t="shared" si="8"/>
        <v>1.574887765</v>
      </c>
      <c r="BA28" s="8">
        <f t="shared" si="9"/>
        <v>0.3058260225</v>
      </c>
      <c r="BB28" s="9">
        <f t="shared" si="10"/>
        <v>1.551720622</v>
      </c>
      <c r="BC28" s="10">
        <f t="shared" si="11"/>
        <v>1.346027836</v>
      </c>
      <c r="BD28" s="11">
        <f t="shared" ref="BD28:BE28" si="37">((R28-R$68)/R$69)</f>
        <v>-0.7263955108</v>
      </c>
      <c r="BE28" s="11">
        <f t="shared" si="37"/>
        <v>-0.9434926143</v>
      </c>
      <c r="BF28" s="3"/>
    </row>
    <row r="29">
      <c r="A29" s="3" t="s">
        <v>57</v>
      </c>
      <c r="B29" s="4">
        <f t="shared" si="2"/>
        <v>0.5862145249</v>
      </c>
      <c r="C29" s="3" t="s">
        <v>58</v>
      </c>
      <c r="D29" s="3" t="s">
        <v>59</v>
      </c>
      <c r="E29" s="5" t="s">
        <v>82</v>
      </c>
      <c r="F29" s="3" t="s">
        <v>61</v>
      </c>
      <c r="G29" s="12" t="s">
        <v>83</v>
      </c>
      <c r="H29" s="5" t="s">
        <v>63</v>
      </c>
      <c r="I29" s="6">
        <v>150.0</v>
      </c>
      <c r="J29" s="12" t="s">
        <v>89</v>
      </c>
      <c r="K29" s="3" t="s">
        <v>72</v>
      </c>
      <c r="L29" s="5" t="s">
        <v>73</v>
      </c>
      <c r="M29" s="3" t="s">
        <v>74</v>
      </c>
      <c r="N29" s="3" t="s">
        <v>68</v>
      </c>
      <c r="O29" s="3" t="s">
        <v>69</v>
      </c>
      <c r="P29" s="5" t="s">
        <v>75</v>
      </c>
      <c r="Q29" s="5" t="s">
        <v>76</v>
      </c>
      <c r="R29" s="13">
        <v>134.492164611816</v>
      </c>
      <c r="S29" s="13">
        <v>427.336787223815</v>
      </c>
      <c r="T29" s="13">
        <v>1.6700345049366</v>
      </c>
      <c r="U29" s="13">
        <v>4.63680186012124</v>
      </c>
      <c r="V29" s="13">
        <v>2.15332344530988</v>
      </c>
      <c r="W29" s="13">
        <v>0.828228257414715</v>
      </c>
      <c r="X29" s="13">
        <v>0.0542414215130266</v>
      </c>
      <c r="Y29" s="13">
        <v>0.00477991769882405</v>
      </c>
      <c r="Z29" s="13">
        <v>0.0691369488683442</v>
      </c>
      <c r="AA29" s="13">
        <v>0.892910328894643</v>
      </c>
      <c r="AB29" s="13">
        <v>0.0543996370072135</v>
      </c>
      <c r="AC29" s="13">
        <v>0.0692214212998461</v>
      </c>
      <c r="AD29" s="13">
        <v>0.893152851714989</v>
      </c>
      <c r="AE29" s="13">
        <v>0.0632344813284357</v>
      </c>
      <c r="AF29" s="13">
        <v>0.083519390877152</v>
      </c>
      <c r="AG29" s="13">
        <v>0.845208163772805</v>
      </c>
      <c r="AH29" s="13">
        <v>10.0</v>
      </c>
      <c r="AI29" s="13">
        <v>1.67003450493659</v>
      </c>
      <c r="AJ29" s="13">
        <v>4.63680186012124</v>
      </c>
      <c r="AK29" s="13">
        <v>2.15332344530988</v>
      </c>
      <c r="AL29" s="13">
        <v>0.82820656266307</v>
      </c>
      <c r="AM29" s="13">
        <v>1.33279110667677</v>
      </c>
      <c r="AN29" s="13">
        <v>2.87616100135416</v>
      </c>
      <c r="AO29" s="13">
        <v>1.69592482184622</v>
      </c>
      <c r="AP29" s="13">
        <v>0.893152851714989</v>
      </c>
      <c r="AQ29" s="13">
        <v>1.54924479254664</v>
      </c>
      <c r="AR29" s="13">
        <v>4.18703706365743</v>
      </c>
      <c r="AS29" s="13">
        <v>2.04622507649022</v>
      </c>
      <c r="AT29" s="13">
        <v>0.845208163772805</v>
      </c>
      <c r="AU29" s="8">
        <f t="shared" si="3"/>
        <v>-0.6491856861</v>
      </c>
      <c r="AV29" s="9">
        <f t="shared" si="4"/>
        <v>-0.6308243603</v>
      </c>
      <c r="AW29" s="9">
        <f t="shared" si="5"/>
        <v>-1.088002858</v>
      </c>
      <c r="AX29" s="10">
        <f t="shared" si="6"/>
        <v>-1.080536209</v>
      </c>
      <c r="AY29" s="8">
        <f t="shared" si="7"/>
        <v>-0.7121107881</v>
      </c>
      <c r="AZ29" s="10">
        <f t="shared" si="8"/>
        <v>-0.7188586277</v>
      </c>
      <c r="BA29" s="8">
        <f t="shared" si="9"/>
        <v>-0.4342616146</v>
      </c>
      <c r="BB29" s="9">
        <f t="shared" si="10"/>
        <v>-0.8351138442</v>
      </c>
      <c r="BC29" s="10">
        <f t="shared" si="11"/>
        <v>-0.5718100987</v>
      </c>
      <c r="BD29" s="11">
        <f t="shared" ref="BD29:BE29" si="38">((R29-R$68)/R$69)</f>
        <v>-0.6540699123</v>
      </c>
      <c r="BE29" s="11">
        <f t="shared" si="38"/>
        <v>0.9264142247</v>
      </c>
      <c r="BF29" s="3"/>
    </row>
    <row r="30">
      <c r="A30" s="3" t="s">
        <v>77</v>
      </c>
      <c r="B30" s="4">
        <f t="shared" si="2"/>
        <v>0.4125185265</v>
      </c>
      <c r="C30" s="3" t="s">
        <v>58</v>
      </c>
      <c r="D30" s="3" t="s">
        <v>59</v>
      </c>
      <c r="E30" s="5" t="s">
        <v>82</v>
      </c>
      <c r="F30" s="3" t="s">
        <v>78</v>
      </c>
      <c r="G30" s="12" t="s">
        <v>86</v>
      </c>
      <c r="H30" s="5" t="s">
        <v>63</v>
      </c>
      <c r="I30" s="6">
        <v>150.0</v>
      </c>
      <c r="J30" s="12" t="s">
        <v>89</v>
      </c>
      <c r="K30" s="3" t="s">
        <v>72</v>
      </c>
      <c r="L30" s="5" t="s">
        <v>73</v>
      </c>
      <c r="M30" s="3" t="s">
        <v>74</v>
      </c>
      <c r="N30" s="3" t="s">
        <v>80</v>
      </c>
      <c r="O30" s="3" t="s">
        <v>69</v>
      </c>
      <c r="P30" s="5" t="s">
        <v>75</v>
      </c>
      <c r="Q30" s="5" t="s">
        <v>76</v>
      </c>
      <c r="R30" s="13">
        <v>148.50133895874</v>
      </c>
      <c r="S30" s="13">
        <v>427.105757951736</v>
      </c>
      <c r="T30" s="13">
        <v>1.83630700481504</v>
      </c>
      <c r="U30" s="13">
        <v>5.60822270297221</v>
      </c>
      <c r="V30" s="13">
        <v>2.36816863904837</v>
      </c>
      <c r="W30" s="13">
        <v>0.791772602675942</v>
      </c>
      <c r="X30" s="13">
        <v>0.0592400807269001</v>
      </c>
      <c r="Y30" s="13">
        <v>0.00536809281717274</v>
      </c>
      <c r="Z30" s="13">
        <v>0.0732672697537771</v>
      </c>
      <c r="AA30" s="13">
        <v>0.878067478099738</v>
      </c>
      <c r="AB30" s="13">
        <v>0.0590766452992214</v>
      </c>
      <c r="AC30" s="13">
        <v>0.0729512422369244</v>
      </c>
      <c r="AD30" s="13">
        <v>0.880301241301919</v>
      </c>
      <c r="AE30" s="13">
        <v>0.0811159155450297</v>
      </c>
      <c r="AF30" s="13">
        <v>0.104951376671208</v>
      </c>
      <c r="AG30" s="13">
        <v>0.756988125667587</v>
      </c>
      <c r="AH30" s="13">
        <v>10.0</v>
      </c>
      <c r="AI30" s="13">
        <v>1.83630700481503</v>
      </c>
      <c r="AJ30" s="13">
        <v>5.60822270297221</v>
      </c>
      <c r="AK30" s="13">
        <v>2.36816863904837</v>
      </c>
      <c r="AL30" s="13">
        <v>0.791563923422485</v>
      </c>
      <c r="AM30" s="13">
        <v>1.44737780983095</v>
      </c>
      <c r="AN30" s="13">
        <v>3.19446071728221</v>
      </c>
      <c r="AO30" s="13">
        <v>1.78730543480464</v>
      </c>
      <c r="AP30" s="13">
        <v>0.880301241301919</v>
      </c>
      <c r="AQ30" s="13">
        <v>1.98733993085322</v>
      </c>
      <c r="AR30" s="13">
        <v>6.61162857697541</v>
      </c>
      <c r="AS30" s="13">
        <v>2.5713087284446</v>
      </c>
      <c r="AT30" s="13">
        <v>0.756988125667587</v>
      </c>
      <c r="AU30" s="8">
        <f t="shared" si="3"/>
        <v>-0.5525719453</v>
      </c>
      <c r="AV30" s="9">
        <f t="shared" si="4"/>
        <v>-0.5670564843</v>
      </c>
      <c r="AW30" s="9">
        <f t="shared" si="5"/>
        <v>-0.5906084167</v>
      </c>
      <c r="AX30" s="10">
        <f t="shared" si="6"/>
        <v>-0.5788200955</v>
      </c>
      <c r="AY30" s="8">
        <f t="shared" si="7"/>
        <v>-0.5502314062</v>
      </c>
      <c r="AZ30" s="10">
        <f t="shared" si="8"/>
        <v>-0.5429806082</v>
      </c>
      <c r="BA30" s="8">
        <f t="shared" si="9"/>
        <v>-0.4078136533</v>
      </c>
      <c r="BB30" s="9">
        <f t="shared" si="10"/>
        <v>-0.5555221378</v>
      </c>
      <c r="BC30" s="10">
        <f t="shared" si="11"/>
        <v>-0.4806937572</v>
      </c>
      <c r="BD30" s="11">
        <f t="shared" ref="BD30:BE30" si="39">((R30-R$68)/R$69)</f>
        <v>-0.6361082982</v>
      </c>
      <c r="BE30" s="11">
        <f t="shared" si="39"/>
        <v>0.9247030115</v>
      </c>
      <c r="BF30" s="3"/>
    </row>
    <row r="31">
      <c r="A31" s="3" t="s">
        <v>77</v>
      </c>
      <c r="B31" s="4">
        <f t="shared" si="2"/>
        <v>0.3228216672</v>
      </c>
      <c r="C31" s="3" t="s">
        <v>58</v>
      </c>
      <c r="D31" s="3" t="s">
        <v>59</v>
      </c>
      <c r="E31" s="5" t="s">
        <v>60</v>
      </c>
      <c r="F31" s="3" t="s">
        <v>78</v>
      </c>
      <c r="G31" s="12" t="s">
        <v>60</v>
      </c>
      <c r="H31" s="5" t="s">
        <v>71</v>
      </c>
      <c r="I31" s="6">
        <v>150.0</v>
      </c>
      <c r="J31" s="12" t="s">
        <v>89</v>
      </c>
      <c r="K31" s="3" t="s">
        <v>72</v>
      </c>
      <c r="L31" s="5" t="s">
        <v>66</v>
      </c>
      <c r="M31" s="3" t="s">
        <v>79</v>
      </c>
      <c r="N31" s="3" t="s">
        <v>68</v>
      </c>
      <c r="O31" s="3" t="s">
        <v>69</v>
      </c>
      <c r="P31" s="5" t="s">
        <v>75</v>
      </c>
      <c r="Q31" s="3"/>
      <c r="R31" s="13">
        <v>382.832958459854</v>
      </c>
      <c r="S31" s="13">
        <v>164.31522989273</v>
      </c>
      <c r="T31" s="13">
        <v>2.11129984258296</v>
      </c>
      <c r="U31" s="13">
        <v>7.26144649948056</v>
      </c>
      <c r="V31" s="13">
        <v>2.6947071268471</v>
      </c>
      <c r="W31" s="13">
        <v>0.722191356578257</v>
      </c>
      <c r="X31" s="13">
        <v>0.0733016386099544</v>
      </c>
      <c r="Y31" s="13">
        <v>0.00843612990096533</v>
      </c>
      <c r="Z31" s="13">
        <v>0.0918484071770726</v>
      </c>
      <c r="AA31" s="13">
        <v>0.820626259261613</v>
      </c>
      <c r="AB31" s="13">
        <v>0.073050701839553</v>
      </c>
      <c r="AC31" s="13">
        <v>0.0913417179984735</v>
      </c>
      <c r="AD31" s="13">
        <v>0.824590345735934</v>
      </c>
      <c r="AE31" s="13">
        <v>0.10014482329705</v>
      </c>
      <c r="AF31" s="13">
        <v>0.130810823685121</v>
      </c>
      <c r="AG31" s="13">
        <v>0.645260437767663</v>
      </c>
      <c r="AH31" s="13">
        <v>10.0</v>
      </c>
      <c r="AI31" s="13">
        <v>2.11129984258296</v>
      </c>
      <c r="AJ31" s="13">
        <v>7.26144649948056</v>
      </c>
      <c r="AK31" s="13">
        <v>2.6947071268471</v>
      </c>
      <c r="AL31" s="13">
        <v>0.722018485938422</v>
      </c>
      <c r="AM31" s="13">
        <v>1.70350178317515</v>
      </c>
      <c r="AN31" s="13">
        <v>4.53706238551968</v>
      </c>
      <c r="AO31" s="13">
        <v>2.13003811832551</v>
      </c>
      <c r="AP31" s="13">
        <v>0.824590345735934</v>
      </c>
      <c r="AQ31" s="13">
        <v>2.33532164327427</v>
      </c>
      <c r="AR31" s="13">
        <v>9.30515817737455</v>
      </c>
      <c r="AS31" s="13">
        <v>3.05043573565721</v>
      </c>
      <c r="AT31" s="13">
        <v>0.645260437767663</v>
      </c>
      <c r="AU31" s="8">
        <f t="shared" si="3"/>
        <v>-0.2639075276</v>
      </c>
      <c r="AV31" s="9">
        <f t="shared" si="4"/>
        <v>-0.2526388227</v>
      </c>
      <c r="AW31" s="9">
        <f t="shared" si="5"/>
        <v>-0.1955248966</v>
      </c>
      <c r="AX31" s="10">
        <f t="shared" si="6"/>
        <v>-0.121015441</v>
      </c>
      <c r="AY31" s="8">
        <f t="shared" si="7"/>
        <v>-0.2825042076</v>
      </c>
      <c r="AZ31" s="10">
        <f t="shared" si="8"/>
        <v>-0.275667472</v>
      </c>
      <c r="BA31" s="8">
        <f t="shared" si="9"/>
        <v>-0.2931634608</v>
      </c>
      <c r="BB31" s="9">
        <f t="shared" si="10"/>
        <v>-0.2014287189</v>
      </c>
      <c r="BC31" s="10">
        <f t="shared" si="11"/>
        <v>-0.3077606399</v>
      </c>
      <c r="BD31" s="11">
        <f t="shared" ref="BD31:BE31" si="40">((R31-R$68)/R$69)</f>
        <v>-0.3356641741</v>
      </c>
      <c r="BE31" s="11">
        <f t="shared" si="40"/>
        <v>-1.021762978</v>
      </c>
      <c r="BF31" s="3"/>
    </row>
    <row r="32">
      <c r="A32" s="3" t="s">
        <v>57</v>
      </c>
      <c r="B32" s="4">
        <f t="shared" si="2"/>
        <v>0.1163291473</v>
      </c>
      <c r="C32" s="3" t="s">
        <v>58</v>
      </c>
      <c r="D32" s="3" t="s">
        <v>59</v>
      </c>
      <c r="E32" s="5" t="s">
        <v>60</v>
      </c>
      <c r="F32" s="3" t="s">
        <v>78</v>
      </c>
      <c r="G32" s="12" t="s">
        <v>60</v>
      </c>
      <c r="H32" s="5" t="s">
        <v>71</v>
      </c>
      <c r="I32" s="6">
        <v>150.0</v>
      </c>
      <c r="J32" s="12" t="s">
        <v>89</v>
      </c>
      <c r="K32" s="3" t="s">
        <v>65</v>
      </c>
      <c r="L32" s="5" t="s">
        <v>66</v>
      </c>
      <c r="M32" s="3" t="s">
        <v>67</v>
      </c>
      <c r="N32" s="3" t="s">
        <v>68</v>
      </c>
      <c r="O32" s="3" t="s">
        <v>69</v>
      </c>
      <c r="P32" s="5" t="s">
        <v>81</v>
      </c>
      <c r="Q32" s="3"/>
      <c r="R32" s="13">
        <v>289.667145490646</v>
      </c>
      <c r="S32" s="13">
        <v>166.880414485931</v>
      </c>
      <c r="T32" s="13">
        <v>2.46461257100895</v>
      </c>
      <c r="U32" s="13">
        <v>9.4691984939222</v>
      </c>
      <c r="V32" s="13">
        <v>3.07720628069068</v>
      </c>
      <c r="W32" s="13">
        <v>0.637658428380842</v>
      </c>
      <c r="X32" s="13">
        <v>0.0932368906359137</v>
      </c>
      <c r="Y32" s="13">
        <v>0.0130196034014397</v>
      </c>
      <c r="Z32" s="13">
        <v>0.114103476728098</v>
      </c>
      <c r="AA32" s="13">
        <v>0.723169866696904</v>
      </c>
      <c r="AB32" s="13">
        <v>0.093283660142733</v>
      </c>
      <c r="AC32" s="13">
        <v>0.113864499381441</v>
      </c>
      <c r="AD32" s="13">
        <v>0.727421358241152</v>
      </c>
      <c r="AE32" s="13">
        <v>0.110242451500855</v>
      </c>
      <c r="AF32" s="13">
        <v>0.136688608149878</v>
      </c>
      <c r="AG32" s="13">
        <v>0.612664852325971</v>
      </c>
      <c r="AH32" s="13">
        <v>10.0</v>
      </c>
      <c r="AI32" s="13">
        <v>2.46461257100895</v>
      </c>
      <c r="AJ32" s="13">
        <v>9.46919849392221</v>
      </c>
      <c r="AK32" s="13">
        <v>3.07720628069068</v>
      </c>
      <c r="AL32" s="13">
        <v>0.637501683104268</v>
      </c>
      <c r="AM32" s="13">
        <v>2.17532313027291</v>
      </c>
      <c r="AN32" s="13">
        <v>7.05038903251213</v>
      </c>
      <c r="AO32" s="13">
        <v>2.65525686752</v>
      </c>
      <c r="AP32" s="13">
        <v>0.727421358241152</v>
      </c>
      <c r="AQ32" s="13">
        <v>2.57079272319355</v>
      </c>
      <c r="AR32" s="13">
        <v>10.1601715751201</v>
      </c>
      <c r="AS32" s="13">
        <v>3.18750240393951</v>
      </c>
      <c r="AT32" s="13">
        <v>0.612664852325971</v>
      </c>
      <c r="AU32" s="8">
        <f t="shared" si="3"/>
        <v>0.1540480683</v>
      </c>
      <c r="AV32" s="9">
        <f t="shared" si="4"/>
        <v>0.1324279014</v>
      </c>
      <c r="AW32" s="9">
        <f t="shared" si="5"/>
        <v>0.07181887415</v>
      </c>
      <c r="AX32" s="10">
        <f t="shared" si="6"/>
        <v>0.009951417054</v>
      </c>
      <c r="AY32" s="8">
        <f t="shared" si="7"/>
        <v>0.06147357654</v>
      </c>
      <c r="AZ32" s="10">
        <f t="shared" si="8"/>
        <v>0.03745656152</v>
      </c>
      <c r="BA32" s="8">
        <f t="shared" si="9"/>
        <v>-0.09319462133</v>
      </c>
      <c r="BB32" s="9">
        <f t="shared" si="10"/>
        <v>-0.09812503019</v>
      </c>
      <c r="BC32" s="10">
        <f t="shared" si="11"/>
        <v>-0.09759941712</v>
      </c>
      <c r="BD32" s="11">
        <f t="shared" ref="BD32:BE32" si="41">((R32-R$68)/R$69)</f>
        <v>-0.4551150666</v>
      </c>
      <c r="BE32" s="11">
        <f t="shared" si="41"/>
        <v>-1.002762884</v>
      </c>
      <c r="BF32" s="3"/>
    </row>
    <row r="33">
      <c r="A33" s="3" t="s">
        <v>57</v>
      </c>
      <c r="B33" s="4">
        <f t="shared" si="2"/>
        <v>-0.1404977072</v>
      </c>
      <c r="C33" s="3" t="s">
        <v>58</v>
      </c>
      <c r="D33" s="3" t="s">
        <v>59</v>
      </c>
      <c r="E33" s="5" t="s">
        <v>82</v>
      </c>
      <c r="F33" s="3" t="s">
        <v>78</v>
      </c>
      <c r="G33" s="12" t="s">
        <v>86</v>
      </c>
      <c r="H33" s="5" t="s">
        <v>71</v>
      </c>
      <c r="I33" s="6">
        <v>150.0</v>
      </c>
      <c r="J33" s="12" t="s">
        <v>89</v>
      </c>
      <c r="K33" s="3" t="s">
        <v>72</v>
      </c>
      <c r="L33" s="5" t="s">
        <v>66</v>
      </c>
      <c r="M33" s="3" t="s">
        <v>67</v>
      </c>
      <c r="N33" s="3" t="s">
        <v>80</v>
      </c>
      <c r="O33" s="3" t="s">
        <v>69</v>
      </c>
      <c r="P33" s="5" t="s">
        <v>87</v>
      </c>
      <c r="Q33" s="3"/>
      <c r="R33" s="13">
        <v>494.825473308563</v>
      </c>
      <c r="S33" s="13">
        <v>409.494121789932</v>
      </c>
      <c r="T33" s="13">
        <v>2.46490603072543</v>
      </c>
      <c r="U33" s="13">
        <v>10.4041696579201</v>
      </c>
      <c r="V33" s="13">
        <v>3.22554951255133</v>
      </c>
      <c r="W33" s="13">
        <v>0.614169161236833</v>
      </c>
      <c r="X33" s="13">
        <v>0.09756096829627</v>
      </c>
      <c r="Y33" s="13">
        <v>0.0150562376428009</v>
      </c>
      <c r="Z33" s="13">
        <v>0.122703861564341</v>
      </c>
      <c r="AA33" s="13">
        <v>0.658253185794451</v>
      </c>
      <c r="AB33" s="13">
        <v>0.0983384831511408</v>
      </c>
      <c r="AC33" s="13">
        <v>0.12306738244558</v>
      </c>
      <c r="AD33" s="13">
        <v>0.65968262864482</v>
      </c>
      <c r="AE33" s="13">
        <v>0.101732229388399</v>
      </c>
      <c r="AF33" s="13">
        <v>0.137724689918231</v>
      </c>
      <c r="AG33" s="13">
        <v>0.582882900187941</v>
      </c>
      <c r="AH33" s="13">
        <v>10.0</v>
      </c>
      <c r="AI33" s="13">
        <v>2.46490603072532</v>
      </c>
      <c r="AJ33" s="13">
        <v>10.4041696579201</v>
      </c>
      <c r="AK33" s="13">
        <v>3.22554951255133</v>
      </c>
      <c r="AL33" s="13">
        <v>0.614062768203363</v>
      </c>
      <c r="AM33" s="13">
        <v>2.40929283720288</v>
      </c>
      <c r="AN33" s="13">
        <v>9.09113476835955</v>
      </c>
      <c r="AO33" s="13">
        <v>3.01515086991672</v>
      </c>
      <c r="AP33" s="13">
        <v>0.65968262864482</v>
      </c>
      <c r="AQ33" s="13">
        <v>2.49243962001572</v>
      </c>
      <c r="AR33" s="13">
        <v>11.3855961503971</v>
      </c>
      <c r="AS33" s="13">
        <v>3.37425490299668</v>
      </c>
      <c r="AT33" s="13">
        <v>0.582882900187941</v>
      </c>
      <c r="AU33" s="8">
        <f t="shared" si="3"/>
        <v>0.2584663906</v>
      </c>
      <c r="AV33" s="9">
        <f t="shared" si="4"/>
        <v>0.2897674401</v>
      </c>
      <c r="AW33" s="9">
        <f t="shared" si="5"/>
        <v>-0.01713988062</v>
      </c>
      <c r="AX33" s="10">
        <f t="shared" si="6"/>
        <v>0.1883929618</v>
      </c>
      <c r="AY33" s="8">
        <f t="shared" si="7"/>
        <v>0.0617592827</v>
      </c>
      <c r="AZ33" s="10">
        <f t="shared" si="8"/>
        <v>0.1588942971</v>
      </c>
      <c r="BA33" s="8">
        <f t="shared" si="9"/>
        <v>0.04620824259</v>
      </c>
      <c r="BB33" s="9">
        <f t="shared" si="10"/>
        <v>-0.003738460012</v>
      </c>
      <c r="BC33" s="10">
        <f t="shared" si="11"/>
        <v>-0.03931572854</v>
      </c>
      <c r="BD33" s="11">
        <f t="shared" ref="BD33:BE33" si="42">((R33-R$68)/R$69)</f>
        <v>-0.1920749603</v>
      </c>
      <c r="BE33" s="11">
        <f t="shared" si="42"/>
        <v>0.7942551942</v>
      </c>
      <c r="BF33" s="3"/>
    </row>
    <row r="34">
      <c r="A34" s="3" t="s">
        <v>77</v>
      </c>
      <c r="B34" s="4">
        <f t="shared" si="2"/>
        <v>0.7451521727</v>
      </c>
      <c r="C34" s="3" t="s">
        <v>58</v>
      </c>
      <c r="D34" s="3" t="s">
        <v>59</v>
      </c>
      <c r="E34" s="5" t="s">
        <v>60</v>
      </c>
      <c r="F34" s="3" t="s">
        <v>61</v>
      </c>
      <c r="G34" s="5" t="s">
        <v>62</v>
      </c>
      <c r="H34" s="5" t="s">
        <v>63</v>
      </c>
      <c r="I34" s="6">
        <v>20.0</v>
      </c>
      <c r="J34" s="5" t="s">
        <v>85</v>
      </c>
      <c r="K34" s="3" t="s">
        <v>72</v>
      </c>
      <c r="L34" s="5" t="s">
        <v>66</v>
      </c>
      <c r="M34" s="3" t="s">
        <v>67</v>
      </c>
      <c r="N34" s="3" t="s">
        <v>68</v>
      </c>
      <c r="O34" s="3" t="s">
        <v>69</v>
      </c>
      <c r="P34" s="5" t="s">
        <v>75</v>
      </c>
      <c r="Q34" s="3"/>
      <c r="R34" s="7">
        <v>129.909317016601</v>
      </c>
      <c r="S34" s="7">
        <v>165.220059394836</v>
      </c>
      <c r="T34" s="7">
        <v>1.55280398678682</v>
      </c>
      <c r="U34" s="7">
        <v>4.07103972854558</v>
      </c>
      <c r="V34" s="7">
        <v>2.01768177088102</v>
      </c>
      <c r="W34" s="7">
        <v>0.843657639567344</v>
      </c>
      <c r="X34" s="7">
        <v>0.060304307205408</v>
      </c>
      <c r="Y34" s="7">
        <v>0.00577574670126734</v>
      </c>
      <c r="Z34" s="7">
        <v>0.0759983335426991</v>
      </c>
      <c r="AA34" s="7">
        <v>0.878510155393817</v>
      </c>
      <c r="AB34" s="7">
        <v>0.0602710395973338</v>
      </c>
      <c r="AC34" s="7">
        <v>0.0758948569776341</v>
      </c>
      <c r="AD34" s="7">
        <v>0.879430047539825</v>
      </c>
      <c r="AE34" s="7">
        <v>0.070193358919852</v>
      </c>
      <c r="AF34" s="7">
        <v>0.0901403946277564</v>
      </c>
      <c r="AG34" s="7">
        <v>0.830637234346895</v>
      </c>
      <c r="AH34" s="7">
        <v>10.0</v>
      </c>
      <c r="AI34" s="7">
        <v>1.55280398678682</v>
      </c>
      <c r="AJ34" s="7">
        <v>4.07103972854558</v>
      </c>
      <c r="AK34" s="7">
        <v>2.01768177088102</v>
      </c>
      <c r="AL34" s="7">
        <v>0.843646105931895</v>
      </c>
      <c r="AM34" s="7">
        <v>1.40548715949895</v>
      </c>
      <c r="AN34" s="7">
        <v>3.13228371952835</v>
      </c>
      <c r="AO34" s="7">
        <v>1.769825900909</v>
      </c>
      <c r="AP34" s="7">
        <v>0.879430047539825</v>
      </c>
      <c r="AQ34" s="7">
        <v>1.63687013370045</v>
      </c>
      <c r="AR34" s="7">
        <v>4.41850458010478</v>
      </c>
      <c r="AS34" s="7">
        <v>2.10202392472226</v>
      </c>
      <c r="AT34" s="7">
        <v>0.830637234346895</v>
      </c>
      <c r="AU34" s="8">
        <f t="shared" si="3"/>
        <v>-0.527899143</v>
      </c>
      <c r="AV34" s="9">
        <f t="shared" si="4"/>
        <v>-0.5167301917</v>
      </c>
      <c r="AW34" s="9">
        <f t="shared" si="5"/>
        <v>-0.9885168016</v>
      </c>
      <c r="AX34" s="10">
        <f t="shared" si="6"/>
        <v>-1.027220549</v>
      </c>
      <c r="AY34" s="8">
        <f t="shared" si="7"/>
        <v>-0.8262439359</v>
      </c>
      <c r="AZ34" s="10">
        <f t="shared" si="8"/>
        <v>-0.8298985288</v>
      </c>
      <c r="BA34" s="8">
        <f t="shared" si="9"/>
        <v>-0.4060207808</v>
      </c>
      <c r="BB34" s="9">
        <f t="shared" si="10"/>
        <v>-0.7889348682</v>
      </c>
      <c r="BC34" s="10">
        <f t="shared" si="11"/>
        <v>-0.6102023851</v>
      </c>
      <c r="BD34" s="11">
        <f t="shared" ref="BD34:BE34" si="43">((R34-R$68)/R$69)</f>
        <v>-0.6599457289</v>
      </c>
      <c r="BE34" s="11">
        <f t="shared" si="43"/>
        <v>-1.015060986</v>
      </c>
      <c r="BF34" s="3"/>
    </row>
    <row r="35">
      <c r="A35" s="3" t="s">
        <v>77</v>
      </c>
      <c r="B35" s="4">
        <f t="shared" si="2"/>
        <v>0.7684502655</v>
      </c>
      <c r="C35" s="3" t="s">
        <v>58</v>
      </c>
      <c r="D35" s="3" t="s">
        <v>59</v>
      </c>
      <c r="E35" s="5" t="s">
        <v>60</v>
      </c>
      <c r="F35" s="3" t="s">
        <v>61</v>
      </c>
      <c r="G35" s="5" t="s">
        <v>62</v>
      </c>
      <c r="H35" s="5" t="s">
        <v>71</v>
      </c>
      <c r="I35" s="6">
        <v>20.0</v>
      </c>
      <c r="J35" s="5" t="s">
        <v>85</v>
      </c>
      <c r="K35" s="3" t="s">
        <v>65</v>
      </c>
      <c r="L35" s="5" t="s">
        <v>66</v>
      </c>
      <c r="M35" s="3" t="s">
        <v>67</v>
      </c>
      <c r="N35" s="3" t="s">
        <v>80</v>
      </c>
      <c r="O35" s="3" t="s">
        <v>69</v>
      </c>
      <c r="P35" s="5" t="s">
        <v>81</v>
      </c>
      <c r="Q35" s="3"/>
      <c r="R35" s="7">
        <v>377.022311210632</v>
      </c>
      <c r="S35" s="7">
        <v>179.162210702896</v>
      </c>
      <c r="T35" s="7">
        <v>1.47479557565341</v>
      </c>
      <c r="U35" s="7">
        <v>3.68223829325961</v>
      </c>
      <c r="V35" s="7">
        <v>1.91891591615151</v>
      </c>
      <c r="W35" s="7">
        <v>0.859586959003407</v>
      </c>
      <c r="X35" s="7">
        <v>0.0473249326747795</v>
      </c>
      <c r="Y35" s="7">
        <v>0.00367242968057736</v>
      </c>
      <c r="Z35" s="7">
        <v>0.0606005749195283</v>
      </c>
      <c r="AA35" s="7">
        <v>0.923131947085324</v>
      </c>
      <c r="AB35" s="7">
        <v>0.0471698024075215</v>
      </c>
      <c r="AC35" s="7">
        <v>0.0604453547748354</v>
      </c>
      <c r="AD35" s="7">
        <v>0.923909868565282</v>
      </c>
      <c r="AE35" s="7">
        <v>0.0724240337471738</v>
      </c>
      <c r="AF35" s="7">
        <v>0.0928134033671882</v>
      </c>
      <c r="AG35" s="7">
        <v>0.821917506906944</v>
      </c>
      <c r="AH35" s="7">
        <v>10.0</v>
      </c>
      <c r="AI35" s="7">
        <v>1.47479557565341</v>
      </c>
      <c r="AJ35" s="7">
        <v>3.68223829325961</v>
      </c>
      <c r="AK35" s="7">
        <v>1.91891591615151</v>
      </c>
      <c r="AL35" s="7">
        <v>0.85954084812663</v>
      </c>
      <c r="AM35" s="7">
        <v>1.09997358669762</v>
      </c>
      <c r="AN35" s="7">
        <v>1.9868371017432</v>
      </c>
      <c r="AO35" s="7">
        <v>1.40955209259651</v>
      </c>
      <c r="AP35" s="7">
        <v>0.923909868565282</v>
      </c>
      <c r="AQ35" s="7">
        <v>1.6888882314098</v>
      </c>
      <c r="AR35" s="7">
        <v>4.68444123869022</v>
      </c>
      <c r="AS35" s="7">
        <v>2.16435700352096</v>
      </c>
      <c r="AT35" s="7">
        <v>0.821917506906944</v>
      </c>
      <c r="AU35" s="8">
        <f t="shared" si="3"/>
        <v>-0.7985335858</v>
      </c>
      <c r="AV35" s="9">
        <f t="shared" si="4"/>
        <v>-0.7808667165</v>
      </c>
      <c r="AW35" s="9">
        <f t="shared" si="5"/>
        <v>-0.9294576832</v>
      </c>
      <c r="AX35" s="10">
        <f t="shared" si="6"/>
        <v>-0.9676614487</v>
      </c>
      <c r="AY35" s="8">
        <f t="shared" si="7"/>
        <v>-0.9021912717</v>
      </c>
      <c r="AZ35" s="10">
        <f t="shared" si="8"/>
        <v>-0.910750898</v>
      </c>
      <c r="BA35" s="8">
        <f t="shared" si="9"/>
        <v>-0.4975579926</v>
      </c>
      <c r="BB35" s="9">
        <f t="shared" si="10"/>
        <v>-0.7612998374</v>
      </c>
      <c r="BC35" s="10">
        <f t="shared" si="11"/>
        <v>-0.6497265784</v>
      </c>
      <c r="BD35" s="11">
        <f t="shared" ref="BD35:BE35" si="44">((R35-R$68)/R$69)</f>
        <v>-0.3431141923</v>
      </c>
      <c r="BE35" s="11">
        <f t="shared" si="44"/>
        <v>-0.9117927159</v>
      </c>
      <c r="BF35" s="3"/>
    </row>
    <row r="36">
      <c r="A36" s="3" t="s">
        <v>57</v>
      </c>
      <c r="B36" s="4">
        <f t="shared" si="2"/>
        <v>0.3089177697</v>
      </c>
      <c r="C36" s="3" t="s">
        <v>58</v>
      </c>
      <c r="D36" s="3" t="s">
        <v>59</v>
      </c>
      <c r="E36" s="5" t="s">
        <v>60</v>
      </c>
      <c r="F36" s="3" t="s">
        <v>78</v>
      </c>
      <c r="G36" s="5" t="s">
        <v>60</v>
      </c>
      <c r="H36" s="5" t="s">
        <v>63</v>
      </c>
      <c r="I36" s="6">
        <v>20.0</v>
      </c>
      <c r="J36" s="5" t="s">
        <v>85</v>
      </c>
      <c r="K36" s="3" t="s">
        <v>72</v>
      </c>
      <c r="L36" s="5" t="s">
        <v>73</v>
      </c>
      <c r="M36" s="3" t="s">
        <v>67</v>
      </c>
      <c r="N36" s="3" t="s">
        <v>80</v>
      </c>
      <c r="O36" s="3" t="s">
        <v>69</v>
      </c>
      <c r="P36" s="5" t="s">
        <v>76</v>
      </c>
      <c r="Q36" s="5" t="s">
        <v>88</v>
      </c>
      <c r="R36" s="7">
        <v>78.3854303359985</v>
      </c>
      <c r="S36" s="7">
        <v>164.147175312042</v>
      </c>
      <c r="T36" s="7">
        <v>2.04569469010359</v>
      </c>
      <c r="U36" s="7">
        <v>7.32961986869531</v>
      </c>
      <c r="V36" s="7">
        <v>2.70732707087549</v>
      </c>
      <c r="W36" s="7">
        <v>0.718329822997733</v>
      </c>
      <c r="X36" s="7">
        <v>0.0810463007493768</v>
      </c>
      <c r="Y36" s="7">
        <v>0.0108049566344382</v>
      </c>
      <c r="Z36" s="7">
        <v>0.103946893337118</v>
      </c>
      <c r="AA36" s="7">
        <v>0.769291702738356</v>
      </c>
      <c r="AB36" s="7">
        <v>0.0805379187310101</v>
      </c>
      <c r="AC36" s="7">
        <v>0.103277391027616</v>
      </c>
      <c r="AD36" s="7">
        <v>0.774690222077437</v>
      </c>
      <c r="AE36" s="7">
        <v>0.101989475417448</v>
      </c>
      <c r="AF36" s="7">
        <v>0.132903701006789</v>
      </c>
      <c r="AG36" s="7">
        <v>0.63533147772598</v>
      </c>
      <c r="AH36" s="7">
        <v>10.0</v>
      </c>
      <c r="AI36" s="7">
        <v>2.04569469010359</v>
      </c>
      <c r="AJ36" s="7">
        <v>7.32961986869531</v>
      </c>
      <c r="AK36" s="7">
        <v>2.70732707087549</v>
      </c>
      <c r="AL36" s="7">
        <v>0.718112239216422</v>
      </c>
      <c r="AM36" s="7">
        <v>1.87809952151899</v>
      </c>
      <c r="AN36" s="7">
        <v>5.80025271573505</v>
      </c>
      <c r="AO36" s="7">
        <v>2.40837138243566</v>
      </c>
      <c r="AP36" s="7">
        <v>0.774690222077437</v>
      </c>
      <c r="AQ36" s="7">
        <v>2.37833790591522</v>
      </c>
      <c r="AR36" s="7">
        <v>9.60529150383372</v>
      </c>
      <c r="AS36" s="7">
        <v>3.09924047208888</v>
      </c>
      <c r="AT36" s="7">
        <v>0.63533147772598</v>
      </c>
      <c r="AU36" s="8">
        <f t="shared" si="3"/>
        <v>-0.1092428389</v>
      </c>
      <c r="AV36" s="9">
        <f t="shared" si="4"/>
        <v>-0.04857741326</v>
      </c>
      <c r="AW36" s="9">
        <f t="shared" si="5"/>
        <v>-0.1466860759</v>
      </c>
      <c r="AX36" s="10">
        <f t="shared" si="6"/>
        <v>-0.07438263761</v>
      </c>
      <c r="AY36" s="8">
        <f t="shared" si="7"/>
        <v>-0.3463759936</v>
      </c>
      <c r="AZ36" s="10">
        <f t="shared" si="8"/>
        <v>-0.2653364484</v>
      </c>
      <c r="BA36" s="8">
        <f t="shared" si="9"/>
        <v>-0.1904715415</v>
      </c>
      <c r="BB36" s="9">
        <f t="shared" si="10"/>
        <v>-0.1699613228</v>
      </c>
      <c r="BC36" s="10">
        <f t="shared" si="11"/>
        <v>-0.2980472864</v>
      </c>
      <c r="BD36" s="11">
        <f t="shared" ref="BD36:BE36" si="45">((R36-R$68)/R$69)</f>
        <v>-0.7260061651</v>
      </c>
      <c r="BE36" s="11">
        <f t="shared" si="45"/>
        <v>-1.023007743</v>
      </c>
      <c r="BF36" s="3"/>
    </row>
    <row r="37">
      <c r="A37" s="3" t="s">
        <v>77</v>
      </c>
      <c r="B37" s="4">
        <f t="shared" si="2"/>
        <v>0.3922592848</v>
      </c>
      <c r="C37" s="3" t="s">
        <v>58</v>
      </c>
      <c r="D37" s="3" t="s">
        <v>59</v>
      </c>
      <c r="E37" s="5" t="s">
        <v>82</v>
      </c>
      <c r="F37" s="3" t="s">
        <v>78</v>
      </c>
      <c r="G37" s="5" t="s">
        <v>86</v>
      </c>
      <c r="H37" s="5" t="s">
        <v>63</v>
      </c>
      <c r="I37" s="6">
        <v>20.0</v>
      </c>
      <c r="J37" s="5" t="s">
        <v>85</v>
      </c>
      <c r="K37" s="3" t="s">
        <v>72</v>
      </c>
      <c r="L37" s="5" t="s">
        <v>66</v>
      </c>
      <c r="M37" s="3" t="s">
        <v>74</v>
      </c>
      <c r="N37" s="3" t="s">
        <v>80</v>
      </c>
      <c r="O37" s="3" t="s">
        <v>69</v>
      </c>
      <c r="P37" s="5" t="s">
        <v>88</v>
      </c>
      <c r="Q37" s="3"/>
      <c r="R37" s="7">
        <v>194.473452568054</v>
      </c>
      <c r="S37" s="7">
        <v>407.446476459503</v>
      </c>
      <c r="T37" s="7">
        <v>1.89162088087554</v>
      </c>
      <c r="U37" s="7">
        <v>5.98021562768867</v>
      </c>
      <c r="V37" s="7">
        <v>2.44544794008964</v>
      </c>
      <c r="W37" s="7">
        <v>0.777933542835368</v>
      </c>
      <c r="X37" s="7">
        <v>0.0666032425521062</v>
      </c>
      <c r="Y37" s="7">
        <v>0.0069729602576278</v>
      </c>
      <c r="Z37" s="7">
        <v>0.0835042529313795</v>
      </c>
      <c r="AA37" s="7">
        <v>0.841614022283121</v>
      </c>
      <c r="AB37" s="7">
        <v>0.0665819033737691</v>
      </c>
      <c r="AC37" s="7">
        <v>0.083220104154869</v>
      </c>
      <c r="AD37" s="7">
        <v>0.844231092655733</v>
      </c>
      <c r="AE37" s="7">
        <v>0.0769354723531266</v>
      </c>
      <c r="AF37" s="7">
        <v>0.101502633290916</v>
      </c>
      <c r="AG37" s="7">
        <v>0.772696651053668</v>
      </c>
      <c r="AH37" s="7">
        <v>10.0</v>
      </c>
      <c r="AI37" s="7">
        <v>1.8916208808755</v>
      </c>
      <c r="AJ37" s="7">
        <v>5.98021562768867</v>
      </c>
      <c r="AK37" s="7">
        <v>2.44544794008964</v>
      </c>
      <c r="AL37" s="7">
        <v>0.777738376569397</v>
      </c>
      <c r="AM37" s="7">
        <v>1.63125663265737</v>
      </c>
      <c r="AN37" s="7">
        <v>4.15708283776223</v>
      </c>
      <c r="AO37" s="7">
        <v>2.03889255179429</v>
      </c>
      <c r="AP37" s="7">
        <v>0.844231092655733</v>
      </c>
      <c r="AQ37" s="7">
        <v>1.88491907265162</v>
      </c>
      <c r="AR37" s="7">
        <v>6.18424643513533</v>
      </c>
      <c r="AS37" s="7">
        <v>2.48681451562743</v>
      </c>
      <c r="AT37" s="7">
        <v>0.772696651053668</v>
      </c>
      <c r="AU37" s="8">
        <f t="shared" si="3"/>
        <v>-0.3975345769</v>
      </c>
      <c r="AV37" s="9">
        <f t="shared" si="4"/>
        <v>-0.3914921545</v>
      </c>
      <c r="AW37" s="9">
        <f t="shared" si="5"/>
        <v>-0.7068926689</v>
      </c>
      <c r="AX37" s="10">
        <f t="shared" si="6"/>
        <v>-0.6595541041</v>
      </c>
      <c r="AY37" s="8">
        <f t="shared" si="7"/>
        <v>-0.4963789888</v>
      </c>
      <c r="AZ37" s="10">
        <f t="shared" si="8"/>
        <v>-0.4797177063</v>
      </c>
      <c r="BA37" s="8">
        <f t="shared" si="9"/>
        <v>-0.33358312</v>
      </c>
      <c r="BB37" s="9">
        <f t="shared" si="10"/>
        <v>-0.6053064444</v>
      </c>
      <c r="BC37" s="10">
        <f t="shared" si="11"/>
        <v>-0.4463148677</v>
      </c>
      <c r="BD37" s="11">
        <f t="shared" ref="BD37:BE37" si="46">((R37-R$68)/R$69)</f>
        <v>-0.5771659692</v>
      </c>
      <c r="BE37" s="11">
        <f t="shared" si="46"/>
        <v>0.779088468</v>
      </c>
      <c r="BF37" s="3"/>
    </row>
    <row r="38">
      <c r="A38" s="3" t="s">
        <v>57</v>
      </c>
      <c r="B38" s="4">
        <f t="shared" si="2"/>
        <v>0.2212322965</v>
      </c>
      <c r="C38" s="3" t="s">
        <v>58</v>
      </c>
      <c r="D38" s="3" t="s">
        <v>59</v>
      </c>
      <c r="E38" s="5" t="s">
        <v>82</v>
      </c>
      <c r="F38" s="3" t="s">
        <v>61</v>
      </c>
      <c r="G38" s="5" t="s">
        <v>83</v>
      </c>
      <c r="H38" s="5" t="s">
        <v>63</v>
      </c>
      <c r="I38" s="6">
        <v>20.0</v>
      </c>
      <c r="J38" s="5" t="s">
        <v>85</v>
      </c>
      <c r="K38" s="3" t="s">
        <v>72</v>
      </c>
      <c r="L38" s="5" t="s">
        <v>73</v>
      </c>
      <c r="M38" s="3" t="s">
        <v>74</v>
      </c>
      <c r="N38" s="3" t="s">
        <v>68</v>
      </c>
      <c r="O38" s="3" t="s">
        <v>69</v>
      </c>
      <c r="P38" s="5" t="s">
        <v>88</v>
      </c>
      <c r="Q38" s="5" t="s">
        <v>76</v>
      </c>
      <c r="R38" s="7">
        <v>227.979334115982</v>
      </c>
      <c r="S38" s="7">
        <v>425.73728442192</v>
      </c>
      <c r="T38" s="7">
        <v>2.07295582416179</v>
      </c>
      <c r="U38" s="7">
        <v>6.75267935731356</v>
      </c>
      <c r="V38" s="7">
        <v>2.59859180274885</v>
      </c>
      <c r="W38" s="7">
        <v>0.74983726885322</v>
      </c>
      <c r="X38" s="7">
        <v>0.0754732762384296</v>
      </c>
      <c r="Y38" s="7">
        <v>0.00902630891411504</v>
      </c>
      <c r="Z38" s="7">
        <v>0.095006888771894</v>
      </c>
      <c r="AA38" s="7">
        <v>0.797773829213474</v>
      </c>
      <c r="AB38" s="7">
        <v>0.0753398224476389</v>
      </c>
      <c r="AC38" s="7">
        <v>0.0948162916493265</v>
      </c>
      <c r="AD38" s="7">
        <v>0.799530714602915</v>
      </c>
      <c r="AE38" s="7">
        <v>0.0911470011604847</v>
      </c>
      <c r="AF38" s="7">
        <v>0.113463815204741</v>
      </c>
      <c r="AG38" s="7">
        <v>0.714314511568062</v>
      </c>
      <c r="AH38" s="7">
        <v>10.0</v>
      </c>
      <c r="AI38" s="7">
        <v>2.0729558241617</v>
      </c>
      <c r="AJ38" s="7">
        <v>6.75267935731356</v>
      </c>
      <c r="AK38" s="7">
        <v>2.59859180274885</v>
      </c>
      <c r="AL38" s="7">
        <v>0.749813334055923</v>
      </c>
      <c r="AM38" s="7">
        <v>1.84582564996722</v>
      </c>
      <c r="AN38" s="7">
        <v>5.39632502956859</v>
      </c>
      <c r="AO38" s="7">
        <v>2.32299914540849</v>
      </c>
      <c r="AP38" s="7">
        <v>0.799530714602915</v>
      </c>
      <c r="AQ38" s="7">
        <v>2.23310152843181</v>
      </c>
      <c r="AR38" s="7">
        <v>7.72764092582971</v>
      </c>
      <c r="AS38" s="7">
        <v>2.77986347251617</v>
      </c>
      <c r="AT38" s="7">
        <v>0.714314511568062</v>
      </c>
      <c r="AU38" s="8">
        <f t="shared" si="3"/>
        <v>-0.2166207812</v>
      </c>
      <c r="AV38" s="9">
        <f t="shared" si="4"/>
        <v>-0.1932348498</v>
      </c>
      <c r="AW38" s="9">
        <f t="shared" si="5"/>
        <v>-0.3115812333</v>
      </c>
      <c r="AX38" s="10">
        <f t="shared" si="6"/>
        <v>-0.3795465602</v>
      </c>
      <c r="AY38" s="8">
        <f t="shared" si="7"/>
        <v>-0.3198351313</v>
      </c>
      <c r="AZ38" s="10">
        <f t="shared" si="8"/>
        <v>-0.354350046</v>
      </c>
      <c r="BA38" s="8">
        <f t="shared" si="9"/>
        <v>-0.2415920131</v>
      </c>
      <c r="BB38" s="9">
        <f t="shared" si="10"/>
        <v>-0.4202786168</v>
      </c>
      <c r="BC38" s="10">
        <f t="shared" si="11"/>
        <v>-0.3768758818</v>
      </c>
      <c r="BD38" s="11">
        <f t="shared" ref="BD38:BE38" si="47">((R38-R$68)/R$69)</f>
        <v>-0.5342069983</v>
      </c>
      <c r="BE38" s="11">
        <f t="shared" si="47"/>
        <v>0.9145668502</v>
      </c>
      <c r="BF38" s="3"/>
    </row>
    <row r="39">
      <c r="A39" s="3" t="s">
        <v>77</v>
      </c>
      <c r="B39" s="4">
        <f t="shared" si="2"/>
        <v>0.4004888648</v>
      </c>
      <c r="C39" s="3" t="s">
        <v>58</v>
      </c>
      <c r="D39" s="3" t="s">
        <v>59</v>
      </c>
      <c r="E39" s="5" t="s">
        <v>82</v>
      </c>
      <c r="F39" s="3" t="s">
        <v>78</v>
      </c>
      <c r="G39" s="5" t="s">
        <v>86</v>
      </c>
      <c r="H39" s="5" t="s">
        <v>71</v>
      </c>
      <c r="I39" s="6">
        <v>20.0</v>
      </c>
      <c r="J39" s="5" t="s">
        <v>85</v>
      </c>
      <c r="K39" s="3" t="s">
        <v>65</v>
      </c>
      <c r="L39" s="5" t="s">
        <v>66</v>
      </c>
      <c r="M39" s="3" t="s">
        <v>67</v>
      </c>
      <c r="N39" s="3" t="s">
        <v>80</v>
      </c>
      <c r="O39" s="3" t="s">
        <v>69</v>
      </c>
      <c r="P39" s="5" t="s">
        <v>70</v>
      </c>
      <c r="Q39" s="3"/>
      <c r="R39" s="7">
        <v>996.917415142059</v>
      </c>
      <c r="S39" s="7">
        <v>426.296114683151</v>
      </c>
      <c r="T39" s="7">
        <v>1.717597214069</v>
      </c>
      <c r="U39" s="7">
        <v>5.037100292262</v>
      </c>
      <c r="V39" s="7">
        <v>2.24434852290414</v>
      </c>
      <c r="W39" s="7">
        <v>0.813319472917432</v>
      </c>
      <c r="X39" s="7">
        <v>0.0523137069651024</v>
      </c>
      <c r="Y39" s="7">
        <v>0.00458872594780253</v>
      </c>
      <c r="Z39" s="7">
        <v>0.0677401354279907</v>
      </c>
      <c r="AA39" s="7">
        <v>0.895844997194656</v>
      </c>
      <c r="AB39" s="7">
        <v>0.0518929680846147</v>
      </c>
      <c r="AC39" s="7">
        <v>0.0672369523429711</v>
      </c>
      <c r="AD39" s="7">
        <v>0.898418591415632</v>
      </c>
      <c r="AE39" s="7">
        <v>0.0752196162253762</v>
      </c>
      <c r="AF39" s="7">
        <v>0.0988646935005107</v>
      </c>
      <c r="AG39" s="7">
        <v>0.785060202036385</v>
      </c>
      <c r="AH39" s="7">
        <v>10.0</v>
      </c>
      <c r="AI39" s="7">
        <v>1.71759721406898</v>
      </c>
      <c r="AJ39" s="7">
        <v>5.037100292262</v>
      </c>
      <c r="AK39" s="7">
        <v>2.24434852290414</v>
      </c>
      <c r="AL39" s="7">
        <v>0.813151399199093</v>
      </c>
      <c r="AM39" s="7">
        <v>1.27137771807307</v>
      </c>
      <c r="AN39" s="7">
        <v>2.71361485816268</v>
      </c>
      <c r="AO39" s="7">
        <v>1.64730533240279</v>
      </c>
      <c r="AP39" s="7">
        <v>0.898418591415632</v>
      </c>
      <c r="AQ39" s="7">
        <v>1.84288059752174</v>
      </c>
      <c r="AR39" s="7">
        <v>5.86698012947518</v>
      </c>
      <c r="AS39" s="7">
        <v>2.42218499076251</v>
      </c>
      <c r="AT39" s="7">
        <v>0.785060202036385</v>
      </c>
      <c r="AU39" s="8">
        <f t="shared" si="3"/>
        <v>-0.7009663643</v>
      </c>
      <c r="AV39" s="9">
        <f t="shared" si="4"/>
        <v>-0.6647523617</v>
      </c>
      <c r="AW39" s="9">
        <f t="shared" si="5"/>
        <v>-0.7546213516</v>
      </c>
      <c r="AX39" s="10">
        <f t="shared" si="6"/>
        <v>-0.7213074531</v>
      </c>
      <c r="AY39" s="8">
        <f t="shared" si="7"/>
        <v>-0.6658047425</v>
      </c>
      <c r="AZ39" s="10">
        <f t="shared" si="8"/>
        <v>-0.6443430656</v>
      </c>
      <c r="BA39" s="8">
        <f t="shared" si="9"/>
        <v>-0.4450982394</v>
      </c>
      <c r="BB39" s="9">
        <f t="shared" si="10"/>
        <v>-0.6444896775</v>
      </c>
      <c r="BC39" s="10">
        <f t="shared" si="11"/>
        <v>-0.5343736192</v>
      </c>
      <c r="BD39" s="11">
        <f t="shared" ref="BD39:BE39" si="48">((R39-R$68)/R$69)</f>
        <v>0.4516733054</v>
      </c>
      <c r="BE39" s="11">
        <f t="shared" si="48"/>
        <v>0.9187060561</v>
      </c>
      <c r="BF39" s="3"/>
    </row>
    <row r="40">
      <c r="A40" s="3" t="s">
        <v>57</v>
      </c>
      <c r="B40" s="4">
        <f t="shared" si="2"/>
        <v>0.4598835304</v>
      </c>
      <c r="C40" s="3" t="s">
        <v>58</v>
      </c>
      <c r="D40" s="3" t="s">
        <v>59</v>
      </c>
      <c r="E40" s="5" t="s">
        <v>82</v>
      </c>
      <c r="F40" s="3" t="s">
        <v>61</v>
      </c>
      <c r="G40" s="5" t="s">
        <v>83</v>
      </c>
      <c r="H40" s="5" t="s">
        <v>71</v>
      </c>
      <c r="I40" s="6">
        <v>20.0</v>
      </c>
      <c r="J40" s="5" t="s">
        <v>85</v>
      </c>
      <c r="K40" s="3" t="s">
        <v>65</v>
      </c>
      <c r="L40" s="5" t="s">
        <v>66</v>
      </c>
      <c r="M40" s="3" t="s">
        <v>67</v>
      </c>
      <c r="N40" s="3" t="s">
        <v>68</v>
      </c>
      <c r="O40" s="3" t="s">
        <v>69</v>
      </c>
      <c r="P40" s="5" t="s">
        <v>75</v>
      </c>
      <c r="Q40" s="3"/>
      <c r="R40" s="7">
        <v>1154.38261532783</v>
      </c>
      <c r="S40" s="7">
        <v>422.571947574615</v>
      </c>
      <c r="T40" s="7">
        <v>1.66117665159976</v>
      </c>
      <c r="U40" s="7">
        <v>4.4337636226849</v>
      </c>
      <c r="V40" s="7">
        <v>2.10565040371969</v>
      </c>
      <c r="W40" s="7">
        <v>0.835907107525363</v>
      </c>
      <c r="X40" s="7">
        <v>0.0537534542893788</v>
      </c>
      <c r="Y40" s="7">
        <v>0.00438471570356108</v>
      </c>
      <c r="Z40" s="7">
        <v>0.0662171858625922</v>
      </c>
      <c r="AA40" s="7">
        <v>0.901870534769376</v>
      </c>
      <c r="AB40" s="7">
        <v>0.0534913600496273</v>
      </c>
      <c r="AC40" s="7">
        <v>0.0660206702309385</v>
      </c>
      <c r="AD40" s="7">
        <v>0.902918680241469</v>
      </c>
      <c r="AE40" s="7">
        <v>0.0684661049531939</v>
      </c>
      <c r="AF40" s="7">
        <v>0.0872553841553519</v>
      </c>
      <c r="AG40" s="7">
        <v>0.831122603297791</v>
      </c>
      <c r="AH40" s="7">
        <v>10.0</v>
      </c>
      <c r="AI40" s="7">
        <v>1.66117665159977</v>
      </c>
      <c r="AJ40" s="7">
        <v>4.4337636226849</v>
      </c>
      <c r="AK40" s="7">
        <v>2.10565040371969</v>
      </c>
      <c r="AL40" s="7">
        <v>0.835884174928174</v>
      </c>
      <c r="AM40" s="7">
        <v>1.31053832121579</v>
      </c>
      <c r="AN40" s="7">
        <v>2.61632702086983</v>
      </c>
      <c r="AO40" s="7">
        <v>1.61750642065799</v>
      </c>
      <c r="AP40" s="7">
        <v>0.902918680241469</v>
      </c>
      <c r="AQ40" s="7">
        <v>1.67741957135318</v>
      </c>
      <c r="AR40" s="7">
        <v>4.57000461397485</v>
      </c>
      <c r="AS40" s="7">
        <v>2.13775691180612</v>
      </c>
      <c r="AT40" s="7">
        <v>0.831122603297791</v>
      </c>
      <c r="AU40" s="8">
        <f t="shared" si="3"/>
        <v>-0.6679481147</v>
      </c>
      <c r="AV40" s="9">
        <f t="shared" si="4"/>
        <v>-0.6855468525</v>
      </c>
      <c r="AW40" s="9">
        <f t="shared" si="5"/>
        <v>-0.9424787083</v>
      </c>
      <c r="AX40" s="10">
        <f t="shared" si="6"/>
        <v>-0.9930777697</v>
      </c>
      <c r="AY40" s="8">
        <f t="shared" si="7"/>
        <v>-0.7207346063</v>
      </c>
      <c r="AZ40" s="10">
        <f t="shared" si="8"/>
        <v>-0.7578850541</v>
      </c>
      <c r="BA40" s="8">
        <f t="shared" si="9"/>
        <v>-0.4543591936</v>
      </c>
      <c r="BB40" s="9">
        <f t="shared" si="10"/>
        <v>-0.7904731257</v>
      </c>
      <c r="BC40" s="10">
        <f t="shared" si="11"/>
        <v>-0.5909014075</v>
      </c>
      <c r="BD40" s="11">
        <f t="shared" ref="BD40:BE40" si="49">((R40-R$68)/R$69)</f>
        <v>0.6535645152</v>
      </c>
      <c r="BE40" s="11">
        <f t="shared" si="49"/>
        <v>0.8911214827</v>
      </c>
      <c r="BF40" s="3"/>
    </row>
    <row r="41">
      <c r="A41" s="3" t="s">
        <v>57</v>
      </c>
      <c r="B41" s="4">
        <f t="shared" si="2"/>
        <v>-0.664469136</v>
      </c>
      <c r="C41" s="3" t="s">
        <v>58</v>
      </c>
      <c r="D41" s="3" t="s">
        <v>59</v>
      </c>
      <c r="E41" s="5" t="s">
        <v>60</v>
      </c>
      <c r="F41" s="3" t="s">
        <v>78</v>
      </c>
      <c r="G41" s="5" t="s">
        <v>60</v>
      </c>
      <c r="H41" s="5" t="s">
        <v>71</v>
      </c>
      <c r="I41" s="6">
        <v>20.0</v>
      </c>
      <c r="J41" s="5" t="s">
        <v>85</v>
      </c>
      <c r="K41" s="3" t="s">
        <v>65</v>
      </c>
      <c r="L41" s="5" t="s">
        <v>73</v>
      </c>
      <c r="M41" s="3" t="s">
        <v>74</v>
      </c>
      <c r="N41" s="3" t="s">
        <v>84</v>
      </c>
      <c r="O41" s="3" t="s">
        <v>69</v>
      </c>
      <c r="P41" s="5" t="s">
        <v>85</v>
      </c>
      <c r="Q41" s="5" t="s">
        <v>75</v>
      </c>
      <c r="R41" s="7">
        <v>514.102283477783</v>
      </c>
      <c r="S41" s="7">
        <v>182.782363653182</v>
      </c>
      <c r="T41" s="7">
        <v>3.55485000301286</v>
      </c>
      <c r="U41" s="7">
        <v>16.6695869099834</v>
      </c>
      <c r="V41" s="7">
        <v>4.08284054427593</v>
      </c>
      <c r="W41" s="7">
        <v>0.361961519479525</v>
      </c>
      <c r="X41" s="7">
        <v>0.142784575323373</v>
      </c>
      <c r="Y41" s="7">
        <v>0.0264017070454975</v>
      </c>
      <c r="Z41" s="7">
        <v>0.162486021077191</v>
      </c>
      <c r="AA41" s="7">
        <v>0.438632049266097</v>
      </c>
      <c r="AB41" s="7">
        <v>0.140185102628701</v>
      </c>
      <c r="AC41" s="7">
        <v>0.160809813489521</v>
      </c>
      <c r="AD41" s="7">
        <v>0.456323905441592</v>
      </c>
      <c r="AE41" s="7">
        <v>0.158536618976094</v>
      </c>
      <c r="AF41" s="7">
        <v>0.183011180512141</v>
      </c>
      <c r="AG41" s="7">
        <v>0.305651486638261</v>
      </c>
      <c r="AH41" s="7">
        <v>10.0</v>
      </c>
      <c r="AI41" s="7">
        <v>3.55485000301286</v>
      </c>
      <c r="AJ41" s="7">
        <v>16.6695869099834</v>
      </c>
      <c r="AK41" s="7">
        <v>4.08284054427593</v>
      </c>
      <c r="AL41" s="7">
        <v>0.361857584663094</v>
      </c>
      <c r="AM41" s="7">
        <v>3.26903871268878</v>
      </c>
      <c r="AN41" s="7">
        <v>14.0624663384478</v>
      </c>
      <c r="AO41" s="7">
        <v>3.74999551179036</v>
      </c>
      <c r="AP41" s="7">
        <v>0.456323905441592</v>
      </c>
      <c r="AQ41" s="7">
        <v>3.6969858786231</v>
      </c>
      <c r="AR41" s="7">
        <v>18.2134259466222</v>
      </c>
      <c r="AS41" s="7">
        <v>4.26771905666507</v>
      </c>
      <c r="AT41" s="7">
        <v>0.305651486638261</v>
      </c>
      <c r="AU41" s="8">
        <f t="shared" si="3"/>
        <v>1.122898992</v>
      </c>
      <c r="AV41" s="9">
        <f t="shared" si="4"/>
        <v>0.9350409538</v>
      </c>
      <c r="AW41" s="9">
        <f t="shared" si="5"/>
        <v>1.350450309</v>
      </c>
      <c r="AX41" s="10">
        <f t="shared" si="6"/>
        <v>1.042095721</v>
      </c>
      <c r="AY41" s="8">
        <f t="shared" si="7"/>
        <v>1.122905634</v>
      </c>
      <c r="AZ41" s="10">
        <f t="shared" si="8"/>
        <v>0.8606956555</v>
      </c>
      <c r="BA41" s="8">
        <f t="shared" si="9"/>
        <v>0.464710163</v>
      </c>
      <c r="BB41" s="9">
        <f t="shared" si="10"/>
        <v>0.8748782992</v>
      </c>
      <c r="BC41" s="10">
        <f t="shared" si="11"/>
        <v>0.5878228757</v>
      </c>
      <c r="BD41" s="11">
        <f t="shared" ref="BD41:BE41" si="50">((R41-R$68)/R$69)</f>
        <v>-0.1673595405</v>
      </c>
      <c r="BE41" s="11">
        <f t="shared" si="50"/>
        <v>-0.8849785661</v>
      </c>
      <c r="BF41" s="3"/>
    </row>
    <row r="42">
      <c r="A42" s="3" t="s">
        <v>57</v>
      </c>
      <c r="B42" s="4">
        <f t="shared" si="2"/>
        <v>0.5214165669</v>
      </c>
      <c r="C42" s="3" t="s">
        <v>58</v>
      </c>
      <c r="D42" s="3" t="s">
        <v>59</v>
      </c>
      <c r="E42" s="5" t="s">
        <v>60</v>
      </c>
      <c r="F42" s="3" t="s">
        <v>61</v>
      </c>
      <c r="G42" s="5" t="s">
        <v>62</v>
      </c>
      <c r="H42" s="5" t="s">
        <v>63</v>
      </c>
      <c r="I42" s="6">
        <v>150.0</v>
      </c>
      <c r="J42" s="5" t="s">
        <v>85</v>
      </c>
      <c r="K42" s="3" t="s">
        <v>65</v>
      </c>
      <c r="L42" s="5" t="s">
        <v>66</v>
      </c>
      <c r="M42" s="3" t="s">
        <v>74</v>
      </c>
      <c r="N42" s="3" t="s">
        <v>84</v>
      </c>
      <c r="O42" s="3" t="s">
        <v>69</v>
      </c>
      <c r="P42" s="5" t="s">
        <v>81</v>
      </c>
      <c r="Q42" s="3"/>
      <c r="R42" s="7">
        <v>465.670427322387</v>
      </c>
      <c r="S42" s="7">
        <v>172.765131711959</v>
      </c>
      <c r="T42" s="7">
        <v>1.82454360663543</v>
      </c>
      <c r="U42" s="7">
        <v>5.57813053221568</v>
      </c>
      <c r="V42" s="7">
        <v>2.36180662464472</v>
      </c>
      <c r="W42" s="7">
        <v>0.785849951634208</v>
      </c>
      <c r="X42" s="7">
        <v>0.0483173003267251</v>
      </c>
      <c r="Y42" s="7">
        <v>0.00365614784422037</v>
      </c>
      <c r="Z42" s="7">
        <v>0.0604660883820044</v>
      </c>
      <c r="AA42" s="7">
        <v>0.923094821081039</v>
      </c>
      <c r="AB42" s="7">
        <v>0.0480921394122614</v>
      </c>
      <c r="AC42" s="7">
        <v>0.0602888029334747</v>
      </c>
      <c r="AD42" s="7">
        <v>0.923916984454426</v>
      </c>
      <c r="AE42" s="7">
        <v>0.0966828361748651</v>
      </c>
      <c r="AF42" s="7">
        <v>0.122955885505641</v>
      </c>
      <c r="AG42" s="7">
        <v>0.684878764445308</v>
      </c>
      <c r="AH42" s="7">
        <v>10.0</v>
      </c>
      <c r="AI42" s="7">
        <v>1.82454360663543</v>
      </c>
      <c r="AJ42" s="7">
        <v>5.57813053221568</v>
      </c>
      <c r="AK42" s="7">
        <v>2.36180662464472</v>
      </c>
      <c r="AL42" s="7">
        <v>0.785764205586936</v>
      </c>
      <c r="AM42" s="7">
        <v>1.1214819732387</v>
      </c>
      <c r="AN42" s="7">
        <v>1.97655872017318</v>
      </c>
      <c r="AO42" s="7">
        <v>1.40590139062922</v>
      </c>
      <c r="AP42" s="7">
        <v>0.923916984454426</v>
      </c>
      <c r="AQ42" s="7">
        <v>2.25459002691109</v>
      </c>
      <c r="AR42" s="7">
        <v>8.22119677378545</v>
      </c>
      <c r="AS42" s="7">
        <v>2.86726294116627</v>
      </c>
      <c r="AT42" s="7">
        <v>0.684878764445308</v>
      </c>
      <c r="AU42" s="8">
        <f t="shared" si="3"/>
        <v>-0.7794807164</v>
      </c>
      <c r="AV42" s="9">
        <f t="shared" si="4"/>
        <v>-0.7835432467</v>
      </c>
      <c r="AW42" s="9">
        <f t="shared" si="5"/>
        <v>-0.2871841133</v>
      </c>
      <c r="AX42" s="10">
        <f t="shared" si="6"/>
        <v>-0.296036587</v>
      </c>
      <c r="AY42" s="8">
        <f t="shared" si="7"/>
        <v>-0.5616840014</v>
      </c>
      <c r="AZ42" s="10">
        <f t="shared" si="8"/>
        <v>-0.5481887233</v>
      </c>
      <c r="BA42" s="8">
        <f t="shared" si="9"/>
        <v>-0.4975726368</v>
      </c>
      <c r="BB42" s="9">
        <f t="shared" si="10"/>
        <v>-0.3269892582</v>
      </c>
      <c r="BC42" s="10">
        <f t="shared" si="11"/>
        <v>-0.4662720594</v>
      </c>
      <c r="BD42" s="11">
        <f t="shared" ref="BD42:BE42" si="51">((R42-R$68)/R$69)</f>
        <v>-0.2294555847</v>
      </c>
      <c r="BE42" s="11">
        <f t="shared" si="51"/>
        <v>-0.9591753091</v>
      </c>
      <c r="BF42" s="3"/>
    </row>
    <row r="43">
      <c r="A43" s="3" t="s">
        <v>77</v>
      </c>
      <c r="B43" s="4">
        <f t="shared" si="2"/>
        <v>0.2661238889</v>
      </c>
      <c r="C43" s="3" t="s">
        <v>58</v>
      </c>
      <c r="D43" s="3" t="s">
        <v>59</v>
      </c>
      <c r="E43" s="5" t="s">
        <v>82</v>
      </c>
      <c r="F43" s="3" t="s">
        <v>61</v>
      </c>
      <c r="G43" s="5" t="s">
        <v>83</v>
      </c>
      <c r="H43" s="5" t="s">
        <v>71</v>
      </c>
      <c r="I43" s="6">
        <v>150.0</v>
      </c>
      <c r="J43" s="5" t="s">
        <v>85</v>
      </c>
      <c r="K43" s="3" t="s">
        <v>72</v>
      </c>
      <c r="L43" s="5" t="s">
        <v>66</v>
      </c>
      <c r="M43" s="3" t="s">
        <v>79</v>
      </c>
      <c r="N43" s="3" t="s">
        <v>68</v>
      </c>
      <c r="O43" s="3" t="s">
        <v>69</v>
      </c>
      <c r="P43" s="5" t="s">
        <v>88</v>
      </c>
      <c r="Q43" s="3"/>
      <c r="R43" s="7">
        <v>485.000253200531</v>
      </c>
      <c r="S43" s="7">
        <v>431.422343730926</v>
      </c>
      <c r="T43" s="7">
        <v>1.98113404481468</v>
      </c>
      <c r="U43" s="7">
        <v>6.3341949627075</v>
      </c>
      <c r="V43" s="7">
        <v>2.51678266099945</v>
      </c>
      <c r="W43" s="7">
        <v>0.76556942044884</v>
      </c>
      <c r="X43" s="7">
        <v>0.0683691281840303</v>
      </c>
      <c r="Y43" s="7">
        <v>0.00722539048551046</v>
      </c>
      <c r="Z43" s="7">
        <v>0.085002296942556</v>
      </c>
      <c r="AA43" s="7">
        <v>0.838296539077837</v>
      </c>
      <c r="AB43" s="7">
        <v>0.0685663080321903</v>
      </c>
      <c r="AC43" s="7">
        <v>0.0851094244641138</v>
      </c>
      <c r="AD43" s="7">
        <v>0.83866406094221</v>
      </c>
      <c r="AE43" s="7">
        <v>0.0863292323468714</v>
      </c>
      <c r="AF43" s="7">
        <v>0.109648250744429</v>
      </c>
      <c r="AG43" s="7">
        <v>0.733319984929179</v>
      </c>
      <c r="AH43" s="7">
        <v>10.0</v>
      </c>
      <c r="AI43" s="7">
        <v>1.9811340448146</v>
      </c>
      <c r="AJ43" s="7">
        <v>6.3341949627075</v>
      </c>
      <c r="AK43" s="7">
        <v>2.51678266099945</v>
      </c>
      <c r="AL43" s="7">
        <v>0.765539681197294</v>
      </c>
      <c r="AM43" s="7">
        <v>1.67987454678869</v>
      </c>
      <c r="AN43" s="7">
        <v>4.34797938310077</v>
      </c>
      <c r="AO43" s="7">
        <v>2.08518089937078</v>
      </c>
      <c r="AP43" s="7">
        <v>0.83866406094221</v>
      </c>
      <c r="AQ43" s="7">
        <v>2.11506619249841</v>
      </c>
      <c r="AR43" s="7">
        <v>7.2166490195108</v>
      </c>
      <c r="AS43" s="7">
        <v>2.68638214323852</v>
      </c>
      <c r="AT43" s="7">
        <v>0.733319984929179</v>
      </c>
      <c r="AU43" s="8">
        <f t="shared" si="3"/>
        <v>-0.3565423988</v>
      </c>
      <c r="AV43" s="9">
        <f t="shared" si="4"/>
        <v>-0.3591908872</v>
      </c>
      <c r="AW43" s="9">
        <f t="shared" si="5"/>
        <v>-0.4455934942</v>
      </c>
      <c r="AX43" s="10">
        <f t="shared" si="6"/>
        <v>-0.4688677361</v>
      </c>
      <c r="AY43" s="8">
        <f t="shared" si="7"/>
        <v>-0.4092308696</v>
      </c>
      <c r="AZ43" s="10">
        <f t="shared" si="8"/>
        <v>-0.4213211966</v>
      </c>
      <c r="BA43" s="8">
        <f t="shared" si="9"/>
        <v>-0.3221264516</v>
      </c>
      <c r="BB43" s="9">
        <f t="shared" si="10"/>
        <v>-0.4805117887</v>
      </c>
      <c r="BC43" s="10">
        <f t="shared" si="11"/>
        <v>-0.4159813405</v>
      </c>
      <c r="BD43" s="11">
        <f t="shared" ref="BD43:BE43" si="52">((R43-R$68)/R$69)</f>
        <v>-0.2046721918</v>
      </c>
      <c r="BE43" s="11">
        <f t="shared" si="52"/>
        <v>0.9566755772</v>
      </c>
      <c r="BF43" s="3"/>
    </row>
    <row r="44">
      <c r="A44" s="3" t="s">
        <v>57</v>
      </c>
      <c r="B44" s="4">
        <f t="shared" si="2"/>
        <v>0.3672408453</v>
      </c>
      <c r="C44" s="3" t="s">
        <v>58</v>
      </c>
      <c r="D44" s="3" t="s">
        <v>59</v>
      </c>
      <c r="E44" s="5" t="s">
        <v>60</v>
      </c>
      <c r="F44" s="3" t="s">
        <v>61</v>
      </c>
      <c r="G44" s="5" t="s">
        <v>62</v>
      </c>
      <c r="H44" s="5" t="s">
        <v>71</v>
      </c>
      <c r="I44" s="6">
        <v>150.0</v>
      </c>
      <c r="J44" s="5" t="s">
        <v>85</v>
      </c>
      <c r="K44" s="3" t="s">
        <v>72</v>
      </c>
      <c r="L44" s="5" t="s">
        <v>73</v>
      </c>
      <c r="M44" s="3" t="s">
        <v>67</v>
      </c>
      <c r="N44" s="3" t="s">
        <v>80</v>
      </c>
      <c r="O44" s="3" t="s">
        <v>69</v>
      </c>
      <c r="P44" s="5" t="s">
        <v>75</v>
      </c>
      <c r="Q44" s="5" t="s">
        <v>75</v>
      </c>
      <c r="R44" s="7">
        <v>708.620740175247</v>
      </c>
      <c r="S44" s="7">
        <v>178.238870382308</v>
      </c>
      <c r="T44" s="7">
        <v>2.06211516164134</v>
      </c>
      <c r="U44" s="7">
        <v>6.83384858578939</v>
      </c>
      <c r="V44" s="7">
        <v>2.61416307559214</v>
      </c>
      <c r="W44" s="7">
        <v>0.739427814756824</v>
      </c>
      <c r="X44" s="7">
        <v>0.0662777910260171</v>
      </c>
      <c r="Y44" s="7">
        <v>0.0067950112416392</v>
      </c>
      <c r="Z44" s="7">
        <v>0.0824318581716996</v>
      </c>
      <c r="AA44" s="7">
        <v>0.857772829132559</v>
      </c>
      <c r="AB44" s="7">
        <v>0.0659600512880123</v>
      </c>
      <c r="AC44" s="7">
        <v>0.0821841088511626</v>
      </c>
      <c r="AD44" s="7">
        <v>0.859337551451631</v>
      </c>
      <c r="AE44" s="7">
        <v>0.0957801842351639</v>
      </c>
      <c r="AF44" s="7">
        <v>0.121553495401564</v>
      </c>
      <c r="AG44" s="7">
        <v>0.694553794188387</v>
      </c>
      <c r="AH44" s="7">
        <v>10.0</v>
      </c>
      <c r="AI44" s="7">
        <v>2.06211516164134</v>
      </c>
      <c r="AJ44" s="7">
        <v>6.83384858578939</v>
      </c>
      <c r="AK44" s="7">
        <v>2.61416307559214</v>
      </c>
      <c r="AL44" s="7">
        <v>0.739322526152619</v>
      </c>
      <c r="AM44" s="7">
        <v>1.53815175156353</v>
      </c>
      <c r="AN44" s="7">
        <v>3.67292533641791</v>
      </c>
      <c r="AO44" s="7">
        <v>1.91648776057086</v>
      </c>
      <c r="AP44" s="7">
        <v>0.85933755145163</v>
      </c>
      <c r="AQ44" s="7">
        <v>2.23354068515056</v>
      </c>
      <c r="AR44" s="7">
        <v>8.03473029747904</v>
      </c>
      <c r="AS44" s="7">
        <v>2.83455998304481</v>
      </c>
      <c r="AT44" s="7">
        <v>0.694553794188387</v>
      </c>
      <c r="AU44" s="8">
        <f t="shared" si="3"/>
        <v>-0.4103802792</v>
      </c>
      <c r="AV44" s="9">
        <f t="shared" si="4"/>
        <v>-0.4092043238</v>
      </c>
      <c r="AW44" s="9">
        <f t="shared" si="5"/>
        <v>-0.3110826336</v>
      </c>
      <c r="AX44" s="10">
        <f t="shared" si="6"/>
        <v>-0.3272841815</v>
      </c>
      <c r="AY44" s="8">
        <f t="shared" si="7"/>
        <v>-0.3303893706</v>
      </c>
      <c r="AZ44" s="10">
        <f t="shared" si="8"/>
        <v>-0.3416029857</v>
      </c>
      <c r="BA44" s="8">
        <f t="shared" si="9"/>
        <v>-0.3646714447</v>
      </c>
      <c r="BB44" s="9">
        <f t="shared" si="10"/>
        <v>-0.3576518847</v>
      </c>
      <c r="BC44" s="10">
        <f t="shared" si="11"/>
        <v>-0.3507892227</v>
      </c>
      <c r="BD44" s="11">
        <f t="shared" ref="BD44:BE44" si="53">((R44-R$68)/R$69)</f>
        <v>0.08203884397</v>
      </c>
      <c r="BE44" s="11">
        <f t="shared" si="53"/>
        <v>-0.9186318153</v>
      </c>
      <c r="BF44" s="3"/>
    </row>
    <row r="45">
      <c r="A45" s="3" t="s">
        <v>77</v>
      </c>
      <c r="B45" s="4">
        <f t="shared" si="2"/>
        <v>-0.01122529865</v>
      </c>
      <c r="C45" s="3" t="s">
        <v>58</v>
      </c>
      <c r="D45" s="3" t="s">
        <v>59</v>
      </c>
      <c r="E45" s="5" t="s">
        <v>60</v>
      </c>
      <c r="F45" s="3" t="s">
        <v>78</v>
      </c>
      <c r="G45" s="5" t="s">
        <v>60</v>
      </c>
      <c r="H45" s="5" t="s">
        <v>63</v>
      </c>
      <c r="I45" s="6">
        <v>150.0</v>
      </c>
      <c r="J45" s="5" t="s">
        <v>85</v>
      </c>
      <c r="K45" s="3" t="s">
        <v>65</v>
      </c>
      <c r="L45" s="5" t="s">
        <v>73</v>
      </c>
      <c r="M45" s="3" t="s">
        <v>74</v>
      </c>
      <c r="N45" s="3" t="s">
        <v>84</v>
      </c>
      <c r="O45" s="3" t="s">
        <v>69</v>
      </c>
      <c r="P45" s="5" t="s">
        <v>75</v>
      </c>
      <c r="Q45" s="5" t="s">
        <v>75</v>
      </c>
      <c r="R45" s="7">
        <v>379.280157804489</v>
      </c>
      <c r="S45" s="7">
        <v>172.466758728027</v>
      </c>
      <c r="T45" s="7">
        <v>2.58240190251149</v>
      </c>
      <c r="U45" s="7">
        <v>11.558954290386</v>
      </c>
      <c r="V45" s="7">
        <v>3.39984621569652</v>
      </c>
      <c r="W45" s="7">
        <v>0.555937163999436</v>
      </c>
      <c r="X45" s="7">
        <v>0.0828455707035777</v>
      </c>
      <c r="Y45" s="7">
        <v>0.0110845634089508</v>
      </c>
      <c r="Z45" s="7">
        <v>0.105283253221729</v>
      </c>
      <c r="AA45" s="7">
        <v>0.763321516551302</v>
      </c>
      <c r="AB45" s="7">
        <v>0.0824835595486272</v>
      </c>
      <c r="AC45" s="7">
        <v>0.104630782157014</v>
      </c>
      <c r="AD45" s="7">
        <v>0.768746419021721</v>
      </c>
      <c r="AE45" s="7">
        <v>0.117401072004671</v>
      </c>
      <c r="AF45" s="7">
        <v>0.1593889781349</v>
      </c>
      <c r="AG45" s="7">
        <v>0.475505788238531</v>
      </c>
      <c r="AH45" s="7">
        <v>10.0</v>
      </c>
      <c r="AI45" s="7">
        <v>2.58240190251149</v>
      </c>
      <c r="AJ45" s="7">
        <v>11.5589542903859</v>
      </c>
      <c r="AK45" s="7">
        <v>3.39984621569652</v>
      </c>
      <c r="AL45" s="7">
        <v>0.55545747251738</v>
      </c>
      <c r="AM45" s="7">
        <v>1.92347078447425</v>
      </c>
      <c r="AN45" s="7">
        <v>5.95326675770689</v>
      </c>
      <c r="AO45" s="7">
        <v>2.43993171168926</v>
      </c>
      <c r="AP45" s="7">
        <v>0.768746419021721</v>
      </c>
      <c r="AQ45" s="7">
        <v>2.73772777633116</v>
      </c>
      <c r="AR45" s="7">
        <v>13.8150662542153</v>
      </c>
      <c r="AS45" s="7">
        <v>3.71686242067357</v>
      </c>
      <c r="AT45" s="7">
        <v>0.475505788238531</v>
      </c>
      <c r="AU45" s="8">
        <f t="shared" si="3"/>
        <v>-0.06905141187</v>
      </c>
      <c r="AV45" s="9">
        <f t="shared" si="4"/>
        <v>-0.02543880175</v>
      </c>
      <c r="AW45" s="9">
        <f t="shared" si="5"/>
        <v>0.2613497779</v>
      </c>
      <c r="AX45" s="10">
        <f t="shared" si="6"/>
        <v>0.5157535863</v>
      </c>
      <c r="AY45" s="8">
        <f t="shared" si="7"/>
        <v>0.1761507732</v>
      </c>
      <c r="AZ45" s="10">
        <f t="shared" si="8"/>
        <v>0.3015782382</v>
      </c>
      <c r="BA45" s="8">
        <f t="shared" si="9"/>
        <v>-0.1782394968</v>
      </c>
      <c r="BB45" s="9">
        <f t="shared" si="10"/>
        <v>0.3365668788</v>
      </c>
      <c r="BC45" s="10">
        <f t="shared" si="11"/>
        <v>0.1064134069</v>
      </c>
      <c r="BD45" s="11">
        <f t="shared" ref="BD45:BE45" si="54">((R45-R$68)/R$69)</f>
        <v>-0.3402193344</v>
      </c>
      <c r="BE45" s="11">
        <f t="shared" si="54"/>
        <v>-0.9613853312</v>
      </c>
      <c r="BF45" s="3"/>
    </row>
    <row r="46">
      <c r="A46" s="3" t="s">
        <v>77</v>
      </c>
      <c r="B46" s="4">
        <f t="shared" si="2"/>
        <v>-0.1390347092</v>
      </c>
      <c r="C46" s="3" t="s">
        <v>58</v>
      </c>
      <c r="D46" s="3" t="s">
        <v>59</v>
      </c>
      <c r="E46" s="5" t="s">
        <v>60</v>
      </c>
      <c r="F46" s="3" t="s">
        <v>78</v>
      </c>
      <c r="G46" s="5" t="s">
        <v>60</v>
      </c>
      <c r="H46" s="5" t="s">
        <v>71</v>
      </c>
      <c r="I46" s="6">
        <v>150.0</v>
      </c>
      <c r="J46" s="5" t="s">
        <v>85</v>
      </c>
      <c r="K46" s="3" t="s">
        <v>72</v>
      </c>
      <c r="L46" s="5" t="s">
        <v>66</v>
      </c>
      <c r="M46" s="3" t="s">
        <v>67</v>
      </c>
      <c r="N46" s="3" t="s">
        <v>68</v>
      </c>
      <c r="O46" s="3" t="s">
        <v>69</v>
      </c>
      <c r="P46" s="5" t="s">
        <v>87</v>
      </c>
      <c r="Q46" s="3"/>
      <c r="R46" s="7">
        <v>471.750284433364</v>
      </c>
      <c r="S46" s="7">
        <v>165.204228639602</v>
      </c>
      <c r="T46" s="7">
        <v>2.75289642440597</v>
      </c>
      <c r="U46" s="7">
        <v>12.9259249654595</v>
      </c>
      <c r="V46" s="7">
        <v>3.59526424139583</v>
      </c>
      <c r="W46" s="7">
        <v>0.505329130963248</v>
      </c>
      <c r="X46" s="7">
        <v>0.102940263471472</v>
      </c>
      <c r="Y46" s="7">
        <v>0.0164541789752556</v>
      </c>
      <c r="Z46" s="7">
        <v>0.128273843690971</v>
      </c>
      <c r="AA46" s="7">
        <v>0.65014198830286</v>
      </c>
      <c r="AB46" s="7">
        <v>0.102719177833784</v>
      </c>
      <c r="AC46" s="7">
        <v>0.127651563668076</v>
      </c>
      <c r="AD46" s="7">
        <v>0.657415729207322</v>
      </c>
      <c r="AE46" s="7">
        <v>0.116516218532733</v>
      </c>
      <c r="AF46" s="7">
        <v>0.156273274985553</v>
      </c>
      <c r="AG46" s="7">
        <v>0.493718926335934</v>
      </c>
      <c r="AH46" s="7">
        <v>10.0</v>
      </c>
      <c r="AI46" s="7">
        <v>2.75289642440597</v>
      </c>
      <c r="AJ46" s="7">
        <v>12.9259249654595</v>
      </c>
      <c r="AK46" s="7">
        <v>3.59526424139583</v>
      </c>
      <c r="AL46" s="7">
        <v>0.505171842441885</v>
      </c>
      <c r="AM46" s="7">
        <v>2.39535416087395</v>
      </c>
      <c r="AN46" s="7">
        <v>8.86112121596359</v>
      </c>
      <c r="AO46" s="7">
        <v>2.97676354720417</v>
      </c>
      <c r="AP46" s="7">
        <v>0.657415729207322</v>
      </c>
      <c r="AQ46" s="7">
        <v>2.71709348495081</v>
      </c>
      <c r="AR46" s="7">
        <v>13.280237036459</v>
      </c>
      <c r="AS46" s="7">
        <v>3.64420595417699</v>
      </c>
      <c r="AT46" s="7">
        <v>0.493718926335934</v>
      </c>
      <c r="AU46" s="8">
        <f t="shared" si="3"/>
        <v>0.3489591317</v>
      </c>
      <c r="AV46" s="9">
        <f t="shared" si="4"/>
        <v>0.368142114</v>
      </c>
      <c r="AW46" s="9">
        <f t="shared" si="5"/>
        <v>0.2379224879</v>
      </c>
      <c r="AX46" s="10">
        <f t="shared" si="6"/>
        <v>0.4463305146</v>
      </c>
      <c r="AY46" s="8">
        <f t="shared" si="7"/>
        <v>0.3421406262</v>
      </c>
      <c r="AZ46" s="10">
        <f t="shared" si="8"/>
        <v>0.4615526585</v>
      </c>
      <c r="BA46" s="8">
        <f t="shared" si="9"/>
        <v>0.05087340646</v>
      </c>
      <c r="BB46" s="9">
        <f t="shared" si="10"/>
        <v>0.2788448185</v>
      </c>
      <c r="BC46" s="10">
        <f t="shared" si="11"/>
        <v>0.2314546904</v>
      </c>
      <c r="BD46" s="11">
        <f t="shared" ref="BD46:BE46" si="55">((R46-R$68)/R$69)</f>
        <v>-0.2216604039</v>
      </c>
      <c r="BE46" s="11">
        <f t="shared" si="55"/>
        <v>-1.015178243</v>
      </c>
      <c r="BF46" s="3"/>
    </row>
    <row r="47">
      <c r="A47" s="3" t="s">
        <v>57</v>
      </c>
      <c r="B47" s="4">
        <f t="shared" si="2"/>
        <v>-0.4718999973</v>
      </c>
      <c r="C47" s="3" t="s">
        <v>58</v>
      </c>
      <c r="D47" s="3" t="s">
        <v>59</v>
      </c>
      <c r="E47" s="5" t="s">
        <v>82</v>
      </c>
      <c r="F47" s="3" t="s">
        <v>78</v>
      </c>
      <c r="G47" s="5" t="s">
        <v>86</v>
      </c>
      <c r="H47" s="5" t="s">
        <v>71</v>
      </c>
      <c r="I47" s="6">
        <v>150.0</v>
      </c>
      <c r="J47" s="5" t="s">
        <v>85</v>
      </c>
      <c r="K47" s="3" t="s">
        <v>72</v>
      </c>
      <c r="L47" s="5" t="s">
        <v>66</v>
      </c>
      <c r="M47" s="3" t="s">
        <v>67</v>
      </c>
      <c r="N47" s="3" t="s">
        <v>80</v>
      </c>
      <c r="O47" s="3" t="s">
        <v>69</v>
      </c>
      <c r="P47" s="5" t="s">
        <v>75</v>
      </c>
      <c r="Q47" s="3"/>
      <c r="R47" s="7">
        <v>745.64835190773</v>
      </c>
      <c r="S47" s="7">
        <v>407.181503057479</v>
      </c>
      <c r="T47" s="7">
        <v>3.08015964598958</v>
      </c>
      <c r="U47" s="7">
        <v>14.6725169083724</v>
      </c>
      <c r="V47" s="7">
        <v>3.83047215214684</v>
      </c>
      <c r="W47" s="7">
        <v>0.456640265024554</v>
      </c>
      <c r="X47" s="7">
        <v>0.0768554553765838</v>
      </c>
      <c r="Y47" s="7">
        <v>0.00894872752005794</v>
      </c>
      <c r="Z47" s="7">
        <v>0.0945977141375939</v>
      </c>
      <c r="AA47" s="7">
        <v>0.79688158531188</v>
      </c>
      <c r="AB47" s="7">
        <v>0.0763342175886605</v>
      </c>
      <c r="AC47" s="7">
        <v>0.0939302194352662</v>
      </c>
      <c r="AD47" s="7">
        <v>0.801751977151923</v>
      </c>
      <c r="AE47" s="7">
        <v>0.143965159556305</v>
      </c>
      <c r="AF47" s="7">
        <v>0.179950321990017</v>
      </c>
      <c r="AG47" s="7">
        <v>0.28790220024759</v>
      </c>
      <c r="AH47" s="7">
        <v>10.0</v>
      </c>
      <c r="AI47" s="7">
        <v>3.08015964598942</v>
      </c>
      <c r="AJ47" s="7">
        <v>14.6725169083724</v>
      </c>
      <c r="AK47" s="7">
        <v>3.83047215214684</v>
      </c>
      <c r="AL47" s="7">
        <v>0.455730659409622</v>
      </c>
      <c r="AM47" s="7">
        <v>1.87018833092223</v>
      </c>
      <c r="AN47" s="7">
        <v>5.29593739542515</v>
      </c>
      <c r="AO47" s="7">
        <v>2.30129037616402</v>
      </c>
      <c r="AP47" s="7">
        <v>0.801751977151923</v>
      </c>
      <c r="AQ47" s="7">
        <v>3.52714640912923</v>
      </c>
      <c r="AR47" s="7">
        <v>19.4373665601827</v>
      </c>
      <c r="AS47" s="7">
        <v>4.40878288875543</v>
      </c>
      <c r="AT47" s="7">
        <v>0.28790220024759</v>
      </c>
      <c r="AU47" s="8">
        <f t="shared" si="3"/>
        <v>-0.1960793949</v>
      </c>
      <c r="AV47" s="9">
        <f t="shared" si="4"/>
        <v>-0.2083838192</v>
      </c>
      <c r="AW47" s="9">
        <f t="shared" si="5"/>
        <v>1.157621855</v>
      </c>
      <c r="AX47" s="10">
        <f t="shared" si="6"/>
        <v>1.176881859</v>
      </c>
      <c r="AY47" s="8">
        <f t="shared" si="7"/>
        <v>0.6607571626</v>
      </c>
      <c r="AZ47" s="10">
        <f t="shared" si="8"/>
        <v>0.6541001426</v>
      </c>
      <c r="BA47" s="8">
        <f t="shared" si="9"/>
        <v>-0.2461632586</v>
      </c>
      <c r="BB47" s="9">
        <f t="shared" si="10"/>
        <v>0.9311302957</v>
      </c>
      <c r="BC47" s="10">
        <f t="shared" si="11"/>
        <v>0.3543961545</v>
      </c>
      <c r="BD47" s="11">
        <f t="shared" ref="BD47:BE47" si="56">((R47-R$68)/R$69)</f>
        <v>0.1295131387</v>
      </c>
      <c r="BE47" s="11">
        <f t="shared" si="56"/>
        <v>0.7771258336</v>
      </c>
      <c r="BF47" s="3"/>
    </row>
    <row r="48">
      <c r="A48" s="3" t="s">
        <v>77</v>
      </c>
      <c r="B48" s="4">
        <f t="shared" si="2"/>
        <v>0.1142705059</v>
      </c>
      <c r="C48" s="3" t="s">
        <v>58</v>
      </c>
      <c r="D48" s="3" t="s">
        <v>59</v>
      </c>
      <c r="E48" s="5" t="s">
        <v>82</v>
      </c>
      <c r="F48" s="3" t="s">
        <v>61</v>
      </c>
      <c r="G48" s="5" t="s">
        <v>83</v>
      </c>
      <c r="H48" s="5" t="s">
        <v>63</v>
      </c>
      <c r="I48" s="6">
        <v>150.0</v>
      </c>
      <c r="J48" s="5" t="s">
        <v>85</v>
      </c>
      <c r="K48" s="3" t="s">
        <v>65</v>
      </c>
      <c r="L48" s="5" t="s">
        <v>73</v>
      </c>
      <c r="M48" s="3" t="s">
        <v>67</v>
      </c>
      <c r="N48" s="3" t="s">
        <v>68</v>
      </c>
      <c r="O48" s="3" t="s">
        <v>69</v>
      </c>
      <c r="P48" s="5" t="s">
        <v>81</v>
      </c>
      <c r="Q48" s="5" t="s">
        <v>81</v>
      </c>
      <c r="R48" s="7">
        <v>1720.75284075737</v>
      </c>
      <c r="S48" s="7">
        <v>459.114831686019</v>
      </c>
      <c r="T48" s="7">
        <v>2.03847461919589</v>
      </c>
      <c r="U48" s="7">
        <v>6.59439301725976</v>
      </c>
      <c r="V48" s="7">
        <v>2.56795502633121</v>
      </c>
      <c r="W48" s="7">
        <v>0.755804814212143</v>
      </c>
      <c r="X48" s="7">
        <v>0.0360607673063208</v>
      </c>
      <c r="Y48" s="7">
        <v>0.00213883977285734</v>
      </c>
      <c r="Z48" s="7">
        <v>0.0462475920763162</v>
      </c>
      <c r="AA48" s="7">
        <v>0.952081256989278</v>
      </c>
      <c r="AB48" s="7">
        <v>0.035885035615434</v>
      </c>
      <c r="AC48" s="7">
        <v>0.0461116696016872</v>
      </c>
      <c r="AD48" s="7">
        <v>0.952586326402196</v>
      </c>
      <c r="AE48" s="7">
        <v>0.105142559851324</v>
      </c>
      <c r="AF48" s="7">
        <v>0.129803299806026</v>
      </c>
      <c r="AG48" s="7">
        <v>0.626109111587594</v>
      </c>
      <c r="AH48" s="7">
        <v>10.0</v>
      </c>
      <c r="AI48" s="7">
        <v>2.03847461919594</v>
      </c>
      <c r="AJ48" s="7">
        <v>6.59439301725976</v>
      </c>
      <c r="AK48" s="7">
        <v>2.56795502633121</v>
      </c>
      <c r="AL48" s="7">
        <v>0.755677840511373</v>
      </c>
      <c r="AM48" s="7">
        <v>0.879183372578123</v>
      </c>
      <c r="AN48" s="7">
        <v>1.27630321559146</v>
      </c>
      <c r="AO48" s="7">
        <v>1.12973590524133</v>
      </c>
      <c r="AP48" s="7">
        <v>0.952586326402196</v>
      </c>
      <c r="AQ48" s="7">
        <v>2.57599271635757</v>
      </c>
      <c r="AR48" s="7">
        <v>10.11355020848</v>
      </c>
      <c r="AS48" s="7">
        <v>3.18018084524764</v>
      </c>
      <c r="AT48" s="7">
        <v>0.626109111587594</v>
      </c>
      <c r="AU48" s="8">
        <f t="shared" si="3"/>
        <v>-1.031644896</v>
      </c>
      <c r="AV48" s="9">
        <f t="shared" si="4"/>
        <v>-1.025926378</v>
      </c>
      <c r="AW48" s="9">
        <f t="shared" si="5"/>
        <v>0.07772272349</v>
      </c>
      <c r="AX48" s="10">
        <f t="shared" si="6"/>
        <v>0.002955686074</v>
      </c>
      <c r="AY48" s="8">
        <f t="shared" si="7"/>
        <v>-0.3534053017</v>
      </c>
      <c r="AZ48" s="10">
        <f t="shared" si="8"/>
        <v>-0.3794301302</v>
      </c>
      <c r="BA48" s="8">
        <f t="shared" si="9"/>
        <v>-0.5565726859</v>
      </c>
      <c r="BB48" s="9">
        <f t="shared" si="10"/>
        <v>-0.1407333023</v>
      </c>
      <c r="BC48" s="10">
        <f t="shared" si="11"/>
        <v>-0.3914586843</v>
      </c>
      <c r="BD48" s="11">
        <f t="shared" ref="BD48:BE48" si="57">((R48-R$68)/R$69)</f>
        <v>1.379726041</v>
      </c>
      <c r="BE48" s="11">
        <f t="shared" si="57"/>
        <v>1.161791364</v>
      </c>
      <c r="BF48" s="3"/>
    </row>
    <row r="49">
      <c r="A49" s="3" t="s">
        <v>57</v>
      </c>
      <c r="B49" s="4">
        <f t="shared" si="2"/>
        <v>-0.3043634119</v>
      </c>
      <c r="C49" s="3" t="s">
        <v>58</v>
      </c>
      <c r="D49" s="3" t="s">
        <v>59</v>
      </c>
      <c r="E49" s="5" t="s">
        <v>82</v>
      </c>
      <c r="F49" s="3" t="s">
        <v>78</v>
      </c>
      <c r="G49" s="5" t="s">
        <v>86</v>
      </c>
      <c r="H49" s="5" t="s">
        <v>63</v>
      </c>
      <c r="I49" s="6">
        <v>150.0</v>
      </c>
      <c r="J49" s="5" t="s">
        <v>85</v>
      </c>
      <c r="K49" s="3" t="s">
        <v>65</v>
      </c>
      <c r="L49" s="5" t="s">
        <v>73</v>
      </c>
      <c r="M49" s="3" t="s">
        <v>67</v>
      </c>
      <c r="N49" s="3" t="s">
        <v>68</v>
      </c>
      <c r="O49" s="3" t="s">
        <v>69</v>
      </c>
      <c r="P49" s="5" t="s">
        <v>81</v>
      </c>
      <c r="Q49" s="5" t="s">
        <v>70</v>
      </c>
      <c r="R49" s="7">
        <v>1306.28808426857</v>
      </c>
      <c r="S49" s="7">
        <v>430.070690631866</v>
      </c>
      <c r="T49" s="7">
        <v>2.45549909996353</v>
      </c>
      <c r="U49" s="7">
        <v>10.8347212593642</v>
      </c>
      <c r="V49" s="7">
        <v>3.29161377736882</v>
      </c>
      <c r="W49" s="7">
        <v>0.597854397639163</v>
      </c>
      <c r="X49" s="7">
        <v>0.0800382891130895</v>
      </c>
      <c r="Y49" s="7">
        <v>0.0104234357713041</v>
      </c>
      <c r="Z49" s="7">
        <v>0.102095228935068</v>
      </c>
      <c r="AA49" s="7">
        <v>0.763238853397863</v>
      </c>
      <c r="AB49" s="7">
        <v>0.0787115682423386</v>
      </c>
      <c r="AC49" s="7">
        <v>0.101116016355569</v>
      </c>
      <c r="AD49" s="7">
        <v>0.770033716580557</v>
      </c>
      <c r="AE49" s="7">
        <v>0.120991411481429</v>
      </c>
      <c r="AF49" s="7">
        <v>0.160125937847713</v>
      </c>
      <c r="AG49" s="7">
        <v>0.434315096892003</v>
      </c>
      <c r="AH49" s="7">
        <v>10.0</v>
      </c>
      <c r="AI49" s="7">
        <v>2.45549909996342</v>
      </c>
      <c r="AJ49" s="7">
        <v>10.8347212593642</v>
      </c>
      <c r="AK49" s="7">
        <v>3.29161377736882</v>
      </c>
      <c r="AL49" s="7">
        <v>0.597315065802218</v>
      </c>
      <c r="AM49" s="7">
        <v>1.92843342193724</v>
      </c>
      <c r="AN49" s="7">
        <v>6.13722537036283</v>
      </c>
      <c r="AO49" s="7">
        <v>2.47734240071146</v>
      </c>
      <c r="AP49" s="7">
        <v>0.770033716580557</v>
      </c>
      <c r="AQ49" s="7">
        <v>2.96428958129487</v>
      </c>
      <c r="AR49" s="7">
        <v>15.3905996619587</v>
      </c>
      <c r="AS49" s="7">
        <v>3.92308547726898</v>
      </c>
      <c r="AT49" s="7">
        <v>0.434315096892003</v>
      </c>
      <c r="AU49" s="8">
        <f t="shared" si="3"/>
        <v>-0.1469700657</v>
      </c>
      <c r="AV49" s="9">
        <f t="shared" si="4"/>
        <v>-0.08552993037</v>
      </c>
      <c r="AW49" s="9">
        <f t="shared" si="5"/>
        <v>0.5185783397</v>
      </c>
      <c r="AX49" s="10">
        <f t="shared" si="6"/>
        <v>0.7127992</v>
      </c>
      <c r="AY49" s="8">
        <f t="shared" si="7"/>
        <v>0.05260089428</v>
      </c>
      <c r="AZ49" s="10">
        <f t="shared" si="8"/>
        <v>0.2129762705</v>
      </c>
      <c r="BA49" s="8">
        <f t="shared" si="9"/>
        <v>-0.1808886898</v>
      </c>
      <c r="BB49" s="9">
        <f t="shared" si="10"/>
        <v>0.4671106411</v>
      </c>
      <c r="BC49" s="10">
        <f t="shared" si="11"/>
        <v>0.00232945322</v>
      </c>
      <c r="BD49" s="11">
        <f t="shared" ref="BD49:BE49" si="58">((R49-R$68)/R$69)</f>
        <v>0.8483274142</v>
      </c>
      <c r="BE49" s="11">
        <f t="shared" si="58"/>
        <v>0.9466640033</v>
      </c>
      <c r="BF49" s="3"/>
    </row>
    <row r="50">
      <c r="A50" s="3" t="s">
        <v>77</v>
      </c>
      <c r="B50" s="4">
        <f t="shared" si="2"/>
        <v>0.7139751178</v>
      </c>
      <c r="C50" s="3" t="s">
        <v>58</v>
      </c>
      <c r="D50" s="3" t="s">
        <v>59</v>
      </c>
      <c r="E50" s="5" t="s">
        <v>60</v>
      </c>
      <c r="F50" s="3" t="s">
        <v>61</v>
      </c>
      <c r="G50" s="12" t="s">
        <v>62</v>
      </c>
      <c r="H50" s="5" t="s">
        <v>63</v>
      </c>
      <c r="I50" s="6">
        <v>20.0</v>
      </c>
      <c r="J50" s="12" t="s">
        <v>90</v>
      </c>
      <c r="K50" s="3" t="s">
        <v>72</v>
      </c>
      <c r="L50" s="5" t="s">
        <v>73</v>
      </c>
      <c r="M50" s="3" t="s">
        <v>67</v>
      </c>
      <c r="N50" s="3" t="s">
        <v>84</v>
      </c>
      <c r="O50" s="3" t="s">
        <v>69</v>
      </c>
      <c r="P50" s="5" t="s">
        <v>76</v>
      </c>
      <c r="Q50" s="5" t="s">
        <v>76</v>
      </c>
      <c r="R50" s="13">
        <v>289.119108200073</v>
      </c>
      <c r="S50" s="13">
        <v>173.625436782836</v>
      </c>
      <c r="T50" s="13">
        <v>1.65388732338094</v>
      </c>
      <c r="U50" s="13">
        <v>4.48354017375445</v>
      </c>
      <c r="V50" s="13">
        <v>2.11743717114687</v>
      </c>
      <c r="W50" s="13">
        <v>0.827823896599458</v>
      </c>
      <c r="X50" s="13">
        <v>0.0568612305835158</v>
      </c>
      <c r="Y50" s="13">
        <v>0.0051764388451172</v>
      </c>
      <c r="Z50" s="13">
        <v>0.0719474728195313</v>
      </c>
      <c r="AA50" s="13">
        <v>0.891116286181888</v>
      </c>
      <c r="AB50" s="13">
        <v>0.0567024086625389</v>
      </c>
      <c r="AC50" s="13">
        <v>0.0717768191589245</v>
      </c>
      <c r="AD50" s="13">
        <v>0.892159271598228</v>
      </c>
      <c r="AE50" s="13">
        <v>0.0706261231159658</v>
      </c>
      <c r="AF50" s="13">
        <v>0.0906065672229984</v>
      </c>
      <c r="AG50" s="13">
        <v>0.828880942148651</v>
      </c>
      <c r="AH50" s="13">
        <v>10.0</v>
      </c>
      <c r="AI50" s="13">
        <v>1.65388732338094</v>
      </c>
      <c r="AJ50" s="13">
        <v>4.48354017375445</v>
      </c>
      <c r="AK50" s="13">
        <v>2.11743717114687</v>
      </c>
      <c r="AL50" s="13">
        <v>0.827803457563471</v>
      </c>
      <c r="AM50" s="13">
        <v>1.32226866867227</v>
      </c>
      <c r="AN50" s="13">
        <v>2.80159153240541</v>
      </c>
      <c r="AO50" s="13">
        <v>1.67379554677547</v>
      </c>
      <c r="AP50" s="13">
        <v>0.892159271598228</v>
      </c>
      <c r="AQ50" s="13">
        <v>1.64696195432927</v>
      </c>
      <c r="AR50" s="13">
        <v>4.46432448090776</v>
      </c>
      <c r="AS50" s="13">
        <v>2.11289481065853</v>
      </c>
      <c r="AT50" s="13">
        <v>0.828880942148651</v>
      </c>
      <c r="AU50" s="8">
        <f t="shared" si="3"/>
        <v>-0.6016169477</v>
      </c>
      <c r="AV50" s="9">
        <f t="shared" si="4"/>
        <v>-0.5871353209</v>
      </c>
      <c r="AW50" s="9">
        <f t="shared" si="5"/>
        <v>-0.9770589811</v>
      </c>
      <c r="AX50" s="10">
        <f t="shared" si="6"/>
        <v>-1.016833445</v>
      </c>
      <c r="AY50" s="8">
        <f t="shared" si="7"/>
        <v>-0.7278313418</v>
      </c>
      <c r="AZ50" s="10">
        <f t="shared" si="8"/>
        <v>-0.7482360912</v>
      </c>
      <c r="BA50" s="8">
        <f t="shared" si="9"/>
        <v>-0.4322168772</v>
      </c>
      <c r="BB50" s="9">
        <f t="shared" si="10"/>
        <v>-0.7833687322</v>
      </c>
      <c r="BC50" s="10">
        <f t="shared" si="11"/>
        <v>-0.5708077293</v>
      </c>
      <c r="BD50" s="11">
        <f t="shared" ref="BD50:BE50" si="59">((R50-R$68)/R$69)</f>
        <v>-0.4558177228</v>
      </c>
      <c r="BE50" s="11">
        <f t="shared" si="59"/>
        <v>-0.9528031062</v>
      </c>
      <c r="BF50" s="3"/>
    </row>
    <row r="51">
      <c r="A51" s="3" t="s">
        <v>77</v>
      </c>
      <c r="B51" s="4">
        <f t="shared" si="2"/>
        <v>0.379908554</v>
      </c>
      <c r="C51" s="3" t="s">
        <v>58</v>
      </c>
      <c r="D51" s="3" t="s">
        <v>59</v>
      </c>
      <c r="E51" s="5" t="s">
        <v>60</v>
      </c>
      <c r="F51" s="3" t="s">
        <v>78</v>
      </c>
      <c r="G51" s="12" t="s">
        <v>60</v>
      </c>
      <c r="H51" s="5" t="s">
        <v>63</v>
      </c>
      <c r="I51" s="6">
        <v>20.0</v>
      </c>
      <c r="J51" s="12" t="s">
        <v>90</v>
      </c>
      <c r="K51" s="3" t="s">
        <v>65</v>
      </c>
      <c r="L51" s="5" t="s">
        <v>73</v>
      </c>
      <c r="M51" s="3" t="s">
        <v>67</v>
      </c>
      <c r="N51" s="3" t="s">
        <v>80</v>
      </c>
      <c r="O51" s="3" t="s">
        <v>69</v>
      </c>
      <c r="P51" s="5" t="s">
        <v>85</v>
      </c>
      <c r="Q51" s="5" t="s">
        <v>85</v>
      </c>
      <c r="R51" s="13">
        <v>316.086546182632</v>
      </c>
      <c r="S51" s="13">
        <v>178.094048738479</v>
      </c>
      <c r="T51" s="13">
        <v>2.11800895264799</v>
      </c>
      <c r="U51" s="13">
        <v>6.70092700832292</v>
      </c>
      <c r="V51" s="13">
        <v>2.58861488219528</v>
      </c>
      <c r="W51" s="13">
        <v>0.742430093447829</v>
      </c>
      <c r="X51" s="13">
        <v>0.0802251087343368</v>
      </c>
      <c r="Y51" s="13">
        <v>0.00841744106176859</v>
      </c>
      <c r="Z51" s="13">
        <v>0.0917466133531292</v>
      </c>
      <c r="AA51" s="13">
        <v>0.820270125983541</v>
      </c>
      <c r="AB51" s="13">
        <v>0.0795706255344642</v>
      </c>
      <c r="AC51" s="13">
        <v>0.0910842005107815</v>
      </c>
      <c r="AD51" s="13">
        <v>0.824750969459178</v>
      </c>
      <c r="AE51" s="13">
        <v>0.0951560175773541</v>
      </c>
      <c r="AF51" s="13">
        <v>0.117657165869405</v>
      </c>
      <c r="AG51" s="13">
        <v>0.714200876289371</v>
      </c>
      <c r="AH51" s="13">
        <v>10.0</v>
      </c>
      <c r="AI51" s="13">
        <v>2.11800895264799</v>
      </c>
      <c r="AJ51" s="13">
        <v>6.70092700832291</v>
      </c>
      <c r="AK51" s="13">
        <v>2.58861488219528</v>
      </c>
      <c r="AL51" s="13">
        <v>0.742290958686978</v>
      </c>
      <c r="AM51" s="13">
        <v>1.85554278156064</v>
      </c>
      <c r="AN51" s="13">
        <v>4.51151598788445</v>
      </c>
      <c r="AO51" s="13">
        <v>2.1240329535778</v>
      </c>
      <c r="AP51" s="13">
        <v>0.824750969459178</v>
      </c>
      <c r="AQ51" s="13">
        <v>2.2189854654497</v>
      </c>
      <c r="AR51" s="13">
        <v>7.52788827964164</v>
      </c>
      <c r="AS51" s="13">
        <v>2.74369974298239</v>
      </c>
      <c r="AT51" s="13">
        <v>0.714200876289371</v>
      </c>
      <c r="AU51" s="8">
        <f t="shared" si="3"/>
        <v>-0.1292243759</v>
      </c>
      <c r="AV51" s="9">
        <f t="shared" si="4"/>
        <v>-0.2570415389</v>
      </c>
      <c r="AW51" s="9">
        <f t="shared" si="5"/>
        <v>-0.3276080062</v>
      </c>
      <c r="AX51" s="10">
        <f t="shared" si="6"/>
        <v>-0.4141009132</v>
      </c>
      <c r="AY51" s="8">
        <f t="shared" si="7"/>
        <v>-0.2759723603</v>
      </c>
      <c r="AZ51" s="10">
        <f t="shared" si="8"/>
        <v>-0.3625174199</v>
      </c>
      <c r="BA51" s="8">
        <f t="shared" si="9"/>
        <v>-0.2934940162</v>
      </c>
      <c r="BB51" s="9">
        <f t="shared" si="10"/>
        <v>-0.4199184777</v>
      </c>
      <c r="BC51" s="10">
        <f t="shared" si="11"/>
        <v>-0.3581705882</v>
      </c>
      <c r="BD51" s="11">
        <f t="shared" ref="BD51:BE51" si="60">((R51-R$68)/R$69)</f>
        <v>-0.4212419012</v>
      </c>
      <c r="BE51" s="11">
        <f t="shared" si="60"/>
        <v>-0.9197044963</v>
      </c>
      <c r="BF51" s="3"/>
    </row>
    <row r="52">
      <c r="A52" s="3" t="s">
        <v>57</v>
      </c>
      <c r="B52" s="4">
        <f t="shared" si="2"/>
        <v>0.3582936198</v>
      </c>
      <c r="C52" s="3" t="s">
        <v>58</v>
      </c>
      <c r="D52" s="3" t="s">
        <v>59</v>
      </c>
      <c r="E52" s="5" t="s">
        <v>60</v>
      </c>
      <c r="F52" s="3" t="s">
        <v>78</v>
      </c>
      <c r="G52" s="12" t="s">
        <v>60</v>
      </c>
      <c r="H52" s="5" t="s">
        <v>71</v>
      </c>
      <c r="I52" s="6">
        <v>20.0</v>
      </c>
      <c r="J52" s="12" t="s">
        <v>90</v>
      </c>
      <c r="K52" s="3" t="s">
        <v>65</v>
      </c>
      <c r="L52" s="5" t="s">
        <v>66</v>
      </c>
      <c r="M52" s="3" t="s">
        <v>67</v>
      </c>
      <c r="N52" s="3" t="s">
        <v>80</v>
      </c>
      <c r="O52" s="3" t="s">
        <v>69</v>
      </c>
      <c r="P52" s="5" t="s">
        <v>81</v>
      </c>
      <c r="Q52" s="3"/>
      <c r="R52" s="13">
        <v>527.464151620864</v>
      </c>
      <c r="S52" s="13">
        <v>164.395395755767</v>
      </c>
      <c r="T52" s="13">
        <v>2.14610252891214</v>
      </c>
      <c r="U52" s="13">
        <v>7.51769401142078</v>
      </c>
      <c r="V52" s="13">
        <v>2.74184135416708</v>
      </c>
      <c r="W52" s="13">
        <v>0.71233506914187</v>
      </c>
      <c r="X52" s="13">
        <v>0.0747221457720526</v>
      </c>
      <c r="Y52" s="13">
        <v>0.0090061499614126</v>
      </c>
      <c r="Z52" s="13">
        <v>0.0949007374123752</v>
      </c>
      <c r="AA52" s="13">
        <v>0.808506172001382</v>
      </c>
      <c r="AB52" s="13">
        <v>0.0747128105189614</v>
      </c>
      <c r="AC52" s="13">
        <v>0.0945830326924617</v>
      </c>
      <c r="AD52" s="13">
        <v>0.81192043524139</v>
      </c>
      <c r="AE52" s="13">
        <v>0.0904249730070992</v>
      </c>
      <c r="AF52" s="13">
        <v>0.117027250998615</v>
      </c>
      <c r="AG52" s="13">
        <v>0.716079813235753</v>
      </c>
      <c r="AH52" s="13">
        <v>10.0</v>
      </c>
      <c r="AI52" s="13">
        <v>2.14610252891214</v>
      </c>
      <c r="AJ52" s="13">
        <v>7.51769401142078</v>
      </c>
      <c r="AK52" s="13">
        <v>2.74184135416708</v>
      </c>
      <c r="AL52" s="13">
        <v>0.712208860356419</v>
      </c>
      <c r="AM52" s="13">
        <v>1.74226123418525</v>
      </c>
      <c r="AN52" s="13">
        <v>4.86477624239872</v>
      </c>
      <c r="AO52" s="13">
        <v>2.20562377625893</v>
      </c>
      <c r="AP52" s="13">
        <v>0.81192043524139</v>
      </c>
      <c r="AQ52" s="13">
        <v>2.10866013442945</v>
      </c>
      <c r="AR52" s="13">
        <v>7.44749818984303</v>
      </c>
      <c r="AS52" s="13">
        <v>2.72901047814826</v>
      </c>
      <c r="AT52" s="13">
        <v>0.716079813235753</v>
      </c>
      <c r="AU52" s="8">
        <f t="shared" si="3"/>
        <v>-0.2295730712</v>
      </c>
      <c r="AV52" s="9">
        <f t="shared" si="4"/>
        <v>-0.1972228237</v>
      </c>
      <c r="AW52" s="9">
        <f t="shared" si="5"/>
        <v>-0.4528666579</v>
      </c>
      <c r="AX52" s="10">
        <f t="shared" si="6"/>
        <v>-0.4281364689</v>
      </c>
      <c r="AY52" s="8">
        <f t="shared" si="7"/>
        <v>-0.2486210498</v>
      </c>
      <c r="AZ52" s="10">
        <f t="shared" si="8"/>
        <v>-0.2370821334</v>
      </c>
      <c r="BA52" s="8">
        <f t="shared" si="9"/>
        <v>-0.2670894287</v>
      </c>
      <c r="BB52" s="9">
        <f t="shared" si="10"/>
        <v>-0.4258733061</v>
      </c>
      <c r="BC52" s="10">
        <f t="shared" si="11"/>
        <v>-0.2833678229</v>
      </c>
      <c r="BD52" s="11">
        <f t="shared" ref="BD52:BE52" si="61">((R52-R$68)/R$69)</f>
        <v>-0.1502278586</v>
      </c>
      <c r="BE52" s="11">
        <f t="shared" si="61"/>
        <v>-1.021169196</v>
      </c>
      <c r="BF52" s="3"/>
    </row>
    <row r="53">
      <c r="A53" s="3" t="s">
        <v>77</v>
      </c>
      <c r="B53" s="4">
        <f t="shared" si="2"/>
        <v>-0.07301959526</v>
      </c>
      <c r="C53" s="3" t="s">
        <v>58</v>
      </c>
      <c r="D53" s="3" t="s">
        <v>59</v>
      </c>
      <c r="E53" s="5" t="s">
        <v>82</v>
      </c>
      <c r="F53" s="3" t="s">
        <v>78</v>
      </c>
      <c r="G53" s="12" t="s">
        <v>86</v>
      </c>
      <c r="H53" s="5" t="s">
        <v>63</v>
      </c>
      <c r="I53" s="6">
        <v>20.0</v>
      </c>
      <c r="J53" s="12" t="s">
        <v>90</v>
      </c>
      <c r="K53" s="3" t="s">
        <v>72</v>
      </c>
      <c r="L53" s="5" t="s">
        <v>73</v>
      </c>
      <c r="M53" s="3" t="s">
        <v>79</v>
      </c>
      <c r="N53" s="3" t="s">
        <v>80</v>
      </c>
      <c r="O53" s="3" t="s">
        <v>69</v>
      </c>
      <c r="P53" s="5" t="s">
        <v>87</v>
      </c>
      <c r="Q53" s="5" t="s">
        <v>88</v>
      </c>
      <c r="R53" s="13">
        <v>654.597395181655</v>
      </c>
      <c r="S53" s="13">
        <v>425.265865325927</v>
      </c>
      <c r="T53" s="13">
        <v>2.28537888337103</v>
      </c>
      <c r="U53" s="13">
        <v>8.36411113236668</v>
      </c>
      <c r="V53" s="13">
        <v>2.89207730400946</v>
      </c>
      <c r="W53" s="13">
        <v>0.689321126972496</v>
      </c>
      <c r="X53" s="13">
        <v>0.0932026332554662</v>
      </c>
      <c r="Y53" s="13">
        <v>0.0130261495194609</v>
      </c>
      <c r="Z53" s="13">
        <v>0.114132158130217</v>
      </c>
      <c r="AA53" s="13">
        <v>0.704120007672616</v>
      </c>
      <c r="AB53" s="13">
        <v>0.09385967472483</v>
      </c>
      <c r="AC53" s="13">
        <v>0.114463270292108</v>
      </c>
      <c r="AD53" s="13">
        <v>0.705315995318954</v>
      </c>
      <c r="AE53" s="13">
        <v>0.105208360165683</v>
      </c>
      <c r="AF53" s="13">
        <v>0.133073514140144</v>
      </c>
      <c r="AG53" s="13">
        <v>0.609308046259827</v>
      </c>
      <c r="AH53" s="13">
        <v>10.0</v>
      </c>
      <c r="AI53" s="13">
        <v>2.28537888337094</v>
      </c>
      <c r="AJ53" s="13">
        <v>8.36411113236668</v>
      </c>
      <c r="AK53" s="13">
        <v>2.89207730400946</v>
      </c>
      <c r="AL53" s="13">
        <v>0.689138145750724</v>
      </c>
      <c r="AM53" s="13">
        <v>2.29956203075825</v>
      </c>
      <c r="AN53" s="13">
        <v>7.86437960764002</v>
      </c>
      <c r="AO53" s="13">
        <v>2.80435012215665</v>
      </c>
      <c r="AP53" s="13">
        <v>0.705315995318954</v>
      </c>
      <c r="AQ53" s="13">
        <v>2.57760482405913</v>
      </c>
      <c r="AR53" s="13">
        <v>10.6295632394056</v>
      </c>
      <c r="AS53" s="13">
        <v>3.26030109643352</v>
      </c>
      <c r="AT53" s="13">
        <v>0.609308046259827</v>
      </c>
      <c r="AU53" s="8">
        <f t="shared" si="3"/>
        <v>0.1659468976</v>
      </c>
      <c r="AV53" s="9">
        <f t="shared" si="4"/>
        <v>0.1426649476</v>
      </c>
      <c r="AW53" s="9">
        <f t="shared" si="5"/>
        <v>0.07955304147</v>
      </c>
      <c r="AX53" s="10">
        <f t="shared" si="6"/>
        <v>0.07951038527</v>
      </c>
      <c r="AY53" s="8">
        <f t="shared" si="7"/>
        <v>-0.113024543</v>
      </c>
      <c r="AZ53" s="10">
        <f t="shared" si="8"/>
        <v>-0.1140949683</v>
      </c>
      <c r="BA53" s="8">
        <f t="shared" si="9"/>
        <v>-0.04770290754</v>
      </c>
      <c r="BB53" s="9">
        <f t="shared" si="10"/>
        <v>-0.08748645923</v>
      </c>
      <c r="BC53" s="10">
        <f t="shared" si="11"/>
        <v>-0.2259997087</v>
      </c>
      <c r="BD53" s="11">
        <f t="shared" ref="BD53:BE53" si="62">((R53-R$68)/R$69)</f>
        <v>0.01277377168</v>
      </c>
      <c r="BE53" s="11">
        <f t="shared" si="62"/>
        <v>0.911075091</v>
      </c>
      <c r="BF53" s="3"/>
    </row>
    <row r="54">
      <c r="A54" s="3" t="s">
        <v>77</v>
      </c>
      <c r="B54" s="4">
        <f t="shared" si="2"/>
        <v>-0.1984339136</v>
      </c>
      <c r="C54" s="3" t="s">
        <v>58</v>
      </c>
      <c r="D54" s="3" t="s">
        <v>59</v>
      </c>
      <c r="E54" s="5" t="s">
        <v>82</v>
      </c>
      <c r="F54" s="3" t="s">
        <v>61</v>
      </c>
      <c r="G54" s="12" t="s">
        <v>83</v>
      </c>
      <c r="H54" s="5" t="s">
        <v>63</v>
      </c>
      <c r="I54" s="6">
        <v>20.0</v>
      </c>
      <c r="J54" s="12" t="s">
        <v>90</v>
      </c>
      <c r="K54" s="3" t="s">
        <v>65</v>
      </c>
      <c r="L54" s="5" t="s">
        <v>73</v>
      </c>
      <c r="M54" s="3" t="s">
        <v>67</v>
      </c>
      <c r="N54" s="3" t="s">
        <v>80</v>
      </c>
      <c r="O54" s="3" t="s">
        <v>69</v>
      </c>
      <c r="P54" s="5" t="s">
        <v>85</v>
      </c>
      <c r="Q54" s="5" t="s">
        <v>81</v>
      </c>
      <c r="R54" s="13">
        <v>783.675652742385</v>
      </c>
      <c r="S54" s="13">
        <v>463.602841138839</v>
      </c>
      <c r="T54" s="13">
        <v>2.34054302181419</v>
      </c>
      <c r="U54" s="13">
        <v>8.88192327028723</v>
      </c>
      <c r="V54" s="13">
        <v>2.98025557130378</v>
      </c>
      <c r="W54" s="13">
        <v>0.670962374027632</v>
      </c>
      <c r="X54" s="13">
        <v>0.105243194756094</v>
      </c>
      <c r="Y54" s="13">
        <v>0.016057914735992</v>
      </c>
      <c r="Z54" s="13">
        <v>0.126719827714498</v>
      </c>
      <c r="AA54" s="13">
        <v>0.640237151334567</v>
      </c>
      <c r="AB54" s="13">
        <v>0.105803473200268</v>
      </c>
      <c r="AC54" s="13">
        <v>0.127264964726494</v>
      </c>
      <c r="AD54" s="13">
        <v>0.638840008711316</v>
      </c>
      <c r="AE54" s="13">
        <v>0.105929331758227</v>
      </c>
      <c r="AF54" s="13">
        <v>0.13612624487881</v>
      </c>
      <c r="AG54" s="13">
        <v>0.588796176321303</v>
      </c>
      <c r="AH54" s="13">
        <v>10.0</v>
      </c>
      <c r="AI54" s="13">
        <v>2.34054302181411</v>
      </c>
      <c r="AJ54" s="13">
        <v>8.88192327028724</v>
      </c>
      <c r="AK54" s="13">
        <v>2.98025557130378</v>
      </c>
      <c r="AL54" s="13">
        <v>0.67092487995042</v>
      </c>
      <c r="AM54" s="13">
        <v>2.59218509340645</v>
      </c>
      <c r="AN54" s="13">
        <v>9.72187184091314</v>
      </c>
      <c r="AO54" s="13">
        <v>3.1179916357991</v>
      </c>
      <c r="AP54" s="13">
        <v>0.638840008711316</v>
      </c>
      <c r="AQ54" s="13">
        <v>2.59526862807645</v>
      </c>
      <c r="AR54" s="13">
        <v>11.1228453155197</v>
      </c>
      <c r="AS54" s="13">
        <v>3.33509299953086</v>
      </c>
      <c r="AT54" s="13">
        <v>0.588796176321303</v>
      </c>
      <c r="AU54" s="8">
        <f t="shared" si="3"/>
        <v>0.4126719357</v>
      </c>
      <c r="AV54" s="9">
        <f t="shared" si="4"/>
        <v>0.3615325223</v>
      </c>
      <c r="AW54" s="9">
        <f t="shared" si="5"/>
        <v>0.0996077674</v>
      </c>
      <c r="AX54" s="10">
        <f t="shared" si="6"/>
        <v>0.1509738612</v>
      </c>
      <c r="AY54" s="8">
        <f t="shared" si="7"/>
        <v>-0.05931790699</v>
      </c>
      <c r="AZ54" s="10">
        <f t="shared" si="8"/>
        <v>-0.04190988119</v>
      </c>
      <c r="BA54" s="8">
        <f t="shared" si="9"/>
        <v>0.08910129547</v>
      </c>
      <c r="BB54" s="9">
        <f t="shared" si="10"/>
        <v>-0.0224791339</v>
      </c>
      <c r="BC54" s="10">
        <f t="shared" si="11"/>
        <v>-0.1807102268</v>
      </c>
      <c r="BD54" s="11">
        <f t="shared" ref="BD54:BE54" si="63">((R54-R$68)/R$69)</f>
        <v>0.1782691671</v>
      </c>
      <c r="BE54" s="11">
        <f t="shared" si="63"/>
        <v>1.19503365</v>
      </c>
      <c r="BF54" s="3"/>
    </row>
    <row r="55">
      <c r="A55" s="3" t="s">
        <v>57</v>
      </c>
      <c r="B55" s="4">
        <f t="shared" si="2"/>
        <v>-1.811049495</v>
      </c>
      <c r="C55" s="3" t="s">
        <v>58</v>
      </c>
      <c r="D55" s="3" t="s">
        <v>59</v>
      </c>
      <c r="E55" s="5" t="s">
        <v>82</v>
      </c>
      <c r="F55" s="3" t="s">
        <v>78</v>
      </c>
      <c r="G55" s="12" t="s">
        <v>86</v>
      </c>
      <c r="H55" s="5" t="s">
        <v>63</v>
      </c>
      <c r="I55" s="6">
        <v>20.0</v>
      </c>
      <c r="J55" s="12" t="s">
        <v>90</v>
      </c>
      <c r="K55" s="3" t="s">
        <v>65</v>
      </c>
      <c r="L55" s="5" t="s">
        <v>73</v>
      </c>
      <c r="M55" s="3" t="s">
        <v>74</v>
      </c>
      <c r="N55" s="3" t="s">
        <v>84</v>
      </c>
      <c r="O55" s="3" t="s">
        <v>69</v>
      </c>
      <c r="P55" s="5" t="s">
        <v>75</v>
      </c>
      <c r="Q55" s="5" t="s">
        <v>70</v>
      </c>
      <c r="R55" s="13">
        <v>529.241550683975</v>
      </c>
      <c r="S55" s="13">
        <v>412.639729976654</v>
      </c>
      <c r="T55" s="13">
        <v>4.80611846868778</v>
      </c>
      <c r="U55" s="13">
        <v>32.0381836211916</v>
      </c>
      <c r="V55" s="13">
        <v>5.66022823048608</v>
      </c>
      <c r="W55" s="13">
        <v>-0.190698902582846</v>
      </c>
      <c r="X55" s="13">
        <v>0.201515753709075</v>
      </c>
      <c r="Y55" s="13">
        <v>0.0546605285341767</v>
      </c>
      <c r="Z55" s="13">
        <v>0.233795912141715</v>
      </c>
      <c r="AA55" s="13">
        <v>-0.241576164862895</v>
      </c>
      <c r="AB55" s="13">
        <v>0.203738376007244</v>
      </c>
      <c r="AC55" s="13">
        <v>0.235638078767744</v>
      </c>
      <c r="AD55" s="13">
        <v>-0.248864181321374</v>
      </c>
      <c r="AE55" s="13">
        <v>0.185572344859161</v>
      </c>
      <c r="AF55" s="13">
        <v>0.215226287357842</v>
      </c>
      <c r="AG55" s="13">
        <v>-0.0219786994327917</v>
      </c>
      <c r="AH55" s="13">
        <v>10.0</v>
      </c>
      <c r="AI55" s="13">
        <v>4.80611846868765</v>
      </c>
      <c r="AJ55" s="13">
        <v>32.0381836211916</v>
      </c>
      <c r="AK55" s="13">
        <v>5.66022823048608</v>
      </c>
      <c r="AL55" s="13">
        <v>-0.19073611166191</v>
      </c>
      <c r="AM55" s="13">
        <v>4.99159021217762</v>
      </c>
      <c r="AN55" s="13">
        <v>33.3290638252535</v>
      </c>
      <c r="AO55" s="13">
        <v>5.77313292980973</v>
      </c>
      <c r="AP55" s="13">
        <v>-0.248864181321374</v>
      </c>
      <c r="AQ55" s="13">
        <v>4.54652244904928</v>
      </c>
      <c r="AR55" s="13">
        <v>27.8049934505969</v>
      </c>
      <c r="AS55" s="13">
        <v>5.27304404026715</v>
      </c>
      <c r="AT55" s="13">
        <v>-0.0219786994327915</v>
      </c>
      <c r="AU55" s="8">
        <f t="shared" si="3"/>
        <v>2.435729565</v>
      </c>
      <c r="AV55" s="9">
        <f t="shared" si="4"/>
        <v>2.214362299</v>
      </c>
      <c r="AW55" s="9">
        <f t="shared" si="5"/>
        <v>2.314977716</v>
      </c>
      <c r="AX55" s="10">
        <f t="shared" si="6"/>
        <v>2.002681223</v>
      </c>
      <c r="AY55" s="8">
        <f t="shared" si="7"/>
        <v>2.341114092</v>
      </c>
      <c r="AZ55" s="10">
        <f t="shared" si="8"/>
        <v>2.151987387</v>
      </c>
      <c r="BA55" s="8">
        <f t="shared" si="9"/>
        <v>1.915951417</v>
      </c>
      <c r="BB55" s="9">
        <f t="shared" si="10"/>
        <v>1.913221569</v>
      </c>
      <c r="BC55" s="10">
        <f t="shared" si="11"/>
        <v>1.961913743</v>
      </c>
      <c r="BD55" s="11">
        <f t="shared" ref="BD55:BE55" si="64">((R55-R$68)/R$69)</f>
        <v>-0.1479489979</v>
      </c>
      <c r="BE55" s="11">
        <f t="shared" si="64"/>
        <v>0.8175544333</v>
      </c>
      <c r="BF55" s="3"/>
    </row>
    <row r="56">
      <c r="A56" s="3" t="s">
        <v>77</v>
      </c>
      <c r="B56" s="4">
        <f t="shared" si="2"/>
        <v>-0.2224834102</v>
      </c>
      <c r="C56" s="3" t="s">
        <v>58</v>
      </c>
      <c r="D56" s="3" t="s">
        <v>59</v>
      </c>
      <c r="E56" s="5" t="s">
        <v>82</v>
      </c>
      <c r="F56" s="3" t="s">
        <v>78</v>
      </c>
      <c r="G56" s="12" t="s">
        <v>86</v>
      </c>
      <c r="H56" s="5" t="s">
        <v>71</v>
      </c>
      <c r="I56" s="6">
        <v>20.0</v>
      </c>
      <c r="J56" s="12" t="s">
        <v>90</v>
      </c>
      <c r="K56" s="3" t="s">
        <v>65</v>
      </c>
      <c r="L56" s="5" t="s">
        <v>73</v>
      </c>
      <c r="M56" s="3" t="s">
        <v>67</v>
      </c>
      <c r="N56" s="3" t="s">
        <v>80</v>
      </c>
      <c r="O56" s="3" t="s">
        <v>69</v>
      </c>
      <c r="P56" s="5" t="s">
        <v>81</v>
      </c>
      <c r="Q56" s="5" t="s">
        <v>75</v>
      </c>
      <c r="R56" s="13">
        <v>3419.15184283256</v>
      </c>
      <c r="S56" s="13">
        <v>468.111183643341</v>
      </c>
      <c r="T56" s="13">
        <v>2.12050764972641</v>
      </c>
      <c r="U56" s="13">
        <v>7.6630321111735</v>
      </c>
      <c r="V56" s="13">
        <v>2.76821821957256</v>
      </c>
      <c r="W56" s="13">
        <v>0.715924799485917</v>
      </c>
      <c r="X56" s="13">
        <v>0.0736716333130717</v>
      </c>
      <c r="Y56" s="13">
        <v>0.00901046469521769</v>
      </c>
      <c r="Z56" s="13">
        <v>0.0949234675684453</v>
      </c>
      <c r="AA56" s="13">
        <v>0.795480273547982</v>
      </c>
      <c r="AB56" s="13">
        <v>0.0730009239442815</v>
      </c>
      <c r="AC56" s="13">
        <v>0.0941503100244252</v>
      </c>
      <c r="AD56" s="13">
        <v>0.800821847472257</v>
      </c>
      <c r="AE56" s="13">
        <v>0.0911968155626812</v>
      </c>
      <c r="AF56" s="13">
        <v>0.120383981339707</v>
      </c>
      <c r="AG56" s="13">
        <v>0.681307537358665</v>
      </c>
      <c r="AH56" s="13">
        <v>10.0</v>
      </c>
      <c r="AI56" s="13">
        <v>2.12050764972636</v>
      </c>
      <c r="AJ56" s="13">
        <v>7.6630321111735</v>
      </c>
      <c r="AK56" s="13">
        <v>2.76821821957256</v>
      </c>
      <c r="AL56" s="13">
        <v>0.715743831810385</v>
      </c>
      <c r="AM56" s="13">
        <v>1.78852263663492</v>
      </c>
      <c r="AN56" s="13">
        <v>5.32078459683667</v>
      </c>
      <c r="AO56" s="13">
        <v>2.30668259559842</v>
      </c>
      <c r="AP56" s="13">
        <v>0.800821847472257</v>
      </c>
      <c r="AQ56" s="13">
        <v>2.23432198128568</v>
      </c>
      <c r="AR56" s="13">
        <v>8.69900485366019</v>
      </c>
      <c r="AS56" s="13">
        <v>2.94940754282282</v>
      </c>
      <c r="AT56" s="13">
        <v>0.681307537358665</v>
      </c>
      <c r="AU56" s="8">
        <f t="shared" si="3"/>
        <v>-0.2649357979</v>
      </c>
      <c r="AV56" s="9">
        <f t="shared" si="4"/>
        <v>-0.2046209819</v>
      </c>
      <c r="AW56" s="9">
        <f t="shared" si="5"/>
        <v>-0.3101955835</v>
      </c>
      <c r="AX56" s="10">
        <f t="shared" si="6"/>
        <v>-0.217547626</v>
      </c>
      <c r="AY56" s="8">
        <f t="shared" si="7"/>
        <v>-0.2735396818</v>
      </c>
      <c r="AZ56" s="10">
        <f t="shared" si="8"/>
        <v>-0.2154893262</v>
      </c>
      <c r="BA56" s="8">
        <f t="shared" si="9"/>
        <v>-0.2442490989</v>
      </c>
      <c r="BB56" s="9">
        <f t="shared" si="10"/>
        <v>-0.3156711326</v>
      </c>
      <c r="BC56" s="10">
        <f t="shared" si="11"/>
        <v>-0.2921579557</v>
      </c>
      <c r="BD56" s="11">
        <f t="shared" ref="BD56:BE56" si="65">((R56-R$68)/R$69)</f>
        <v>3.557298156</v>
      </c>
      <c r="BE56" s="11">
        <f t="shared" si="65"/>
        <v>1.22842654</v>
      </c>
      <c r="BF56" s="3"/>
    </row>
    <row r="57">
      <c r="A57" s="3" t="s">
        <v>57</v>
      </c>
      <c r="B57" s="4">
        <f t="shared" si="2"/>
        <v>-0.5552901774</v>
      </c>
      <c r="C57" s="3" t="s">
        <v>58</v>
      </c>
      <c r="D57" s="3" t="s">
        <v>59</v>
      </c>
      <c r="E57" s="5" t="s">
        <v>82</v>
      </c>
      <c r="F57" s="3" t="s">
        <v>61</v>
      </c>
      <c r="G57" s="12" t="s">
        <v>83</v>
      </c>
      <c r="H57" s="5" t="s">
        <v>71</v>
      </c>
      <c r="I57" s="6">
        <v>20.0</v>
      </c>
      <c r="J57" s="12" t="s">
        <v>90</v>
      </c>
      <c r="K57" s="3" t="s">
        <v>65</v>
      </c>
      <c r="L57" s="5" t="s">
        <v>73</v>
      </c>
      <c r="M57" s="3" t="s">
        <v>79</v>
      </c>
      <c r="N57" s="3" t="s">
        <v>84</v>
      </c>
      <c r="O57" s="3" t="s">
        <v>69</v>
      </c>
      <c r="P57" s="5" t="s">
        <v>85</v>
      </c>
      <c r="Q57" s="5" t="s">
        <v>85</v>
      </c>
      <c r="R57" s="13">
        <v>3596.6428296566</v>
      </c>
      <c r="S57" s="13">
        <v>517.954939126968</v>
      </c>
      <c r="T57" s="13">
        <v>2.47923515249486</v>
      </c>
      <c r="U57" s="13">
        <v>9.88983234797837</v>
      </c>
      <c r="V57" s="13">
        <v>3.14481038346962</v>
      </c>
      <c r="W57" s="13">
        <v>0.633942898029018</v>
      </c>
      <c r="X57" s="13">
        <v>0.0963352949420983</v>
      </c>
      <c r="Y57" s="13">
        <v>0.0146194380417103</v>
      </c>
      <c r="Z57" s="13">
        <v>0.12091086817036</v>
      </c>
      <c r="AA57" s="13">
        <v>0.67281855107729</v>
      </c>
      <c r="AB57" s="13">
        <v>0.0968989653949895</v>
      </c>
      <c r="AC57" s="13">
        <v>0.121437070263219</v>
      </c>
      <c r="AD57" s="13">
        <v>0.671543110322306</v>
      </c>
      <c r="AE57" s="13">
        <v>0.105331778177034</v>
      </c>
      <c r="AF57" s="13">
        <v>0.134300922727849</v>
      </c>
      <c r="AG57" s="13">
        <v>0.599921651466993</v>
      </c>
      <c r="AH57" s="13">
        <v>10.0</v>
      </c>
      <c r="AI57" s="13">
        <v>2.47923515249476</v>
      </c>
      <c r="AJ57" s="13">
        <v>9.88983234797837</v>
      </c>
      <c r="AK57" s="13">
        <v>3.14481038346962</v>
      </c>
      <c r="AL57" s="13">
        <v>0.633927711593333</v>
      </c>
      <c r="AM57" s="13">
        <v>2.37402465217714</v>
      </c>
      <c r="AN57" s="13">
        <v>8.85186396097693</v>
      </c>
      <c r="AO57" s="13">
        <v>2.97520822144886</v>
      </c>
      <c r="AP57" s="13">
        <v>0.671543110322306</v>
      </c>
      <c r="AQ57" s="13">
        <v>2.58062856533724</v>
      </c>
      <c r="AR57" s="13">
        <v>10.8265518917924</v>
      </c>
      <c r="AS57" s="13">
        <v>3.2903726068323</v>
      </c>
      <c r="AT57" s="13">
        <v>0.599921651466993</v>
      </c>
      <c r="AU57" s="8">
        <f t="shared" si="3"/>
        <v>0.2287300321</v>
      </c>
      <c r="AV57" s="9">
        <f t="shared" si="4"/>
        <v>0.2618943742</v>
      </c>
      <c r="AW57" s="9">
        <f t="shared" si="5"/>
        <v>0.08298606771</v>
      </c>
      <c r="AX57" s="10">
        <f t="shared" si="6"/>
        <v>0.1082436381</v>
      </c>
      <c r="AY57" s="8">
        <f t="shared" si="7"/>
        <v>0.07570981196</v>
      </c>
      <c r="AZ57" s="10">
        <f t="shared" si="8"/>
        <v>0.09279908746</v>
      </c>
      <c r="BA57" s="8">
        <f t="shared" si="9"/>
        <v>0.02179997389</v>
      </c>
      <c r="BB57" s="9">
        <f t="shared" si="10"/>
        <v>-0.05773859022</v>
      </c>
      <c r="BC57" s="10">
        <f t="shared" si="11"/>
        <v>-0.08871230595</v>
      </c>
      <c r="BD57" s="11">
        <f t="shared" ref="BD57:BE57" si="66">((R57-R$68)/R$69)</f>
        <v>3.784865073</v>
      </c>
      <c r="BE57" s="11">
        <f t="shared" si="66"/>
        <v>1.597614789</v>
      </c>
      <c r="BF57" s="3"/>
    </row>
    <row r="58">
      <c r="A58" s="3" t="s">
        <v>77</v>
      </c>
      <c r="B58" s="4">
        <f t="shared" si="2"/>
        <v>-3.264198872</v>
      </c>
      <c r="C58" s="3" t="s">
        <v>58</v>
      </c>
      <c r="D58" s="3" t="s">
        <v>59</v>
      </c>
      <c r="E58" s="5" t="s">
        <v>82</v>
      </c>
      <c r="F58" s="3" t="s">
        <v>61</v>
      </c>
      <c r="G58" s="12" t="s">
        <v>83</v>
      </c>
      <c r="H58" s="5" t="s">
        <v>71</v>
      </c>
      <c r="I58" s="6">
        <v>20.0</v>
      </c>
      <c r="J58" s="12" t="s">
        <v>90</v>
      </c>
      <c r="K58" s="3" t="s">
        <v>72</v>
      </c>
      <c r="L58" s="5" t="s">
        <v>66</v>
      </c>
      <c r="M58" s="3" t="s">
        <v>67</v>
      </c>
      <c r="N58" s="3" t="s">
        <v>84</v>
      </c>
      <c r="O58" s="3" t="s">
        <v>69</v>
      </c>
      <c r="P58" s="5" t="s">
        <v>76</v>
      </c>
      <c r="Q58" s="3"/>
      <c r="R58" s="13">
        <v>245.184883594512</v>
      </c>
      <c r="S58" s="13">
        <v>430.326149225235</v>
      </c>
      <c r="T58" s="13">
        <v>5.87989904480629</v>
      </c>
      <c r="U58" s="13">
        <v>52.8583596488559</v>
      </c>
      <c r="V58" s="13">
        <v>7.27037548197174</v>
      </c>
      <c r="W58" s="13">
        <v>-0.956457876263246</v>
      </c>
      <c r="X58" s="13">
        <v>0.299249595702623</v>
      </c>
      <c r="Y58" s="13">
        <v>0.146945907841399</v>
      </c>
      <c r="Z58" s="13">
        <v>0.383335242107218</v>
      </c>
      <c r="AA58" s="13">
        <v>-2.28863359204657</v>
      </c>
      <c r="AB58" s="13">
        <v>0.301233258398319</v>
      </c>
      <c r="AC58" s="13">
        <v>0.385227222425391</v>
      </c>
      <c r="AD58" s="13">
        <v>-2.30529139165833</v>
      </c>
      <c r="AE58" s="13">
        <v>0.208734158675886</v>
      </c>
      <c r="AF58" s="13">
        <v>0.259012981156863</v>
      </c>
      <c r="AG58" s="13">
        <v>-0.488093147315766</v>
      </c>
      <c r="AH58" s="13">
        <v>10.0</v>
      </c>
      <c r="AI58" s="13">
        <v>5.87989904480642</v>
      </c>
      <c r="AJ58" s="13">
        <v>52.8583596488559</v>
      </c>
      <c r="AK58" s="13">
        <v>7.27037548197174</v>
      </c>
      <c r="AL58" s="13">
        <v>-0.956552952288896</v>
      </c>
      <c r="AM58" s="13">
        <v>7.38021483075952</v>
      </c>
      <c r="AN58" s="13">
        <v>89.0771077417735</v>
      </c>
      <c r="AO58" s="13">
        <v>9.43806694942208</v>
      </c>
      <c r="AP58" s="13">
        <v>-2.30529139165833</v>
      </c>
      <c r="AQ58" s="13">
        <v>5.11398688755932</v>
      </c>
      <c r="AR58" s="13">
        <v>40.2694065757614</v>
      </c>
      <c r="AS58" s="13">
        <v>6.34581803834316</v>
      </c>
      <c r="AT58" s="13">
        <v>-0.488093147315766</v>
      </c>
      <c r="AU58" s="8">
        <f t="shared" si="3"/>
        <v>4.449697619</v>
      </c>
      <c r="AV58" s="9">
        <f t="shared" si="4"/>
        <v>4.771852892</v>
      </c>
      <c r="AW58" s="9">
        <f t="shared" si="5"/>
        <v>2.959252515</v>
      </c>
      <c r="AX58" s="10">
        <f t="shared" si="6"/>
        <v>3.02771409</v>
      </c>
      <c r="AY58" s="8">
        <f t="shared" si="7"/>
        <v>3.386524103</v>
      </c>
      <c r="AZ58" s="10">
        <f t="shared" si="8"/>
        <v>3.470096975</v>
      </c>
      <c r="BA58" s="8">
        <f t="shared" si="9"/>
        <v>6.147974136</v>
      </c>
      <c r="BB58" s="9">
        <f t="shared" si="10"/>
        <v>3.390456635</v>
      </c>
      <c r="BC58" s="10">
        <f t="shared" si="11"/>
        <v>3.866209673</v>
      </c>
      <c r="BD58" s="11">
        <f t="shared" ref="BD58:BE58" si="67">((R58-R$68)/R$69)</f>
        <v>-0.5121472086</v>
      </c>
      <c r="BE58" s="11">
        <f t="shared" si="67"/>
        <v>0.9485561623</v>
      </c>
      <c r="BF58" s="3"/>
    </row>
    <row r="59">
      <c r="A59" s="3" t="s">
        <v>57</v>
      </c>
      <c r="B59" s="4">
        <f t="shared" si="2"/>
        <v>-3.081318774</v>
      </c>
      <c r="C59" s="3" t="s">
        <v>58</v>
      </c>
      <c r="D59" s="3" t="s">
        <v>59</v>
      </c>
      <c r="E59" s="5" t="s">
        <v>82</v>
      </c>
      <c r="F59" s="3" t="s">
        <v>78</v>
      </c>
      <c r="G59" s="12" t="s">
        <v>86</v>
      </c>
      <c r="H59" s="5" t="s">
        <v>71</v>
      </c>
      <c r="I59" s="6">
        <v>20.0</v>
      </c>
      <c r="J59" s="12" t="s">
        <v>90</v>
      </c>
      <c r="K59" s="3" t="s">
        <v>72</v>
      </c>
      <c r="L59" s="5" t="s">
        <v>66</v>
      </c>
      <c r="M59" s="3" t="s">
        <v>74</v>
      </c>
      <c r="N59" s="3" t="s">
        <v>84</v>
      </c>
      <c r="O59" s="3" t="s">
        <v>69</v>
      </c>
      <c r="P59" s="5" t="s">
        <v>76</v>
      </c>
      <c r="Q59" s="3"/>
      <c r="R59" s="13">
        <v>205.485952854156</v>
      </c>
      <c r="S59" s="13">
        <v>405.969983577728</v>
      </c>
      <c r="T59" s="13">
        <v>6.321659601026</v>
      </c>
      <c r="U59" s="13">
        <v>61.8866962184523</v>
      </c>
      <c r="V59" s="13">
        <v>7.86680978659407</v>
      </c>
      <c r="W59" s="13">
        <v>-1.29538088635562</v>
      </c>
      <c r="X59" s="13">
        <v>0.227892964267281</v>
      </c>
      <c r="Y59" s="13">
        <v>0.0814155513182812</v>
      </c>
      <c r="Z59" s="13">
        <v>0.285334104723359</v>
      </c>
      <c r="AA59" s="13">
        <v>-0.847971980112482</v>
      </c>
      <c r="AB59" s="13">
        <v>0.232304338451178</v>
      </c>
      <c r="AC59" s="13">
        <v>0.289390374136403</v>
      </c>
      <c r="AD59" s="13">
        <v>-0.881769189419285</v>
      </c>
      <c r="AE59" s="13">
        <v>0.228245730237556</v>
      </c>
      <c r="AF59" s="13">
        <v>0.290575680628704</v>
      </c>
      <c r="AG59" s="13">
        <v>-0.856747788020049</v>
      </c>
      <c r="AH59" s="13">
        <v>10.0</v>
      </c>
      <c r="AI59" s="13">
        <v>6.32165960102618</v>
      </c>
      <c r="AJ59" s="13">
        <v>61.8866962184523</v>
      </c>
      <c r="AK59" s="13">
        <v>7.86680978659407</v>
      </c>
      <c r="AL59" s="13">
        <v>-1.29565462779693</v>
      </c>
      <c r="AM59" s="13">
        <v>5.6914562920542</v>
      </c>
      <c r="AN59" s="13">
        <v>50.2690098828452</v>
      </c>
      <c r="AO59" s="13">
        <v>7.09006416634188</v>
      </c>
      <c r="AP59" s="13">
        <v>-0.881769189419285</v>
      </c>
      <c r="AQ59" s="13">
        <v>5.59202039082042</v>
      </c>
      <c r="AR59" s="13">
        <v>50.681644260244</v>
      </c>
      <c r="AS59" s="13">
        <v>7.11910417540325</v>
      </c>
      <c r="AT59" s="13">
        <v>-0.856747788020049</v>
      </c>
      <c r="AU59" s="8">
        <f t="shared" si="3"/>
        <v>3.025821418</v>
      </c>
      <c r="AV59" s="9">
        <f t="shared" si="4"/>
        <v>3.133352718</v>
      </c>
      <c r="AW59" s="9">
        <f t="shared" si="5"/>
        <v>3.501991264</v>
      </c>
      <c r="AX59" s="10">
        <f t="shared" si="6"/>
        <v>3.766587056</v>
      </c>
      <c r="AY59" s="8">
        <f t="shared" si="7"/>
        <v>3.816612818</v>
      </c>
      <c r="AZ59" s="10">
        <f t="shared" si="8"/>
        <v>3.958354043</v>
      </c>
      <c r="BA59" s="8">
        <f t="shared" si="9"/>
        <v>3.218437768</v>
      </c>
      <c r="BB59" s="9">
        <f t="shared" si="10"/>
        <v>4.55881682</v>
      </c>
      <c r="BC59" s="10">
        <f t="shared" si="11"/>
        <v>4.709426884</v>
      </c>
      <c r="BD59" s="11">
        <f t="shared" ref="BD59:BE59" si="68">((R59-R$68)/R$69)</f>
        <v>-0.5630464876</v>
      </c>
      <c r="BE59" s="11">
        <f t="shared" si="68"/>
        <v>0.7681522169</v>
      </c>
      <c r="BF59" s="3"/>
    </row>
    <row r="60">
      <c r="A60" s="3" t="s">
        <v>57</v>
      </c>
      <c r="B60" s="4">
        <f t="shared" si="2"/>
        <v>0.4992642701</v>
      </c>
      <c r="C60" s="3" t="s">
        <v>58</v>
      </c>
      <c r="D60" s="3" t="s">
        <v>59</v>
      </c>
      <c r="E60" s="5" t="s">
        <v>60</v>
      </c>
      <c r="F60" s="3" t="s">
        <v>78</v>
      </c>
      <c r="G60" s="12" t="s">
        <v>60</v>
      </c>
      <c r="H60" s="5" t="s">
        <v>63</v>
      </c>
      <c r="I60" s="6">
        <v>150.0</v>
      </c>
      <c r="J60" s="12" t="s">
        <v>90</v>
      </c>
      <c r="K60" s="3" t="s">
        <v>72</v>
      </c>
      <c r="L60" s="5" t="s">
        <v>66</v>
      </c>
      <c r="M60" s="3" t="s">
        <v>79</v>
      </c>
      <c r="N60" s="3" t="s">
        <v>68</v>
      </c>
      <c r="O60" s="3" t="s">
        <v>69</v>
      </c>
      <c r="P60" s="5" t="s">
        <v>87</v>
      </c>
      <c r="Q60" s="3"/>
      <c r="R60" s="13">
        <v>203.166849851608</v>
      </c>
      <c r="S60" s="13">
        <v>158.626188993453</v>
      </c>
      <c r="T60" s="13">
        <v>1.87747891598654</v>
      </c>
      <c r="U60" s="13">
        <v>5.98435542607466</v>
      </c>
      <c r="V60" s="13">
        <v>2.44629422312089</v>
      </c>
      <c r="W60" s="13">
        <v>0.770132953981072</v>
      </c>
      <c r="X60" s="13">
        <v>0.0618902525461788</v>
      </c>
      <c r="Y60" s="13">
        <v>0.00637109673580153</v>
      </c>
      <c r="Z60" s="13">
        <v>0.0798191501821557</v>
      </c>
      <c r="AA60" s="13">
        <v>0.863963833513117</v>
      </c>
      <c r="AB60" s="13">
        <v>0.0617717412269788</v>
      </c>
      <c r="AC60" s="13">
        <v>0.0794705859486293</v>
      </c>
      <c r="AD60" s="13">
        <v>0.866591852650356</v>
      </c>
      <c r="AE60" s="13">
        <v>0.0924483512554305</v>
      </c>
      <c r="AF60" s="13">
        <v>0.120806098807586</v>
      </c>
      <c r="AG60" s="13">
        <v>0.698698116273011</v>
      </c>
      <c r="AH60" s="13">
        <v>10.0</v>
      </c>
      <c r="AI60" s="13">
        <v>1.87747891598654</v>
      </c>
      <c r="AJ60" s="13">
        <v>5.98435542607466</v>
      </c>
      <c r="AK60" s="13">
        <v>2.44629422312089</v>
      </c>
      <c r="AL60" s="13">
        <v>0.769849380867071</v>
      </c>
      <c r="AM60" s="13">
        <v>1.44048268777914</v>
      </c>
      <c r="AN60" s="13">
        <v>3.43438698533493</v>
      </c>
      <c r="AO60" s="13">
        <v>1.8532099139965</v>
      </c>
      <c r="AP60" s="13">
        <v>0.866591852650356</v>
      </c>
      <c r="AQ60" s="13">
        <v>2.15584419108151</v>
      </c>
      <c r="AR60" s="13">
        <v>7.93622768920334</v>
      </c>
      <c r="AS60" s="13">
        <v>2.81713110969357</v>
      </c>
      <c r="AT60" s="13">
        <v>0.698698116273011</v>
      </c>
      <c r="AU60" s="8">
        <f t="shared" si="3"/>
        <v>-0.496898899</v>
      </c>
      <c r="AV60" s="9">
        <f t="shared" si="4"/>
        <v>-0.4555967901</v>
      </c>
      <c r="AW60" s="9">
        <f t="shared" si="5"/>
        <v>-0.3992959026</v>
      </c>
      <c r="AX60" s="10">
        <f t="shared" si="6"/>
        <v>-0.3439374263</v>
      </c>
      <c r="AY60" s="8">
        <f t="shared" si="7"/>
        <v>-0.5101473061</v>
      </c>
      <c r="AZ60" s="10">
        <f t="shared" si="8"/>
        <v>-0.4790249164</v>
      </c>
      <c r="BA60" s="8">
        <f t="shared" si="9"/>
        <v>-0.379600428</v>
      </c>
      <c r="BB60" s="9">
        <f t="shared" si="10"/>
        <v>-0.3707862939</v>
      </c>
      <c r="BC60" s="10">
        <f t="shared" si="11"/>
        <v>-0.4266979285</v>
      </c>
      <c r="BD60" s="11">
        <f t="shared" ref="BD60:BE60" si="69">((R60-R$68)/R$69)</f>
        <v>-0.5660198843</v>
      </c>
      <c r="BE60" s="11">
        <f t="shared" si="69"/>
        <v>-1.063901196</v>
      </c>
      <c r="BF60" s="3"/>
    </row>
    <row r="61">
      <c r="A61" s="3" t="s">
        <v>77</v>
      </c>
      <c r="B61" s="4">
        <f t="shared" si="2"/>
        <v>0.6930662311</v>
      </c>
      <c r="C61" s="3" t="s">
        <v>58</v>
      </c>
      <c r="D61" s="3" t="s">
        <v>59</v>
      </c>
      <c r="E61" s="5" t="s">
        <v>60</v>
      </c>
      <c r="F61" s="3" t="s">
        <v>61</v>
      </c>
      <c r="G61" s="12" t="s">
        <v>62</v>
      </c>
      <c r="H61" s="5" t="s">
        <v>71</v>
      </c>
      <c r="I61" s="6">
        <v>150.0</v>
      </c>
      <c r="J61" s="12" t="s">
        <v>90</v>
      </c>
      <c r="K61" s="3" t="s">
        <v>65</v>
      </c>
      <c r="L61" s="5" t="s">
        <v>66</v>
      </c>
      <c r="M61" s="3" t="s">
        <v>74</v>
      </c>
      <c r="N61" s="3" t="s">
        <v>80</v>
      </c>
      <c r="O61" s="3" t="s">
        <v>69</v>
      </c>
      <c r="P61" s="5" t="s">
        <v>70</v>
      </c>
      <c r="Q61" s="3"/>
      <c r="R61" s="13">
        <v>722.814130306243</v>
      </c>
      <c r="S61" s="13">
        <v>171.767558574676</v>
      </c>
      <c r="T61" s="13">
        <v>1.54140108611225</v>
      </c>
      <c r="U61" s="13">
        <v>4.01106848043347</v>
      </c>
      <c r="V61" s="13">
        <v>2.00276520851383</v>
      </c>
      <c r="W61" s="13">
        <v>0.847056798108705</v>
      </c>
      <c r="X61" s="13">
        <v>0.0494512064626585</v>
      </c>
      <c r="Y61" s="13">
        <v>0.00405141679932084</v>
      </c>
      <c r="Z61" s="13">
        <v>0.0636507407601894</v>
      </c>
      <c r="AA61" s="13">
        <v>0.915199323609475</v>
      </c>
      <c r="AB61" s="13">
        <v>0.049352857791279</v>
      </c>
      <c r="AC61" s="13">
        <v>0.0635174499192507</v>
      </c>
      <c r="AD61" s="13">
        <v>0.915978858007816</v>
      </c>
      <c r="AE61" s="13">
        <v>0.0747366754607229</v>
      </c>
      <c r="AF61" s="13">
        <v>0.0957237766091058</v>
      </c>
      <c r="AG61" s="13">
        <v>0.810574047361155</v>
      </c>
      <c r="AH61" s="13">
        <v>10.0</v>
      </c>
      <c r="AI61" s="13">
        <v>1.54140108611225</v>
      </c>
      <c r="AJ61" s="13">
        <v>4.01106848043347</v>
      </c>
      <c r="AK61" s="13">
        <v>2.00276520851383</v>
      </c>
      <c r="AL61" s="13">
        <v>0.846997605261183</v>
      </c>
      <c r="AM61" s="13">
        <v>1.1508812254383</v>
      </c>
      <c r="AN61" s="13">
        <v>2.19392868816541</v>
      </c>
      <c r="AO61" s="13">
        <v>1.48119164464474</v>
      </c>
      <c r="AP61" s="13">
        <v>0.915978858007816</v>
      </c>
      <c r="AQ61" s="13">
        <v>1.74281775136882</v>
      </c>
      <c r="AR61" s="13">
        <v>4.98282974821057</v>
      </c>
      <c r="AS61" s="13">
        <v>2.23222529064845</v>
      </c>
      <c r="AT61" s="13">
        <v>0.810574047361155</v>
      </c>
      <c r="AU61" s="8">
        <f t="shared" si="3"/>
        <v>-0.7534378465</v>
      </c>
      <c r="AV61" s="9">
        <f t="shared" si="4"/>
        <v>-0.7283438245</v>
      </c>
      <c r="AW61" s="9">
        <f t="shared" si="5"/>
        <v>-0.8682284179</v>
      </c>
      <c r="AX61" s="10">
        <f t="shared" si="6"/>
        <v>-0.9028134704</v>
      </c>
      <c r="AY61" s="8">
        <f t="shared" si="7"/>
        <v>-0.8373455583</v>
      </c>
      <c r="AZ61" s="10">
        <f t="shared" si="8"/>
        <v>-0.8421096256</v>
      </c>
      <c r="BA61" s="8">
        <f t="shared" si="9"/>
        <v>-0.4812363759</v>
      </c>
      <c r="BB61" s="9">
        <f t="shared" si="10"/>
        <v>-0.7253495332</v>
      </c>
      <c r="BC61" s="10">
        <f t="shared" si="11"/>
        <v>-0.6185362923</v>
      </c>
      <c r="BD61" s="11">
        <f t="shared" ref="BD61:BE61" si="70">((R61-R$68)/R$69)</f>
        <v>0.100236647</v>
      </c>
      <c r="BE61" s="11">
        <f t="shared" si="70"/>
        <v>-0.9665642443</v>
      </c>
      <c r="BF61" s="3"/>
    </row>
    <row r="62">
      <c r="A62" s="3" t="s">
        <v>57</v>
      </c>
      <c r="B62" s="4">
        <f t="shared" si="2"/>
        <v>0.3936579855</v>
      </c>
      <c r="C62" s="3" t="s">
        <v>58</v>
      </c>
      <c r="D62" s="3" t="s">
        <v>59</v>
      </c>
      <c r="E62" s="5" t="s">
        <v>82</v>
      </c>
      <c r="F62" s="3" t="s">
        <v>61</v>
      </c>
      <c r="G62" s="12" t="s">
        <v>83</v>
      </c>
      <c r="H62" s="5" t="s">
        <v>63</v>
      </c>
      <c r="I62" s="6">
        <v>150.0</v>
      </c>
      <c r="J62" s="12" t="s">
        <v>90</v>
      </c>
      <c r="K62" s="3" t="s">
        <v>72</v>
      </c>
      <c r="L62" s="5" t="s">
        <v>73</v>
      </c>
      <c r="M62" s="3" t="s">
        <v>74</v>
      </c>
      <c r="N62" s="3" t="s">
        <v>84</v>
      </c>
      <c r="O62" s="3" t="s">
        <v>69</v>
      </c>
      <c r="P62" s="5" t="s">
        <v>87</v>
      </c>
      <c r="Q62" s="5" t="s">
        <v>87</v>
      </c>
      <c r="R62" s="13">
        <v>354.03609251976</v>
      </c>
      <c r="S62" s="13">
        <v>422.543958902359</v>
      </c>
      <c r="T62" s="13">
        <v>1.84471924698018</v>
      </c>
      <c r="U62" s="13">
        <v>5.38210961324825</v>
      </c>
      <c r="V62" s="13">
        <v>2.31993741580419</v>
      </c>
      <c r="W62" s="13">
        <v>0.800630724358903</v>
      </c>
      <c r="X62" s="13">
        <v>0.0639664503776031</v>
      </c>
      <c r="Y62" s="13">
        <v>0.0063334195274246</v>
      </c>
      <c r="Z62" s="13">
        <v>0.0795827841145596</v>
      </c>
      <c r="AA62" s="13">
        <v>0.858105545555521</v>
      </c>
      <c r="AB62" s="13">
        <v>0.0638786801381011</v>
      </c>
      <c r="AC62" s="13">
        <v>0.0794442691862783</v>
      </c>
      <c r="AD62" s="13">
        <v>0.859263398495421</v>
      </c>
      <c r="AE62" s="13">
        <v>0.0800446042083455</v>
      </c>
      <c r="AF62" s="13">
        <v>0.0997482217230453</v>
      </c>
      <c r="AG62" s="13">
        <v>0.779207793568654</v>
      </c>
      <c r="AH62" s="13">
        <v>10.0</v>
      </c>
      <c r="AI62" s="13">
        <v>1.84471924698013</v>
      </c>
      <c r="AJ62" s="13">
        <v>5.38210961324824</v>
      </c>
      <c r="AK62" s="13">
        <v>2.31993741580419</v>
      </c>
      <c r="AL62" s="13">
        <v>0.800592921915392</v>
      </c>
      <c r="AM62" s="13">
        <v>1.56502766338351</v>
      </c>
      <c r="AN62" s="13">
        <v>3.78841299190176</v>
      </c>
      <c r="AO62" s="13">
        <v>1.94638459506382</v>
      </c>
      <c r="AP62" s="13">
        <v>0.859263398495421</v>
      </c>
      <c r="AQ62" s="13">
        <v>1.96109280310454</v>
      </c>
      <c r="AR62" s="13">
        <v>5.9723120690801</v>
      </c>
      <c r="AS62" s="13">
        <v>2.4438314322146</v>
      </c>
      <c r="AT62" s="13">
        <v>0.779207793568654</v>
      </c>
      <c r="AU62" s="8">
        <f t="shared" si="3"/>
        <v>-0.4533755104</v>
      </c>
      <c r="AV62" s="9">
        <f t="shared" si="4"/>
        <v>-0.4560467216</v>
      </c>
      <c r="AW62" s="9">
        <f t="shared" si="5"/>
        <v>-0.6204082805</v>
      </c>
      <c r="AX62" s="10">
        <f t="shared" si="6"/>
        <v>-0.7006243325</v>
      </c>
      <c r="AY62" s="8">
        <f t="shared" si="7"/>
        <v>-0.5420414255</v>
      </c>
      <c r="AZ62" s="10">
        <f t="shared" si="8"/>
        <v>-0.582463977</v>
      </c>
      <c r="BA62" s="8">
        <f t="shared" si="9"/>
        <v>-0.3645188417</v>
      </c>
      <c r="BB62" s="9">
        <f t="shared" si="10"/>
        <v>-0.6259419087</v>
      </c>
      <c r="BC62" s="10">
        <f t="shared" si="11"/>
        <v>-0.5031454509</v>
      </c>
      <c r="BD62" s="11">
        <f t="shared" ref="BD62:BE62" si="71">((R62-R$68)/R$69)</f>
        <v>-0.3725855644</v>
      </c>
      <c r="BE62" s="11">
        <f t="shared" si="71"/>
        <v>0.8909141731</v>
      </c>
      <c r="BF62" s="3"/>
    </row>
    <row r="63">
      <c r="A63" s="3" t="s">
        <v>57</v>
      </c>
      <c r="B63" s="4">
        <f t="shared" si="2"/>
        <v>-0.422717427</v>
      </c>
      <c r="C63" s="3" t="s">
        <v>58</v>
      </c>
      <c r="D63" s="3" t="s">
        <v>59</v>
      </c>
      <c r="E63" s="5" t="s">
        <v>60</v>
      </c>
      <c r="F63" s="3" t="s">
        <v>61</v>
      </c>
      <c r="G63" s="12" t="s">
        <v>62</v>
      </c>
      <c r="H63" s="5" t="s">
        <v>63</v>
      </c>
      <c r="I63" s="6">
        <v>150.0</v>
      </c>
      <c r="J63" s="12" t="s">
        <v>90</v>
      </c>
      <c r="K63" s="3" t="s">
        <v>65</v>
      </c>
      <c r="L63" s="5" t="s">
        <v>66</v>
      </c>
      <c r="M63" s="3" t="s">
        <v>67</v>
      </c>
      <c r="N63" s="3" t="s">
        <v>80</v>
      </c>
      <c r="O63" s="3" t="s">
        <v>69</v>
      </c>
      <c r="P63" s="5" t="s">
        <v>70</v>
      </c>
      <c r="Q63" s="3"/>
      <c r="R63" s="13">
        <v>134.149076223373</v>
      </c>
      <c r="S63" s="13">
        <v>165.738556146621</v>
      </c>
      <c r="T63" s="13">
        <v>2.96680691380901</v>
      </c>
      <c r="U63" s="13">
        <v>13.7044388410419</v>
      </c>
      <c r="V63" s="13">
        <v>3.70195068052533</v>
      </c>
      <c r="W63" s="13">
        <v>0.473706192692858</v>
      </c>
      <c r="X63" s="13">
        <v>0.14220113323136</v>
      </c>
      <c r="Y63" s="13">
        <v>0.0289147097635211</v>
      </c>
      <c r="Z63" s="13">
        <v>0.170043258506537</v>
      </c>
      <c r="AA63" s="13">
        <v>0.391794035006377</v>
      </c>
      <c r="AB63" s="13">
        <v>0.142857579001476</v>
      </c>
      <c r="AC63" s="13">
        <v>0.170639214083986</v>
      </c>
      <c r="AD63" s="13">
        <v>0.390502287066819</v>
      </c>
      <c r="AE63" s="13">
        <v>0.13565467118123</v>
      </c>
      <c r="AF63" s="13">
        <v>0.168766520424112</v>
      </c>
      <c r="AG63" s="13">
        <v>0.406321092247673</v>
      </c>
      <c r="AH63" s="13">
        <v>10.0</v>
      </c>
      <c r="AI63" s="13">
        <v>2.96680691380901</v>
      </c>
      <c r="AJ63" s="13">
        <v>13.7044388410419</v>
      </c>
      <c r="AK63" s="13">
        <v>3.70195068052533</v>
      </c>
      <c r="AL63" s="13">
        <v>0.473662130145656</v>
      </c>
      <c r="AM63" s="13">
        <v>3.33135937699275</v>
      </c>
      <c r="AN63" s="13">
        <v>15.8341255375461</v>
      </c>
      <c r="AO63" s="13">
        <v>3.97921167287518</v>
      </c>
      <c r="AP63" s="13">
        <v>0.390502287066819</v>
      </c>
      <c r="AQ63" s="13">
        <v>3.1633915682401</v>
      </c>
      <c r="AR63" s="13">
        <v>15.4884868754927</v>
      </c>
      <c r="AS63" s="13">
        <v>3.93554149711227</v>
      </c>
      <c r="AT63" s="13">
        <v>0.406321092247673</v>
      </c>
      <c r="AU63" s="8">
        <f t="shared" si="3"/>
        <v>1.178104782</v>
      </c>
      <c r="AV63" s="9">
        <f t="shared" si="4"/>
        <v>1.103091916</v>
      </c>
      <c r="AW63" s="9">
        <f t="shared" si="5"/>
        <v>0.7446302012</v>
      </c>
      <c r="AX63" s="10">
        <f t="shared" si="6"/>
        <v>0.7247008957</v>
      </c>
      <c r="AY63" s="8">
        <f t="shared" si="7"/>
        <v>0.550399345</v>
      </c>
      <c r="AZ63" s="10">
        <f t="shared" si="8"/>
        <v>0.5488890299</v>
      </c>
      <c r="BA63" s="8">
        <f t="shared" si="9"/>
        <v>0.6001677094</v>
      </c>
      <c r="BB63" s="9">
        <f t="shared" si="10"/>
        <v>0.5558307515</v>
      </c>
      <c r="BC63" s="10">
        <f t="shared" si="11"/>
        <v>0.30980739</v>
      </c>
      <c r="BD63" s="11">
        <f t="shared" ref="BD63:BE63" si="72">((R63-R$68)/R$69)</f>
        <v>-0.654509797</v>
      </c>
      <c r="BE63" s="11">
        <f t="shared" si="72"/>
        <v>-1.011220527</v>
      </c>
      <c r="BF63" s="3"/>
    </row>
    <row r="64">
      <c r="A64" s="3" t="s">
        <v>77</v>
      </c>
      <c r="B64" s="4">
        <f t="shared" si="2"/>
        <v>-1.354942799</v>
      </c>
      <c r="C64" s="3" t="s">
        <v>58</v>
      </c>
      <c r="D64" s="3" t="s">
        <v>59</v>
      </c>
      <c r="E64" s="5" t="s">
        <v>60</v>
      </c>
      <c r="F64" s="3" t="s">
        <v>78</v>
      </c>
      <c r="G64" s="12" t="s">
        <v>60</v>
      </c>
      <c r="H64" s="5" t="s">
        <v>71</v>
      </c>
      <c r="I64" s="6">
        <v>150.0</v>
      </c>
      <c r="J64" s="12" t="s">
        <v>90</v>
      </c>
      <c r="K64" s="3" t="s">
        <v>72</v>
      </c>
      <c r="L64" s="5" t="s">
        <v>73</v>
      </c>
      <c r="M64" s="3" t="s">
        <v>67</v>
      </c>
      <c r="N64" s="3" t="s">
        <v>84</v>
      </c>
      <c r="O64" s="3" t="s">
        <v>69</v>
      </c>
      <c r="P64" s="5" t="s">
        <v>76</v>
      </c>
      <c r="Q64" s="5" t="s">
        <v>76</v>
      </c>
      <c r="R64" s="13">
        <v>97.7779486179351</v>
      </c>
      <c r="S64" s="13">
        <v>176.272022724151</v>
      </c>
      <c r="T64" s="13">
        <v>4.87512050953446</v>
      </c>
      <c r="U64" s="13">
        <v>37.7559086597051</v>
      </c>
      <c r="V64" s="13">
        <v>6.14458368481585</v>
      </c>
      <c r="W64" s="13">
        <v>-0.445326300036967</v>
      </c>
      <c r="X64" s="13">
        <v>0.156633401673053</v>
      </c>
      <c r="Y64" s="13">
        <v>0.0359936581785177</v>
      </c>
      <c r="Z64" s="13">
        <v>0.189719946707028</v>
      </c>
      <c r="AA64" s="13">
        <v>0.234682587142149</v>
      </c>
      <c r="AB64" s="13">
        <v>0.159295846848903</v>
      </c>
      <c r="AC64" s="13">
        <v>0.192169121285667</v>
      </c>
      <c r="AD64" s="13">
        <v>0.223605679799496</v>
      </c>
      <c r="AE64" s="13">
        <v>0.177138828277891</v>
      </c>
      <c r="AF64" s="13">
        <v>0.209923208253094</v>
      </c>
      <c r="AG64" s="13">
        <v>0.0864271695439543</v>
      </c>
      <c r="AH64" s="13">
        <v>10.0</v>
      </c>
      <c r="AI64" s="13">
        <v>4.87512050953446</v>
      </c>
      <c r="AJ64" s="13">
        <v>37.7559086597051</v>
      </c>
      <c r="AK64" s="13">
        <v>6.14458368481585</v>
      </c>
      <c r="AL64" s="13">
        <v>-0.445365555574391</v>
      </c>
      <c r="AM64" s="13">
        <v>3.71469065082373</v>
      </c>
      <c r="AN64" s="13">
        <v>20.0818448750256</v>
      </c>
      <c r="AO64" s="13">
        <v>4.48127714775884</v>
      </c>
      <c r="AP64" s="13">
        <v>0.223605679799495</v>
      </c>
      <c r="AQ64" s="13">
        <v>4.13077906498027</v>
      </c>
      <c r="AR64" s="13">
        <v>23.9638895657699</v>
      </c>
      <c r="AS64" s="13">
        <v>4.89529259245756</v>
      </c>
      <c r="AT64" s="13">
        <v>0.0864271695439542</v>
      </c>
      <c r="AU64" s="8">
        <f t="shared" si="3"/>
        <v>1.517672824</v>
      </c>
      <c r="AV64" s="9">
        <f t="shared" si="4"/>
        <v>1.471183703</v>
      </c>
      <c r="AW64" s="9">
        <f t="shared" si="5"/>
        <v>1.842960498</v>
      </c>
      <c r="AX64" s="10">
        <f t="shared" si="6"/>
        <v>1.641740662</v>
      </c>
      <c r="AY64" s="8">
        <f t="shared" si="7"/>
        <v>2.408293016</v>
      </c>
      <c r="AZ64" s="10">
        <f t="shared" si="8"/>
        <v>2.548493712</v>
      </c>
      <c r="BA64" s="8">
        <f t="shared" si="9"/>
        <v>0.9436324477</v>
      </c>
      <c r="BB64" s="9">
        <f t="shared" si="10"/>
        <v>1.569655838</v>
      </c>
      <c r="BC64" s="10">
        <f t="shared" si="11"/>
        <v>2.595080563</v>
      </c>
      <c r="BD64" s="11">
        <f t="shared" ref="BD64:BE64" si="73">((R64-R$68)/R$69)</f>
        <v>-0.7011423922</v>
      </c>
      <c r="BE64" s="11">
        <f t="shared" si="73"/>
        <v>-0.9332000803</v>
      </c>
      <c r="BF64" s="3"/>
    </row>
    <row r="65">
      <c r="A65" s="3" t="s">
        <v>57</v>
      </c>
      <c r="B65" s="4">
        <f t="shared" si="2"/>
        <v>-1.40448229</v>
      </c>
      <c r="C65" s="3" t="s">
        <v>58</v>
      </c>
      <c r="D65" s="3" t="s">
        <v>59</v>
      </c>
      <c r="E65" s="5" t="s">
        <v>60</v>
      </c>
      <c r="F65" s="3" t="s">
        <v>61</v>
      </c>
      <c r="G65" s="12" t="s">
        <v>62</v>
      </c>
      <c r="H65" s="5" t="s">
        <v>71</v>
      </c>
      <c r="I65" s="6">
        <v>150.0</v>
      </c>
      <c r="J65" s="12" t="s">
        <v>90</v>
      </c>
      <c r="K65" s="3" t="s">
        <v>72</v>
      </c>
      <c r="L65" s="5" t="s">
        <v>73</v>
      </c>
      <c r="M65" s="3" t="s">
        <v>67</v>
      </c>
      <c r="N65" s="3" t="s">
        <v>84</v>
      </c>
      <c r="O65" s="3" t="s">
        <v>69</v>
      </c>
      <c r="P65" s="5" t="s">
        <v>76</v>
      </c>
      <c r="Q65" s="5" t="s">
        <v>76</v>
      </c>
      <c r="R65" s="13">
        <v>105.986302375793</v>
      </c>
      <c r="S65" s="13">
        <v>174.805060625076</v>
      </c>
      <c r="T65" s="13">
        <v>4.26535785279272</v>
      </c>
      <c r="U65" s="13">
        <v>25.8277065122278</v>
      </c>
      <c r="V65" s="13">
        <v>5.08209666498265</v>
      </c>
      <c r="W65" s="13">
        <v>0.0147304235251715</v>
      </c>
      <c r="X65" s="13">
        <v>0.190863995417979</v>
      </c>
      <c r="Y65" s="13">
        <v>0.05379306708515</v>
      </c>
      <c r="Z65" s="13">
        <v>0.231933324654198</v>
      </c>
      <c r="AA65" s="13">
        <v>-0.125948945738261</v>
      </c>
      <c r="AB65" s="13">
        <v>0.191990071981665</v>
      </c>
      <c r="AC65" s="13">
        <v>0.233051177968639</v>
      </c>
      <c r="AD65" s="13">
        <v>-0.131110612856621</v>
      </c>
      <c r="AE65" s="13">
        <v>0.182948762174257</v>
      </c>
      <c r="AF65" s="13">
        <v>0.227645919241739</v>
      </c>
      <c r="AG65" s="13">
        <v>-0.0713208816534372</v>
      </c>
      <c r="AH65" s="13">
        <v>10.0</v>
      </c>
      <c r="AI65" s="13">
        <v>4.26535785279271</v>
      </c>
      <c r="AJ65" s="13">
        <v>25.8277065122278</v>
      </c>
      <c r="AK65" s="13">
        <v>5.08209666498265</v>
      </c>
      <c r="AL65" s="13">
        <v>0.014800927418939</v>
      </c>
      <c r="AM65" s="13">
        <v>4.47710181746132</v>
      </c>
      <c r="AN65" s="13">
        <v>29.5351379925943</v>
      </c>
      <c r="AO65" s="13">
        <v>5.43462399735201</v>
      </c>
      <c r="AP65" s="13">
        <v>-0.131110612856621</v>
      </c>
      <c r="AQ65" s="13">
        <v>4.26626349570247</v>
      </c>
      <c r="AR65" s="13">
        <v>28.1809830417464</v>
      </c>
      <c r="AS65" s="13">
        <v>5.30857636676222</v>
      </c>
      <c r="AT65" s="13">
        <v>-0.0713208816534372</v>
      </c>
      <c r="AU65" s="8">
        <f t="shared" si="3"/>
        <v>2.193042888</v>
      </c>
      <c r="AV65" s="9">
        <f t="shared" si="4"/>
        <v>2.170134661</v>
      </c>
      <c r="AW65" s="9">
        <f t="shared" si="5"/>
        <v>1.996783713</v>
      </c>
      <c r="AX65" s="10">
        <f t="shared" si="6"/>
        <v>2.036632272</v>
      </c>
      <c r="AY65" s="8">
        <f t="shared" si="7"/>
        <v>1.814641017</v>
      </c>
      <c r="AZ65" s="10">
        <f t="shared" si="8"/>
        <v>1.678713431</v>
      </c>
      <c r="BA65" s="8">
        <f t="shared" si="9"/>
        <v>1.673620556</v>
      </c>
      <c r="BB65" s="9">
        <f t="shared" si="10"/>
        <v>2.069599476</v>
      </c>
      <c r="BC65" s="10">
        <f t="shared" si="11"/>
        <v>1.450821108</v>
      </c>
      <c r="BD65" s="11">
        <f t="shared" ref="BD65:BE65" si="74">((R65-R$68)/R$69)</f>
        <v>-0.6906181973</v>
      </c>
      <c r="BE65" s="11">
        <f t="shared" si="74"/>
        <v>-0.9440657377</v>
      </c>
      <c r="BF65" s="3"/>
    </row>
    <row r="66">
      <c r="A66" s="3" t="s">
        <v>57</v>
      </c>
      <c r="B66" s="4">
        <f t="shared" si="2"/>
        <v>-0.7660068405</v>
      </c>
      <c r="C66" s="3" t="s">
        <v>58</v>
      </c>
      <c r="D66" s="3" t="s">
        <v>59</v>
      </c>
      <c r="E66" s="5" t="s">
        <v>60</v>
      </c>
      <c r="F66" s="3" t="s">
        <v>61</v>
      </c>
      <c r="G66" s="5" t="s">
        <v>62</v>
      </c>
      <c r="H66" s="5" t="s">
        <v>63</v>
      </c>
      <c r="I66" s="6">
        <v>20.0</v>
      </c>
      <c r="J66" s="5" t="s">
        <v>90</v>
      </c>
      <c r="K66" s="3" t="s">
        <v>72</v>
      </c>
      <c r="L66" s="5" t="s">
        <v>66</v>
      </c>
      <c r="M66" s="3" t="s">
        <v>67</v>
      </c>
      <c r="N66" s="3" t="s">
        <v>84</v>
      </c>
      <c r="O66" s="3" t="s">
        <v>69</v>
      </c>
      <c r="P66" s="5" t="s">
        <v>75</v>
      </c>
      <c r="Q66" s="3"/>
      <c r="R66" s="13">
        <v>48.0829448699951</v>
      </c>
      <c r="S66" s="13">
        <v>159.464875459671</v>
      </c>
      <c r="T66" s="13">
        <v>4.00640690181927</v>
      </c>
      <c r="U66" s="13">
        <v>22.7317363077814</v>
      </c>
      <c r="V66" s="13">
        <v>4.76778106751782</v>
      </c>
      <c r="W66" s="13">
        <v>0.127019915115569</v>
      </c>
      <c r="X66" s="13">
        <v>0.161129247092815</v>
      </c>
      <c r="Y66" s="13">
        <v>0.0332989115752245</v>
      </c>
      <c r="Z66" s="13">
        <v>0.182479893619062</v>
      </c>
      <c r="AA66" s="13">
        <v>0.299574617435811</v>
      </c>
      <c r="AB66" s="13">
        <v>0.161176652231285</v>
      </c>
      <c r="AC66" s="13">
        <v>0.182402019903277</v>
      </c>
      <c r="AD66" s="13">
        <v>0.303576074793251</v>
      </c>
      <c r="AE66" s="13">
        <v>0.143145798732626</v>
      </c>
      <c r="AF66" s="13">
        <v>0.173875439276895</v>
      </c>
      <c r="AG66" s="13">
        <v>0.369833216793467</v>
      </c>
      <c r="AH66" s="13">
        <v>10.0</v>
      </c>
      <c r="AI66" s="13">
        <v>4.00640690181927</v>
      </c>
      <c r="AJ66" s="13">
        <v>22.7317363077814</v>
      </c>
      <c r="AK66" s="13">
        <v>4.76778106751782</v>
      </c>
      <c r="AL66" s="13">
        <v>0.12695632377906</v>
      </c>
      <c r="AM66" s="13">
        <v>3.75854998744901</v>
      </c>
      <c r="AN66" s="13">
        <v>18.0923793889333</v>
      </c>
      <c r="AO66" s="13">
        <v>4.25351376968893</v>
      </c>
      <c r="AP66" s="13">
        <v>0.303576074793251</v>
      </c>
      <c r="AQ66" s="13">
        <v>3.33808050100113</v>
      </c>
      <c r="AR66" s="13">
        <v>16.4404189261474</v>
      </c>
      <c r="AS66" s="13">
        <v>4.05467864647093</v>
      </c>
      <c r="AT66" s="13">
        <v>0.369833216793467</v>
      </c>
      <c r="AU66" s="8">
        <f t="shared" si="3"/>
        <v>1.556524935</v>
      </c>
      <c r="AV66" s="9">
        <f t="shared" si="4"/>
        <v>1.304197855</v>
      </c>
      <c r="AW66" s="9">
        <f t="shared" si="5"/>
        <v>0.9429645275</v>
      </c>
      <c r="AX66" s="10">
        <f t="shared" si="6"/>
        <v>0.8385361433</v>
      </c>
      <c r="AY66" s="8">
        <f t="shared" si="7"/>
        <v>1.56253186</v>
      </c>
      <c r="AZ66" s="10">
        <f t="shared" si="8"/>
        <v>1.42140628</v>
      </c>
      <c r="BA66" s="8">
        <f t="shared" si="9"/>
        <v>0.7790574378</v>
      </c>
      <c r="BB66" s="9">
        <f t="shared" si="10"/>
        <v>0.6714700959</v>
      </c>
      <c r="BC66" s="10">
        <f t="shared" si="11"/>
        <v>1.17193319</v>
      </c>
      <c r="BD66" s="11">
        <f t="shared" ref="BD66:BE66" si="75">((R66-R$68)/R$69)</f>
        <v>-0.7648579587</v>
      </c>
      <c r="BE66" s="11">
        <f t="shared" si="75"/>
        <v>-1.05768912</v>
      </c>
      <c r="BF66" s="14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15"/>
      <c r="P67" s="16"/>
      <c r="Q67" s="3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18" t="s">
        <v>91</v>
      </c>
      <c r="P68" s="19"/>
      <c r="Q68" s="3"/>
      <c r="R68" s="17">
        <f t="shared" ref="R68:AT68" si="76">AVERAGE(R2:R66)</f>
        <v>644.6344824</v>
      </c>
      <c r="S68" s="17">
        <f t="shared" si="76"/>
        <v>302.2624809</v>
      </c>
      <c r="T68" s="17">
        <f t="shared" si="76"/>
        <v>2.401470711</v>
      </c>
      <c r="U68" s="17">
        <f t="shared" si="76"/>
        <v>10.65894153</v>
      </c>
      <c r="V68" s="17">
        <f t="shared" si="76"/>
        <v>3.03145092</v>
      </c>
      <c r="W68" s="17">
        <f t="shared" si="76"/>
        <v>0.5984005906</v>
      </c>
      <c r="X68" s="17">
        <f t="shared" si="76"/>
        <v>0.0857765603</v>
      </c>
      <c r="Y68" s="17">
        <f t="shared" si="76"/>
        <v>0.01457244693</v>
      </c>
      <c r="Z68" s="17">
        <f t="shared" si="76"/>
        <v>0.106161391</v>
      </c>
      <c r="AA68" s="17">
        <f t="shared" si="76"/>
        <v>0.6809528319</v>
      </c>
      <c r="AB68" s="17">
        <f t="shared" si="76"/>
        <v>0.08582629344</v>
      </c>
      <c r="AC68" s="17">
        <f t="shared" si="76"/>
        <v>0.1061187128</v>
      </c>
      <c r="AD68" s="17">
        <f t="shared" si="76"/>
        <v>0.6821361677</v>
      </c>
      <c r="AE68" s="17">
        <f t="shared" si="76"/>
        <v>0.1049770531</v>
      </c>
      <c r="AF68" s="17">
        <f t="shared" si="76"/>
        <v>0.1329914981</v>
      </c>
      <c r="AG68" s="17">
        <f t="shared" si="76"/>
        <v>0.5817032977</v>
      </c>
      <c r="AH68" s="17">
        <f t="shared" si="76"/>
        <v>10</v>
      </c>
      <c r="AI68" s="17">
        <f t="shared" si="76"/>
        <v>2.401470711</v>
      </c>
      <c r="AJ68" s="17">
        <f t="shared" si="76"/>
        <v>10.65894153</v>
      </c>
      <c r="AK68" s="17">
        <f t="shared" si="76"/>
        <v>3.03145092</v>
      </c>
      <c r="AL68" s="17">
        <f t="shared" si="76"/>
        <v>0.5982518606</v>
      </c>
      <c r="AM68" s="17">
        <f t="shared" si="76"/>
        <v>2.0505499</v>
      </c>
      <c r="AN68" s="17">
        <f t="shared" si="76"/>
        <v>8.398394615</v>
      </c>
      <c r="AO68" s="17">
        <f t="shared" si="76"/>
        <v>2.535797795</v>
      </c>
      <c r="AP68" s="17">
        <f t="shared" si="76"/>
        <v>0.6821361677</v>
      </c>
      <c r="AQ68" s="17">
        <f t="shared" si="76"/>
        <v>2.507536086</v>
      </c>
      <c r="AR68" s="17">
        <f t="shared" si="76"/>
        <v>11.17235359</v>
      </c>
      <c r="AS68" s="17">
        <f t="shared" si="76"/>
        <v>3.177087497</v>
      </c>
      <c r="AT68" s="17">
        <f t="shared" si="76"/>
        <v>0.5817032977</v>
      </c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18" t="s">
        <v>92</v>
      </c>
      <c r="P69" s="19"/>
      <c r="Q69" s="3"/>
      <c r="R69" s="17">
        <f t="shared" ref="R69:AT69" si="77">STDEV(R2:R66)</f>
        <v>779.9507487</v>
      </c>
      <c r="S69" s="17">
        <f t="shared" si="77"/>
        <v>135.009052</v>
      </c>
      <c r="T69" s="17">
        <f t="shared" si="77"/>
        <v>1.027138218</v>
      </c>
      <c r="U69" s="17">
        <f t="shared" si="77"/>
        <v>10.75658553</v>
      </c>
      <c r="V69" s="17">
        <f t="shared" si="77"/>
        <v>1.221557954</v>
      </c>
      <c r="W69" s="17">
        <f t="shared" si="77"/>
        <v>0.4021383451</v>
      </c>
      <c r="X69" s="17">
        <f t="shared" si="77"/>
        <v>0.04780755259</v>
      </c>
      <c r="Y69" s="17">
        <f t="shared" si="77"/>
        <v>0.02161103297</v>
      </c>
      <c r="Z69" s="17">
        <f t="shared" si="77"/>
        <v>0.05791202786</v>
      </c>
      <c r="AA69" s="17">
        <f t="shared" si="77"/>
        <v>0.4817600796</v>
      </c>
      <c r="AB69" s="17">
        <f t="shared" si="77"/>
        <v>0.04840934899</v>
      </c>
      <c r="AC69" s="17">
        <f t="shared" si="77"/>
        <v>0.0584905939</v>
      </c>
      <c r="AD69" s="17">
        <f t="shared" si="77"/>
        <v>0.4859206453</v>
      </c>
      <c r="AE69" s="17">
        <f t="shared" si="77"/>
        <v>0.03679886882</v>
      </c>
      <c r="AF69" s="17">
        <f t="shared" si="77"/>
        <v>0.0436177221</v>
      </c>
      <c r="AG69" s="17">
        <f t="shared" si="77"/>
        <v>0.3155316702</v>
      </c>
      <c r="AH69" s="17">
        <f t="shared" si="77"/>
        <v>0</v>
      </c>
      <c r="AI69" s="17">
        <f t="shared" si="77"/>
        <v>1.027138218</v>
      </c>
      <c r="AJ69" s="17">
        <f t="shared" si="77"/>
        <v>10.75658553</v>
      </c>
      <c r="AK69" s="17">
        <f t="shared" si="77"/>
        <v>1.221557954</v>
      </c>
      <c r="AL69" s="17">
        <f t="shared" si="77"/>
        <v>0.4021522225</v>
      </c>
      <c r="AM69" s="17">
        <f t="shared" si="77"/>
        <v>1.167359488</v>
      </c>
      <c r="AN69" s="17">
        <f t="shared" si="77"/>
        <v>13.01779646</v>
      </c>
      <c r="AO69" s="17">
        <f t="shared" si="77"/>
        <v>1.413816148</v>
      </c>
      <c r="AP69" s="17">
        <f t="shared" si="77"/>
        <v>0.4859206453</v>
      </c>
      <c r="AQ69" s="17">
        <f t="shared" si="77"/>
        <v>0.8807801254</v>
      </c>
      <c r="AR69" s="17">
        <f t="shared" si="77"/>
        <v>8.50236933</v>
      </c>
      <c r="AS69" s="17">
        <f t="shared" si="77"/>
        <v>1.04657522</v>
      </c>
      <c r="AT69" s="17">
        <f t="shared" si="77"/>
        <v>0.3155316702</v>
      </c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1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1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1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1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1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1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1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1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17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7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17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17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1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17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1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1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17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17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17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17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17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17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17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17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17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17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17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17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17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17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17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17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17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17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17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17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17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17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17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17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17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17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17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17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17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17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17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17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17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17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17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17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17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17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17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17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17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17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17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17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17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17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17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17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17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17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17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17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17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17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17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17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17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17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17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17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17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17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17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17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17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17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17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17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17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17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17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17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17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17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17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17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17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17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17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17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17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17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17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17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17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17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17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17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17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17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17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17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17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17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17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17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17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17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17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17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17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17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17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17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17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17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17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17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17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17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17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17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17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17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17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17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17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17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17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17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17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17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17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17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17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17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17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17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17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17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17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17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17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17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17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17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17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17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17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17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17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17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17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17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17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17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17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17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17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17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17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17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17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17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17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17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17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17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17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17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17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17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17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17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17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17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17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17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17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17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17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17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17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17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17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17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17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17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17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17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17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17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17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17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17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17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17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17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17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17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17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17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17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17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17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17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17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17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17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17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17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17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17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17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17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17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17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17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17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17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17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17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17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17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17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17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17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17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17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17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17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17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17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17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17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17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17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17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17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17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17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17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17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17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17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17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17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17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17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17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17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17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17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17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17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17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17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17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17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17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17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17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17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17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17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17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17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17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17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17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17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17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17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17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17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17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17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17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17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17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17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17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17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17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17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17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17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17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17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17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17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17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17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17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17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17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17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17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17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17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17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17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17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17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17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17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17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17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17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17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17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17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17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17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17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17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17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17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17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17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17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17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17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17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17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17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17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17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17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17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17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17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17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17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17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17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17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17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17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17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17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17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17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17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17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17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17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17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17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17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17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17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17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17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17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17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17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17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17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17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17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17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17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17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17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17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17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17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17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17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17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17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17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17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17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17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17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17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17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17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17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17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17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17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17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17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17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17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17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17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17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17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17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17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17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17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17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17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17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17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17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17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17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17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17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17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17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17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17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17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17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17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17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17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17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17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17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17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17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17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17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17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17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17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17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17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17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17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17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17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17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17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17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17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17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17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17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17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17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17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17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17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17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17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17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17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17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17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17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17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17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17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17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17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17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17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17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17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17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17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17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17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17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17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17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17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17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17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17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17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17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17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17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17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17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17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17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17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17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17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17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17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17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17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17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17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17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17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17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17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17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17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17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17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17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17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17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17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17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17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17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17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17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17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17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17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17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17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17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17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17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17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17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17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17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17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17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17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17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17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17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17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17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17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17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17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17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17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17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17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17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17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17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17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17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17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17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17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17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17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17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17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17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17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17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17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17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17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17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17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17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17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17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17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17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17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17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17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17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17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17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17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17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17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17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17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17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17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17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17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17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17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17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17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17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17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17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17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17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17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17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17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17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17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17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17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17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17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17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17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17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17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17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17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17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17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17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17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17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17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17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17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17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17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17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17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17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17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17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17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17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17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17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17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17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17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17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17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17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17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17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17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17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17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17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17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17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17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17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17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17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17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17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17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17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17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17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17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17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17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17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17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17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17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17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17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17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17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17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17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17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17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17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17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17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17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17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17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17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17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17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17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17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17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17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17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17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17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17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17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17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17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17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17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17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17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17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17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17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17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17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17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17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17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17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17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17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17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17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17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17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17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17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17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17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17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17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17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17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17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17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17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17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17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17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17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17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17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17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17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17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17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17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17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17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17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17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17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17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17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17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17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17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17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17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17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17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17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17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17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17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17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17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17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17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17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17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17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17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17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17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17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17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17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17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17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17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17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17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17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17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17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17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17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17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17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17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17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17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17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17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17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17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17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17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17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17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17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17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17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17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17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17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17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17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17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17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17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17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17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17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17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17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17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17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17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17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17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17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17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17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17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17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17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17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17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17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17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17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17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17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17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17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17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17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17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17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17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17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17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17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17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17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17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17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17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17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17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17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17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17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17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17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17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17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17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17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17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17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17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17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17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17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17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17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17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17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17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17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17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17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17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17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17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17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17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17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17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17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17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17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17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17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17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17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17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17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17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17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17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17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